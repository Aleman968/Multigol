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ve" sheetId="1" r:id="rId4"/>
    <sheet state="visible" name="Inter" sheetId="2" r:id="rId5"/>
    <sheet state="visible" name="Milan" sheetId="3" r:id="rId6"/>
    <sheet state="visible" name="Ata" sheetId="4" r:id="rId7"/>
    <sheet state="visible" name="Nap" sheetId="5" r:id="rId8"/>
    <sheet state="visible" name="Roma" sheetId="6" r:id="rId9"/>
    <sheet state="visible" name="Lazio" sheetId="7" r:id="rId10"/>
    <sheet state="visible" name="Torino" sheetId="8" r:id="rId11"/>
    <sheet state="visible" name="Bolo" sheetId="9" r:id="rId12"/>
    <sheet state="visible" name="Giocate" sheetId="10" r:id="rId13"/>
    <sheet state="visible" name="Report" sheetId="11" r:id="rId14"/>
    <sheet state="visible" name="Report Enrico" sheetId="12" r:id="rId15"/>
    <sheet state="hidden" name="Foglio3" sheetId="13" r:id="rId16"/>
  </sheets>
  <definedNames/>
  <calcPr/>
  <extLst>
    <ext uri="GoogleSheetsCustomDataVersion2">
      <go:sheetsCustomData xmlns:go="http://customooxmlschemas.google.com/" r:id="rId17" roundtripDataChecksum="pl3LPH/vECiO0jY/nkqMs0Y9Oi1Y+fjUIa+Jt8XKDd8="/>
    </ext>
  </extLst>
</workbook>
</file>

<file path=xl/sharedStrings.xml><?xml version="1.0" encoding="utf-8"?>
<sst xmlns="http://schemas.openxmlformats.org/spreadsheetml/2006/main" count="1961" uniqueCount="91">
  <si>
    <t>2021-2022</t>
  </si>
  <si>
    <t>2022-2023</t>
  </si>
  <si>
    <t>2023-2024</t>
  </si>
  <si>
    <t>2024-2025</t>
  </si>
  <si>
    <t>2025-2026</t>
  </si>
  <si>
    <t>Medie stagioni passate</t>
  </si>
  <si>
    <t xml:space="preserve">Dati decisionali </t>
  </si>
  <si>
    <t>Media gol</t>
  </si>
  <si>
    <t>MG 1-2</t>
  </si>
  <si>
    <t>MG 2-3</t>
  </si>
  <si>
    <t>MG 3-4</t>
  </si>
  <si>
    <t>MG 1-3</t>
  </si>
  <si>
    <t>MG 2-4</t>
  </si>
  <si>
    <t>G0</t>
  </si>
  <si>
    <t>G1</t>
  </si>
  <si>
    <t>G2</t>
  </si>
  <si>
    <t>G3</t>
  </si>
  <si>
    <t>Δ gol</t>
  </si>
  <si>
    <t>G0%</t>
  </si>
  <si>
    <t>G1%</t>
  </si>
  <si>
    <t>G2%</t>
  </si>
  <si>
    <t>G3%</t>
  </si>
  <si>
    <t>G4%</t>
  </si>
  <si>
    <t>Indice sicurezza</t>
  </si>
  <si>
    <t>Indice centratura</t>
  </si>
  <si>
    <t>Indice aggressività</t>
  </si>
  <si>
    <t>Giornata 15</t>
  </si>
  <si>
    <t>Giornata 16</t>
  </si>
  <si>
    <t>Giornata 17</t>
  </si>
  <si>
    <t>Giornata 18</t>
  </si>
  <si>
    <t>Giornata 19</t>
  </si>
  <si>
    <t xml:space="preserve">Enrico </t>
  </si>
  <si>
    <t>Ale</t>
  </si>
  <si>
    <t>Juve</t>
  </si>
  <si>
    <t>MG 2-4 (1,76)</t>
  </si>
  <si>
    <t>Over 1.5</t>
  </si>
  <si>
    <t>Inter</t>
  </si>
  <si>
    <t xml:space="preserve">MG 1-2 </t>
  </si>
  <si>
    <t>//</t>
  </si>
  <si>
    <t>DISPARI</t>
  </si>
  <si>
    <t>Over 1,5(1,44)</t>
  </si>
  <si>
    <t>Milan</t>
  </si>
  <si>
    <t>OVER 1,5</t>
  </si>
  <si>
    <t>MG 2-4 (1,63)</t>
  </si>
  <si>
    <t>Atalanta</t>
  </si>
  <si>
    <t>MG 1-2 (1,62)</t>
  </si>
  <si>
    <t>Napoli</t>
  </si>
  <si>
    <t xml:space="preserve">MG 1-2  </t>
  </si>
  <si>
    <t>MG 1-2 (1,66)</t>
  </si>
  <si>
    <t>Over 1,5 (1,57)</t>
  </si>
  <si>
    <t>Roma</t>
  </si>
  <si>
    <t>MG 1-2 (1,63)</t>
  </si>
  <si>
    <t>Torino</t>
  </si>
  <si>
    <t xml:space="preserve">Lazio </t>
  </si>
  <si>
    <t>Bologna</t>
  </si>
  <si>
    <t>MG 1-3 o 1-2</t>
  </si>
  <si>
    <t>MG 1-2 (1,635)</t>
  </si>
  <si>
    <t>Giornata 20</t>
  </si>
  <si>
    <t>Giornata 21</t>
  </si>
  <si>
    <t>Giornata 22</t>
  </si>
  <si>
    <t>Giornata 23</t>
  </si>
  <si>
    <t>Giornata 24</t>
  </si>
  <si>
    <t>Giornata 25</t>
  </si>
  <si>
    <t>Giornata 26</t>
  </si>
  <si>
    <t>Giornata 27</t>
  </si>
  <si>
    <t>Giornata 28</t>
  </si>
  <si>
    <t>Giornata 29</t>
  </si>
  <si>
    <t>Giornata 30</t>
  </si>
  <si>
    <t>Giornata 31</t>
  </si>
  <si>
    <t>Giornata 32</t>
  </si>
  <si>
    <t>Giornata 33</t>
  </si>
  <si>
    <t>Giornata 34</t>
  </si>
  <si>
    <t>Giornata 35</t>
  </si>
  <si>
    <t>Giornata 36</t>
  </si>
  <si>
    <t>Giornata 37</t>
  </si>
  <si>
    <t>Giornata 38</t>
  </si>
  <si>
    <t>RIEPILOGO</t>
  </si>
  <si>
    <t>Tot giocato</t>
  </si>
  <si>
    <t>Tot vincita</t>
  </si>
  <si>
    <t>Ricavo</t>
  </si>
  <si>
    <t>Giocata</t>
  </si>
  <si>
    <t>Quota</t>
  </si>
  <si>
    <t>Importo</t>
  </si>
  <si>
    <t>Esito</t>
  </si>
  <si>
    <t>Vincita</t>
  </si>
  <si>
    <t>V</t>
  </si>
  <si>
    <t>X</t>
  </si>
  <si>
    <t>Over 1,5</t>
  </si>
  <si>
    <t xml:space="preserve">MG 1-3 </t>
  </si>
  <si>
    <t>MG 12-3</t>
  </si>
  <si>
    <t>Dispari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</si>
</sst>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\ &quot;€&quot;_-;\-* #,##0.00\ &quot;€&quot;_-;_-* &quot;-&quot;??\ &quot;€&quot;_-;_-@"/>
    <numFmt numFmtId="165" formatCode="_-* #,##0.00\ [$€-410]_-;\-* #,##0.00\ [$€-410]_-;_-* &quot;-&quot;??\ [$€-410]_-;_-@"/>
  </numFmts>
  <fonts count="10">
    <font>
      <sz val="11.0"/>
      <color theme="1"/>
      <name val="Calibri"/>
      <scheme val="minor"/>
    </font>
    <font>
      <sz val="11.0"/>
      <color theme="1"/>
      <name val="Times New Roman"/>
    </font>
    <font>
      <b/>
      <sz val="11.0"/>
      <color theme="1"/>
      <name val="Times New Roman"/>
    </font>
    <font/>
    <font>
      <b/>
      <sz val="10.0"/>
      <color theme="1"/>
      <name val="Times New Roman"/>
    </font>
    <font>
      <sz val="11.0"/>
      <color rgb="FFFF0000"/>
      <name val="Times New Roman"/>
    </font>
    <font>
      <sz val="11.0"/>
      <color rgb="FFFF0000"/>
      <name val="Calibri"/>
    </font>
    <font>
      <sz val="11.0"/>
      <color theme="1"/>
      <name val="Calibri"/>
    </font>
    <font>
      <sz val="11.0"/>
      <color theme="4"/>
      <name val="Times New Roman"/>
    </font>
    <font>
      <sz val="11.0"/>
      <color rgb="FF4472C4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3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ck">
        <color rgb="FF000000"/>
      </left>
      <top/>
      <bottom/>
    </border>
    <border>
      <top/>
      <bottom/>
    </border>
    <border>
      <right/>
      <top/>
      <bottom/>
    </border>
    <border>
      <left style="thick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right style="thick">
        <color rgb="FF000000"/>
      </right>
    </border>
    <border>
      <left style="thick">
        <color rgb="FF000000"/>
      </lef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6" fillId="0" fontId="3" numFmtId="0" xfId="0" applyBorder="1" applyFont="1"/>
    <xf borderId="7" fillId="2" fontId="2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2" fontId="2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18" fillId="3" fontId="5" numFmtId="0" xfId="0" applyAlignment="1" applyBorder="1" applyFill="1" applyFont="1">
      <alignment horizontal="center" vertical="center"/>
    </xf>
    <xf borderId="0" fillId="0" fontId="5" numFmtId="2" xfId="0" applyAlignment="1" applyFont="1" applyNumberFormat="1">
      <alignment horizontal="center" vertical="center"/>
    </xf>
    <xf borderId="19" fillId="0" fontId="5" numFmtId="0" xfId="0" applyAlignment="1" applyBorder="1" applyFont="1">
      <alignment horizontal="center" vertical="center"/>
    </xf>
    <xf borderId="20" fillId="0" fontId="5" numFmtId="2" xfId="0" applyAlignment="1" applyBorder="1" applyFont="1" applyNumberFormat="1">
      <alignment horizontal="center" vertical="center"/>
    </xf>
    <xf borderId="21" fillId="0" fontId="5" numFmtId="2" xfId="0" applyAlignment="1" applyBorder="1" applyFont="1" applyNumberFormat="1">
      <alignment horizontal="center" vertical="center"/>
    </xf>
    <xf borderId="0" fillId="0" fontId="5" numFmtId="10" xfId="0" applyFont="1" applyNumberFormat="1"/>
    <xf borderId="22" fillId="0" fontId="5" numFmtId="10" xfId="0" applyBorder="1" applyFont="1" applyNumberFormat="1"/>
    <xf borderId="23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18" fillId="3" fontId="1" numFmtId="0" xfId="0" applyAlignment="1" applyBorder="1" applyFont="1">
      <alignment horizontal="center" vertical="center"/>
    </xf>
    <xf borderId="20" fillId="0" fontId="1" numFmtId="2" xfId="0" applyAlignment="1" applyBorder="1" applyFont="1" applyNumberFormat="1">
      <alignment horizontal="center" vertical="center"/>
    </xf>
    <xf borderId="21" fillId="0" fontId="1" numFmtId="2" xfId="0" applyAlignment="1" applyBorder="1" applyFont="1" applyNumberFormat="1">
      <alignment horizontal="center" vertical="center"/>
    </xf>
    <xf borderId="0" fillId="0" fontId="1" numFmtId="10" xfId="0" applyFont="1" applyNumberFormat="1"/>
    <xf borderId="22" fillId="0" fontId="1" numFmtId="10" xfId="0" applyBorder="1" applyFont="1" applyNumberFormat="1"/>
    <xf borderId="23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24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27" fillId="3" fontId="1" numFmtId="0" xfId="0" applyAlignment="1" applyBorder="1" applyFont="1">
      <alignment horizontal="center" vertical="center"/>
    </xf>
    <xf borderId="28" fillId="0" fontId="1" numFmtId="2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29" fillId="0" fontId="1" numFmtId="2" xfId="0" applyAlignment="1" applyBorder="1" applyFont="1" applyNumberFormat="1">
      <alignment horizontal="center" vertical="center"/>
    </xf>
    <xf borderId="25" fillId="0" fontId="1" numFmtId="10" xfId="0" applyBorder="1" applyFont="1" applyNumberFormat="1"/>
    <xf borderId="30" fillId="0" fontId="1" numFmtId="10" xfId="0" applyBorder="1" applyFont="1" applyNumberFormat="1"/>
    <xf borderId="31" fillId="0" fontId="3" numFmtId="0" xfId="0" applyBorder="1" applyFont="1"/>
    <xf borderId="16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5" numFmtId="0" xfId="0" applyFont="1"/>
    <xf borderId="18" fillId="4" fontId="5" numFmtId="0" xfId="0" applyAlignment="1" applyBorder="1" applyFill="1" applyFont="1">
      <alignment horizontal="center" vertical="center"/>
    </xf>
    <xf borderId="18" fillId="4" fontId="1" numFmtId="0" xfId="0" applyAlignment="1" applyBorder="1" applyFont="1">
      <alignment horizontal="center" vertical="center"/>
    </xf>
    <xf borderId="27" fillId="4" fontId="1" numFmtId="0" xfId="0" applyAlignment="1" applyBorder="1" applyFont="1">
      <alignment horizontal="center" vertical="center"/>
    </xf>
    <xf borderId="18" fillId="5" fontId="1" numFmtId="0" xfId="0" applyBorder="1" applyFill="1" applyFont="1"/>
    <xf borderId="16" fillId="0" fontId="2" numFmtId="0" xfId="0" applyAlignment="1" applyBorder="1" applyFont="1">
      <alignment horizontal="center" vertical="center"/>
    </xf>
    <xf borderId="0" fillId="0" fontId="6" numFmtId="0" xfId="0" applyFont="1"/>
    <xf borderId="22" fillId="0" fontId="5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0" fillId="0" fontId="5" numFmtId="10" xfId="0" applyAlignment="1" applyFont="1" applyNumberFormat="1">
      <alignment horizontal="center" vertical="center"/>
    </xf>
    <xf borderId="22" fillId="0" fontId="5" numFmtId="10" xfId="0" applyAlignment="1" applyBorder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22" fillId="0" fontId="1" numFmtId="10" xfId="0" applyAlignment="1" applyBorder="1" applyFont="1" applyNumberFormat="1">
      <alignment horizontal="center" vertical="center"/>
    </xf>
    <xf borderId="25" fillId="0" fontId="1" numFmtId="10" xfId="0" applyAlignment="1" applyBorder="1" applyFont="1" applyNumberFormat="1">
      <alignment horizontal="center" vertical="center"/>
    </xf>
    <xf borderId="30" fillId="0" fontId="1" numFmtId="10" xfId="0" applyAlignment="1" applyBorder="1" applyFont="1" applyNumberFormat="1">
      <alignment horizontal="center" vertical="center"/>
    </xf>
    <xf borderId="29" fillId="0" fontId="7" numFmtId="0" xfId="0" applyBorder="1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right" vertical="center"/>
    </xf>
    <xf borderId="22" fillId="0" fontId="1" numFmtId="0" xfId="0" applyAlignment="1" applyBorder="1" applyFont="1">
      <alignment horizontal="center" readingOrder="0" vertical="center"/>
    </xf>
    <xf borderId="23" fillId="0" fontId="9" numFmtId="0" xfId="0" applyAlignment="1" applyBorder="1" applyFont="1">
      <alignment horizontal="right" readingOrder="0" vertical="center"/>
    </xf>
    <xf borderId="24" fillId="0" fontId="8" numFmtId="0" xfId="0" applyAlignment="1" applyBorder="1" applyFont="1">
      <alignment horizontal="right" vertical="center"/>
    </xf>
    <xf borderId="25" fillId="0" fontId="1" numFmtId="0" xfId="0" applyAlignment="1" applyBorder="1" applyFont="1">
      <alignment horizontal="center" readingOrder="0" vertical="center"/>
    </xf>
    <xf borderId="30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7" numFmtId="0" xfId="0" applyFont="1"/>
    <xf borderId="0" fillId="0" fontId="8" numFmtId="0" xfId="0" applyAlignment="1" applyFont="1">
      <alignment horizontal="right" vertical="center"/>
    </xf>
    <xf borderId="21" fillId="0" fontId="8" numFmtId="0" xfId="0" applyAlignment="1" applyBorder="1" applyFont="1">
      <alignment horizontal="right" vertical="center"/>
    </xf>
    <xf borderId="29" fillId="0" fontId="8" numFmtId="0" xfId="0" applyAlignment="1" applyBorder="1" applyFont="1">
      <alignment horizontal="right" vertical="center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32" fillId="2" fontId="1" numFmtId="0" xfId="0" applyAlignment="1" applyBorder="1" applyFont="1">
      <alignment horizontal="center" vertical="center"/>
    </xf>
    <xf borderId="33" fillId="2" fontId="5" numFmtId="0" xfId="0" applyAlignment="1" applyBorder="1" applyFont="1">
      <alignment horizontal="center" vertical="center"/>
    </xf>
    <xf borderId="34" fillId="2" fontId="5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2" fillId="0" fontId="1" numFmtId="164" xfId="0" applyAlignment="1" applyBorder="1" applyFont="1" applyNumberFormat="1">
      <alignment horizontal="center" vertical="center"/>
    </xf>
    <xf borderId="24" fillId="0" fontId="8" numFmtId="0" xfId="0" applyAlignment="1" applyBorder="1" applyFont="1">
      <alignment horizontal="center" vertical="center"/>
    </xf>
    <xf borderId="25" fillId="0" fontId="1" numFmtId="164" xfId="0" applyAlignment="1" applyBorder="1" applyFont="1" applyNumberFormat="1">
      <alignment horizontal="center" vertical="center"/>
    </xf>
    <xf borderId="30" fillId="0" fontId="1" numFmtId="164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22" fillId="0" fontId="1" numFmtId="164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31" fillId="0" fontId="1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  <xf borderId="0" fillId="0" fontId="7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readingOrder="0" vertical="center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3.png"/><Relationship Id="rId6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3.png"/><Relationship Id="rId6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3.png"/><Relationship Id="rId6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3.png"/><Relationship Id="rId6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3.png"/><Relationship Id="rId6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3.png"/><Relationship Id="rId6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3.png"/><Relationship Id="rId6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3.png"/><Relationship Id="rId6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3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51</xdr:col>
      <xdr:colOff>104775</xdr:colOff>
      <xdr:row>0</xdr:row>
      <xdr:rowOff>123825</xdr:rowOff>
    </xdr:from>
    <xdr:ext cx="2905125" cy="1323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714375</xdr:colOff>
      <xdr:row>0</xdr:row>
      <xdr:rowOff>95250</xdr:rowOff>
    </xdr:from>
    <xdr:ext cx="2352675" cy="14001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57150</xdr:colOff>
      <xdr:row>0</xdr:row>
      <xdr:rowOff>38100</xdr:rowOff>
    </xdr:from>
    <xdr:ext cx="1924050" cy="15716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361950</xdr:colOff>
      <xdr:row>0</xdr:row>
      <xdr:rowOff>66675</xdr:rowOff>
    </xdr:from>
    <xdr:ext cx="2047875" cy="142875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314325</xdr:colOff>
      <xdr:row>0</xdr:row>
      <xdr:rowOff>104775</xdr:rowOff>
    </xdr:from>
    <xdr:ext cx="1857375" cy="14192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</xdr:col>
      <xdr:colOff>133350</xdr:colOff>
      <xdr:row>0</xdr:row>
      <xdr:rowOff>152400</xdr:rowOff>
    </xdr:from>
    <xdr:ext cx="2257425" cy="139065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47</xdr:col>
      <xdr:colOff>38100</xdr:colOff>
      <xdr:row>0</xdr:row>
      <xdr:rowOff>114300</xdr:rowOff>
    </xdr:from>
    <xdr:ext cx="2914650" cy="1323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257175</xdr:colOff>
      <xdr:row>0</xdr:row>
      <xdr:rowOff>152400</xdr:rowOff>
    </xdr:from>
    <xdr:ext cx="2352675" cy="14001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371475</xdr:colOff>
      <xdr:row>0</xdr:row>
      <xdr:rowOff>9525</xdr:rowOff>
    </xdr:from>
    <xdr:ext cx="1924050" cy="15621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161925</xdr:colOff>
      <xdr:row>0</xdr:row>
      <xdr:rowOff>66675</xdr:rowOff>
    </xdr:from>
    <xdr:ext cx="2038350" cy="142875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523875</xdr:colOff>
      <xdr:row>0</xdr:row>
      <xdr:rowOff>85725</xdr:rowOff>
    </xdr:from>
    <xdr:ext cx="1866900" cy="14192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69</xdr:col>
      <xdr:colOff>352425</xdr:colOff>
      <xdr:row>0</xdr:row>
      <xdr:rowOff>85725</xdr:rowOff>
    </xdr:from>
    <xdr:ext cx="2266950" cy="139065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47</xdr:col>
      <xdr:colOff>38100</xdr:colOff>
      <xdr:row>0</xdr:row>
      <xdr:rowOff>114300</xdr:rowOff>
    </xdr:from>
    <xdr:ext cx="2914650" cy="1257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257175</xdr:colOff>
      <xdr:row>0</xdr:row>
      <xdr:rowOff>152400</xdr:rowOff>
    </xdr:from>
    <xdr:ext cx="2352675" cy="13335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371475</xdr:colOff>
      <xdr:row>0</xdr:row>
      <xdr:rowOff>9525</xdr:rowOff>
    </xdr:from>
    <xdr:ext cx="1924050" cy="14954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161925</xdr:colOff>
      <xdr:row>0</xdr:row>
      <xdr:rowOff>66675</xdr:rowOff>
    </xdr:from>
    <xdr:ext cx="2038350" cy="13620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523875</xdr:colOff>
      <xdr:row>0</xdr:row>
      <xdr:rowOff>85725</xdr:rowOff>
    </xdr:from>
    <xdr:ext cx="1866900" cy="13525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69</xdr:col>
      <xdr:colOff>352425</xdr:colOff>
      <xdr:row>0</xdr:row>
      <xdr:rowOff>85725</xdr:rowOff>
    </xdr:from>
    <xdr:ext cx="2266950" cy="13239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47</xdr:col>
      <xdr:colOff>38100</xdr:colOff>
      <xdr:row>0</xdr:row>
      <xdr:rowOff>114300</xdr:rowOff>
    </xdr:from>
    <xdr:ext cx="2914650" cy="1257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257175</xdr:colOff>
      <xdr:row>0</xdr:row>
      <xdr:rowOff>152400</xdr:rowOff>
    </xdr:from>
    <xdr:ext cx="2352675" cy="13335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371475</xdr:colOff>
      <xdr:row>0</xdr:row>
      <xdr:rowOff>9525</xdr:rowOff>
    </xdr:from>
    <xdr:ext cx="1924050" cy="14954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161925</xdr:colOff>
      <xdr:row>0</xdr:row>
      <xdr:rowOff>66675</xdr:rowOff>
    </xdr:from>
    <xdr:ext cx="2038350" cy="13620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523875</xdr:colOff>
      <xdr:row>0</xdr:row>
      <xdr:rowOff>85725</xdr:rowOff>
    </xdr:from>
    <xdr:ext cx="1866900" cy="13525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69</xdr:col>
      <xdr:colOff>352425</xdr:colOff>
      <xdr:row>0</xdr:row>
      <xdr:rowOff>85725</xdr:rowOff>
    </xdr:from>
    <xdr:ext cx="2257425" cy="13239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51</xdr:col>
      <xdr:colOff>104775</xdr:colOff>
      <xdr:row>0</xdr:row>
      <xdr:rowOff>123825</xdr:rowOff>
    </xdr:from>
    <xdr:ext cx="2905125" cy="1323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714375</xdr:colOff>
      <xdr:row>0</xdr:row>
      <xdr:rowOff>95250</xdr:rowOff>
    </xdr:from>
    <xdr:ext cx="2352675" cy="14001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57150</xdr:colOff>
      <xdr:row>0</xdr:row>
      <xdr:rowOff>38100</xdr:rowOff>
    </xdr:from>
    <xdr:ext cx="1924050" cy="15716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361950</xdr:colOff>
      <xdr:row>0</xdr:row>
      <xdr:rowOff>66675</xdr:rowOff>
    </xdr:from>
    <xdr:ext cx="2047875" cy="142875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314325</xdr:colOff>
      <xdr:row>0</xdr:row>
      <xdr:rowOff>104775</xdr:rowOff>
    </xdr:from>
    <xdr:ext cx="1857375" cy="14192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</xdr:col>
      <xdr:colOff>133350</xdr:colOff>
      <xdr:row>0</xdr:row>
      <xdr:rowOff>152400</xdr:rowOff>
    </xdr:from>
    <xdr:ext cx="2257425" cy="139065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51</xdr:col>
      <xdr:colOff>276225</xdr:colOff>
      <xdr:row>0</xdr:row>
      <xdr:rowOff>152400</xdr:rowOff>
    </xdr:from>
    <xdr:ext cx="2905125" cy="1323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76200</xdr:colOff>
      <xdr:row>0</xdr:row>
      <xdr:rowOff>104775</xdr:rowOff>
    </xdr:from>
    <xdr:ext cx="2352675" cy="14001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200025</xdr:colOff>
      <xdr:row>0</xdr:row>
      <xdr:rowOff>28575</xdr:rowOff>
    </xdr:from>
    <xdr:ext cx="1924050" cy="15716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66</xdr:col>
      <xdr:colOff>57150</xdr:colOff>
      <xdr:row>0</xdr:row>
      <xdr:rowOff>123825</xdr:rowOff>
    </xdr:from>
    <xdr:ext cx="2047875" cy="142875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70</xdr:col>
      <xdr:colOff>47625</xdr:colOff>
      <xdr:row>0</xdr:row>
      <xdr:rowOff>104775</xdr:rowOff>
    </xdr:from>
    <xdr:ext cx="1857375" cy="14192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73</xdr:col>
      <xdr:colOff>447675</xdr:colOff>
      <xdr:row>0</xdr:row>
      <xdr:rowOff>161925</xdr:rowOff>
    </xdr:from>
    <xdr:ext cx="2257425" cy="139065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51</xdr:col>
      <xdr:colOff>104775</xdr:colOff>
      <xdr:row>0</xdr:row>
      <xdr:rowOff>123825</xdr:rowOff>
    </xdr:from>
    <xdr:ext cx="2905125" cy="1323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714375</xdr:colOff>
      <xdr:row>0</xdr:row>
      <xdr:rowOff>95250</xdr:rowOff>
    </xdr:from>
    <xdr:ext cx="2352675" cy="14001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57150</xdr:colOff>
      <xdr:row>0</xdr:row>
      <xdr:rowOff>38100</xdr:rowOff>
    </xdr:from>
    <xdr:ext cx="1924050" cy="15716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361950</xdr:colOff>
      <xdr:row>0</xdr:row>
      <xdr:rowOff>66675</xdr:rowOff>
    </xdr:from>
    <xdr:ext cx="2047875" cy="142875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314325</xdr:colOff>
      <xdr:row>0</xdr:row>
      <xdr:rowOff>104775</xdr:rowOff>
    </xdr:from>
    <xdr:ext cx="1857375" cy="14192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</xdr:col>
      <xdr:colOff>133350</xdr:colOff>
      <xdr:row>0</xdr:row>
      <xdr:rowOff>152400</xdr:rowOff>
    </xdr:from>
    <xdr:ext cx="2257425" cy="139065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51</xdr:col>
      <xdr:colOff>104775</xdr:colOff>
      <xdr:row>0</xdr:row>
      <xdr:rowOff>123825</xdr:rowOff>
    </xdr:from>
    <xdr:ext cx="2905125" cy="1323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714375</xdr:colOff>
      <xdr:row>0</xdr:row>
      <xdr:rowOff>95250</xdr:rowOff>
    </xdr:from>
    <xdr:ext cx="2352675" cy="14001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57150</xdr:colOff>
      <xdr:row>0</xdr:row>
      <xdr:rowOff>38100</xdr:rowOff>
    </xdr:from>
    <xdr:ext cx="1924050" cy="15716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361950</xdr:colOff>
      <xdr:row>0</xdr:row>
      <xdr:rowOff>66675</xdr:rowOff>
    </xdr:from>
    <xdr:ext cx="2047875" cy="142875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314325</xdr:colOff>
      <xdr:row>0</xdr:row>
      <xdr:rowOff>104775</xdr:rowOff>
    </xdr:from>
    <xdr:ext cx="1857375" cy="14192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</xdr:col>
      <xdr:colOff>133350</xdr:colOff>
      <xdr:row>0</xdr:row>
      <xdr:rowOff>152400</xdr:rowOff>
    </xdr:from>
    <xdr:ext cx="2257425" cy="139065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85725</xdr:colOff>
      <xdr:row>0</xdr:row>
      <xdr:rowOff>85725</xdr:rowOff>
    </xdr:from>
    <xdr:ext cx="2905125" cy="1323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228600</xdr:colOff>
      <xdr:row>0</xdr:row>
      <xdr:rowOff>123825</xdr:rowOff>
    </xdr:from>
    <xdr:ext cx="2352675" cy="14001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542925</xdr:colOff>
      <xdr:row>0</xdr:row>
      <xdr:rowOff>9525</xdr:rowOff>
    </xdr:from>
    <xdr:ext cx="1924050" cy="15716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95250</xdr:colOff>
      <xdr:row>0</xdr:row>
      <xdr:rowOff>38100</xdr:rowOff>
    </xdr:from>
    <xdr:ext cx="2047875" cy="142875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561975</xdr:colOff>
      <xdr:row>0</xdr:row>
      <xdr:rowOff>76200</xdr:rowOff>
    </xdr:from>
    <xdr:ext cx="1857375" cy="14192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114300</xdr:colOff>
      <xdr:row>0</xdr:row>
      <xdr:rowOff>123825</xdr:rowOff>
    </xdr:from>
    <xdr:ext cx="2257425" cy="139065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4" width="9.14"/>
    <col customWidth="1" min="5" max="6" width="9.43"/>
    <col customWidth="1" min="7" max="7" width="12.0"/>
    <col customWidth="1" min="8" max="8" width="9.43"/>
    <col customWidth="1" min="9" max="15" width="9.14"/>
    <col customWidth="1" min="16" max="17" width="9.43"/>
    <col customWidth="1" min="18" max="18" width="12.0"/>
    <col customWidth="1" min="19" max="19" width="9.43"/>
    <col customWidth="1" min="20" max="26" width="9.14"/>
    <col customWidth="1" min="27" max="28" width="9.43"/>
    <col customWidth="1" min="29" max="29" width="12.0"/>
    <col customWidth="1" min="30" max="30" width="9.43"/>
    <col customWidth="1" min="31" max="37" width="9.14"/>
    <col customWidth="1" min="38" max="39" width="9.43"/>
    <col customWidth="1" min="40" max="40" width="12.0"/>
    <col customWidth="1" min="41" max="41" width="9.43"/>
    <col customWidth="1" min="42" max="55" width="9.14"/>
    <col customWidth="1" min="56" max="56" width="11.57"/>
    <col customWidth="1" min="57" max="67" width="9.14"/>
    <col customWidth="1" min="68" max="69" width="8.71"/>
    <col customWidth="1" min="70" max="70" width="9.14"/>
    <col customWidth="1" min="71" max="71" width="9.43"/>
    <col customWidth="1" min="72" max="72" width="7.43"/>
    <col customWidth="1" min="73" max="73" width="8.14"/>
    <col customWidth="1" min="74" max="74" width="8.86"/>
    <col customWidth="1" min="75" max="75" width="10.43"/>
    <col customWidth="1" min="76" max="76" width="12.57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3"/>
      <c r="BE9" s="3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>
      <c r="A10" s="2"/>
      <c r="B10" s="4" t="s">
        <v>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7" t="s">
        <v>1</v>
      </c>
      <c r="O10" s="5"/>
      <c r="P10" s="5"/>
      <c r="Q10" s="5"/>
      <c r="R10" s="5"/>
      <c r="S10" s="5"/>
      <c r="T10" s="5"/>
      <c r="U10" s="5"/>
      <c r="V10" s="5"/>
      <c r="W10" s="5"/>
      <c r="X10" s="6"/>
      <c r="Y10" s="8" t="s">
        <v>2</v>
      </c>
      <c r="Z10" s="5"/>
      <c r="AA10" s="5"/>
      <c r="AB10" s="5"/>
      <c r="AC10" s="5"/>
      <c r="AD10" s="5"/>
      <c r="AE10" s="5"/>
      <c r="AF10" s="5"/>
      <c r="AG10" s="5"/>
      <c r="AH10" s="5"/>
      <c r="AI10" s="6"/>
      <c r="AJ10" s="7" t="s">
        <v>3</v>
      </c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7" t="s">
        <v>4</v>
      </c>
      <c r="AV10" s="5"/>
      <c r="AW10" s="5"/>
      <c r="AX10" s="5"/>
      <c r="AY10" s="5"/>
      <c r="AZ10" s="5"/>
      <c r="BA10" s="5"/>
      <c r="BB10" s="5"/>
      <c r="BC10" s="5"/>
      <c r="BD10" s="5"/>
      <c r="BE10" s="9"/>
      <c r="BF10" s="10" t="s">
        <v>5</v>
      </c>
      <c r="BG10" s="11"/>
      <c r="BH10" s="11"/>
      <c r="BI10" s="11"/>
      <c r="BJ10" s="11"/>
      <c r="BK10" s="11"/>
      <c r="BL10" s="11"/>
      <c r="BM10" s="11"/>
      <c r="BN10" s="11"/>
      <c r="BO10" s="12"/>
      <c r="BP10" s="13" t="s">
        <v>6</v>
      </c>
      <c r="BQ10" s="14"/>
      <c r="BR10" s="14"/>
      <c r="BS10" s="14"/>
      <c r="BT10" s="14"/>
      <c r="BU10" s="14"/>
      <c r="BV10" s="14"/>
      <c r="BW10" s="14"/>
      <c r="BX10" s="15"/>
    </row>
    <row r="11" ht="32.25" customHeight="1">
      <c r="A11" s="2"/>
      <c r="B11" s="16"/>
      <c r="C11" s="17"/>
      <c r="D11" s="18" t="s">
        <v>7</v>
      </c>
      <c r="E11" s="19" t="s">
        <v>8</v>
      </c>
      <c r="F11" s="19" t="s">
        <v>9</v>
      </c>
      <c r="G11" s="19" t="s">
        <v>10</v>
      </c>
      <c r="H11" s="19" t="s">
        <v>11</v>
      </c>
      <c r="I11" s="19" t="s">
        <v>12</v>
      </c>
      <c r="J11" s="19" t="s">
        <v>13</v>
      </c>
      <c r="K11" s="19" t="s">
        <v>14</v>
      </c>
      <c r="L11" s="19" t="s">
        <v>15</v>
      </c>
      <c r="M11" s="20" t="s">
        <v>16</v>
      </c>
      <c r="N11" s="17"/>
      <c r="O11" s="18" t="s">
        <v>7</v>
      </c>
      <c r="P11" s="19" t="s">
        <v>8</v>
      </c>
      <c r="Q11" s="19" t="s">
        <v>9</v>
      </c>
      <c r="R11" s="19" t="s">
        <v>10</v>
      </c>
      <c r="S11" s="19" t="s">
        <v>11</v>
      </c>
      <c r="T11" s="19" t="s">
        <v>12</v>
      </c>
      <c r="U11" s="19" t="s">
        <v>13</v>
      </c>
      <c r="V11" s="19" t="s">
        <v>14</v>
      </c>
      <c r="W11" s="19" t="s">
        <v>15</v>
      </c>
      <c r="X11" s="20" t="s">
        <v>16</v>
      </c>
      <c r="Y11" s="17"/>
      <c r="Z11" s="18" t="s">
        <v>7</v>
      </c>
      <c r="AA11" s="19" t="s">
        <v>8</v>
      </c>
      <c r="AB11" s="19" t="s">
        <v>9</v>
      </c>
      <c r="AC11" s="19" t="s">
        <v>10</v>
      </c>
      <c r="AD11" s="19" t="s">
        <v>11</v>
      </c>
      <c r="AE11" s="19" t="s">
        <v>12</v>
      </c>
      <c r="AF11" s="19" t="s">
        <v>13</v>
      </c>
      <c r="AG11" s="19" t="s">
        <v>14</v>
      </c>
      <c r="AH11" s="19" t="s">
        <v>15</v>
      </c>
      <c r="AI11" s="20" t="s">
        <v>16</v>
      </c>
      <c r="AJ11" s="17"/>
      <c r="AK11" s="18" t="s">
        <v>7</v>
      </c>
      <c r="AL11" s="19" t="s">
        <v>8</v>
      </c>
      <c r="AM11" s="19" t="s">
        <v>9</v>
      </c>
      <c r="AN11" s="19" t="s">
        <v>10</v>
      </c>
      <c r="AO11" s="19" t="s">
        <v>11</v>
      </c>
      <c r="AP11" s="19" t="s">
        <v>12</v>
      </c>
      <c r="AQ11" s="19" t="s">
        <v>13</v>
      </c>
      <c r="AR11" s="19" t="s">
        <v>14</v>
      </c>
      <c r="AS11" s="19" t="s">
        <v>15</v>
      </c>
      <c r="AT11" s="20" t="s">
        <v>16</v>
      </c>
      <c r="AU11" s="17"/>
      <c r="AV11" s="18" t="s">
        <v>7</v>
      </c>
      <c r="AW11" s="19" t="s">
        <v>8</v>
      </c>
      <c r="AX11" s="19" t="s">
        <v>9</v>
      </c>
      <c r="AY11" s="19" t="s">
        <v>10</v>
      </c>
      <c r="AZ11" s="19" t="s">
        <v>11</v>
      </c>
      <c r="BA11" s="19" t="s">
        <v>12</v>
      </c>
      <c r="BB11" s="19" t="s">
        <v>13</v>
      </c>
      <c r="BC11" s="19" t="s">
        <v>14</v>
      </c>
      <c r="BD11" s="19" t="s">
        <v>15</v>
      </c>
      <c r="BE11" s="19" t="s">
        <v>16</v>
      </c>
      <c r="BF11" s="18" t="s">
        <v>7</v>
      </c>
      <c r="BG11" s="19" t="s">
        <v>8</v>
      </c>
      <c r="BH11" s="19" t="s">
        <v>9</v>
      </c>
      <c r="BI11" s="19" t="s">
        <v>10</v>
      </c>
      <c r="BJ11" s="19" t="s">
        <v>11</v>
      </c>
      <c r="BK11" s="19" t="s">
        <v>12</v>
      </c>
      <c r="BL11" s="19" t="s">
        <v>13</v>
      </c>
      <c r="BM11" s="19" t="s">
        <v>14</v>
      </c>
      <c r="BN11" s="19" t="s">
        <v>15</v>
      </c>
      <c r="BO11" s="19" t="s">
        <v>16</v>
      </c>
      <c r="BP11" s="21" t="s">
        <v>17</v>
      </c>
      <c r="BQ11" s="18" t="s">
        <v>18</v>
      </c>
      <c r="BR11" s="18" t="s">
        <v>19</v>
      </c>
      <c r="BS11" s="18" t="s">
        <v>20</v>
      </c>
      <c r="BT11" s="18" t="s">
        <v>21</v>
      </c>
      <c r="BU11" s="18" t="s">
        <v>22</v>
      </c>
      <c r="BV11" s="22" t="s">
        <v>23</v>
      </c>
      <c r="BW11" s="22" t="s">
        <v>24</v>
      </c>
      <c r="BX11" s="23" t="s">
        <v>25</v>
      </c>
    </row>
    <row r="12">
      <c r="A12" s="24"/>
      <c r="B12" s="25">
        <v>1.0</v>
      </c>
      <c r="C12" s="26">
        <v>2.0</v>
      </c>
      <c r="D12" s="27">
        <f t="shared" ref="D12:D49" si="3">AVERAGE($C$12:C12)</f>
        <v>2</v>
      </c>
      <c r="E12" s="24">
        <f>IF(AND(C12&gt;=1,C12&lt;=2),1,0)</f>
        <v>1</v>
      </c>
      <c r="F12" s="24">
        <f>IF(AND(C12&gt;=2,C12&lt;=3),1,0)</f>
        <v>1</v>
      </c>
      <c r="G12" s="24">
        <f>IF(AND(C12&gt;=3,C12&lt;=4),1,0)</f>
        <v>0</v>
      </c>
      <c r="H12" s="24">
        <f>IF(AND(C12&gt;=1,C12&lt;=3),1,0)</f>
        <v>1</v>
      </c>
      <c r="I12" s="24">
        <f>IF(AND(C12&gt;=2,C12&lt;=4),1,0)</f>
        <v>1</v>
      </c>
      <c r="J12" s="24">
        <f>IF((C12=0),1,0)</f>
        <v>0</v>
      </c>
      <c r="K12" s="24">
        <f>IF((C12=1),1,0)</f>
        <v>0</v>
      </c>
      <c r="L12" s="24">
        <f>IF((C12=2),1,0)</f>
        <v>1</v>
      </c>
      <c r="M12" s="28">
        <f>IF((C12=3),1,0)</f>
        <v>0</v>
      </c>
      <c r="N12" s="24">
        <v>3.0</v>
      </c>
      <c r="O12" s="27">
        <f t="shared" ref="O12:O49" si="4">AVERAGE($N$12:N12)</f>
        <v>3</v>
      </c>
      <c r="P12" s="24">
        <f>IF(AND(N12&gt;=1,N12&lt;=2),1,0)</f>
        <v>0</v>
      </c>
      <c r="Q12" s="24">
        <f>IF(AND(N12&gt;=2,N12&lt;=3),1,0)</f>
        <v>1</v>
      </c>
      <c r="R12" s="24">
        <f>IF(AND(N12&gt;=3,N12&lt;=4),1,0)</f>
        <v>1</v>
      </c>
      <c r="S12" s="24">
        <f>IF(AND(N12&gt;=1,N12&lt;=3),1,0)</f>
        <v>1</v>
      </c>
      <c r="T12" s="24">
        <f>IF(AND(N12&gt;=2,N12&lt;=4),1,0)</f>
        <v>1</v>
      </c>
      <c r="U12" s="24">
        <f>IF((N12=0),1,0)</f>
        <v>0</v>
      </c>
      <c r="V12" s="24">
        <f>IF((N12=1),1,0)</f>
        <v>0</v>
      </c>
      <c r="W12" s="24">
        <f>IF((N12=2),1,0)</f>
        <v>0</v>
      </c>
      <c r="X12" s="28">
        <f>IF((N12=3),1,0)</f>
        <v>1</v>
      </c>
      <c r="Y12" s="26">
        <v>3.0</v>
      </c>
      <c r="Z12" s="27">
        <f t="shared" ref="Z12:Z49" si="5">AVERAGE($Y$12:Y12)</f>
        <v>3</v>
      </c>
      <c r="AA12" s="24">
        <f>IF(AND(Y12&gt;=1,Y12&lt;=2),1,0)</f>
        <v>0</v>
      </c>
      <c r="AB12" s="24">
        <f>IF(AND(Y12&gt;=2,Y12&lt;=3),1,0)</f>
        <v>1</v>
      </c>
      <c r="AC12" s="24">
        <f>IF(AND(Y12&gt;=3,Y12&lt;=4),1,0)</f>
        <v>1</v>
      </c>
      <c r="AD12" s="24">
        <f>IF(AND(Y12&gt;=1,Y12&lt;=3),1,0)</f>
        <v>1</v>
      </c>
      <c r="AE12" s="24">
        <f>IF(AND(Y12&gt;=2,Y12&lt;=4),1,0)</f>
        <v>1</v>
      </c>
      <c r="AF12" s="24">
        <f>IF((Y12=0),1,0)</f>
        <v>0</v>
      </c>
      <c r="AG12" s="24">
        <f>IF((Y12=1),1,0)</f>
        <v>0</v>
      </c>
      <c r="AH12" s="24">
        <f>IF((Y12=2),1,0)</f>
        <v>0</v>
      </c>
      <c r="AI12" s="28">
        <f>IF((Y12=3),1,0)</f>
        <v>1</v>
      </c>
      <c r="AJ12" s="24">
        <v>3.0</v>
      </c>
      <c r="AK12" s="27">
        <f t="shared" ref="AK12:AK49" si="6">AVERAGE($AJ$12:AJ12)</f>
        <v>3</v>
      </c>
      <c r="AL12" s="24">
        <f>IF(AND(AJ12&gt;=1,AJ12&lt;=2),1,0)</f>
        <v>0</v>
      </c>
      <c r="AM12" s="24">
        <f>IF(AND(AJ12&gt;=2,AJ12&lt;=3),1,0)</f>
        <v>1</v>
      </c>
      <c r="AN12" s="24">
        <f>IF(AND(AJ12&gt;=3,AJ12&lt;=4),1,0)</f>
        <v>1</v>
      </c>
      <c r="AO12" s="24">
        <f>IF(AND(AJ12&gt;=1,AJ12&lt;=3),1,0)</f>
        <v>1</v>
      </c>
      <c r="AP12" s="24">
        <f>IF(AND(AJ12&gt;=2,AJ12&lt;=4),1,0)</f>
        <v>1</v>
      </c>
      <c r="AQ12" s="24">
        <f>IF((AJ12=0),1,0)</f>
        <v>0</v>
      </c>
      <c r="AR12" s="24">
        <f>IF((AJ12=1),1,0)</f>
        <v>0</v>
      </c>
      <c r="AS12" s="24">
        <f>IF((AJ12=2),1,0)</f>
        <v>0</v>
      </c>
      <c r="AT12" s="28">
        <f>IF((AJ12=3),1,0)</f>
        <v>1</v>
      </c>
      <c r="AU12" s="24">
        <v>2.0</v>
      </c>
      <c r="AV12" s="27">
        <f t="shared" ref="AV12:AV49" si="7">AVERAGE($AU$12:AU12)</f>
        <v>2</v>
      </c>
      <c r="AW12" s="24">
        <f>IF(AND(AU12&gt;=1,AU12&lt;=2),1,0)</f>
        <v>1</v>
      </c>
      <c r="AX12" s="24">
        <f>IF(AND(AU12&gt;=2,AU12&lt;=3),1,0)</f>
        <v>1</v>
      </c>
      <c r="AY12" s="24">
        <f>IF(AND(AU12&gt;=3,AU12&lt;=4),1,0)</f>
        <v>0</v>
      </c>
      <c r="AZ12" s="24">
        <f>IF(AND(AU12&gt;=1,AU12&lt;=3),1,0)</f>
        <v>1</v>
      </c>
      <c r="BA12" s="24">
        <f>IF(AND(AU12&gt;=2,AU12&lt;=4),1,0)</f>
        <v>1</v>
      </c>
      <c r="BB12" s="24">
        <f>IF((AU12=0),1,0)</f>
        <v>0</v>
      </c>
      <c r="BC12" s="24">
        <f>IF((AU12=1),1,0)</f>
        <v>0</v>
      </c>
      <c r="BD12" s="24">
        <f>IF((AU12=2),1,0)</f>
        <v>1</v>
      </c>
      <c r="BE12" s="24">
        <f>IF((AU12=3),1,0)</f>
        <v>0</v>
      </c>
      <c r="BF12" s="29">
        <f t="shared" ref="BF12:BO12" si="1">+(AK12+Z12+O12+D12)/4</f>
        <v>2.75</v>
      </c>
      <c r="BG12" s="24">
        <f t="shared" si="1"/>
        <v>0.25</v>
      </c>
      <c r="BH12" s="24">
        <f t="shared" si="1"/>
        <v>1</v>
      </c>
      <c r="BI12" s="24">
        <f t="shared" si="1"/>
        <v>0.75</v>
      </c>
      <c r="BJ12" s="24">
        <f t="shared" si="1"/>
        <v>1</v>
      </c>
      <c r="BK12" s="24">
        <f t="shared" si="1"/>
        <v>1</v>
      </c>
      <c r="BL12" s="24">
        <f t="shared" si="1"/>
        <v>0</v>
      </c>
      <c r="BM12" s="24">
        <f t="shared" si="1"/>
        <v>0</v>
      </c>
      <c r="BN12" s="24">
        <f t="shared" si="1"/>
        <v>0.25</v>
      </c>
      <c r="BO12" s="24">
        <f t="shared" si="1"/>
        <v>0.75</v>
      </c>
      <c r="BP12" s="30">
        <f t="shared" ref="BP12:BP49" si="9">+AV12-BF12</f>
        <v>-0.75</v>
      </c>
      <c r="BQ12" s="31">
        <f t="shared" ref="BQ12:BQ49" si="10">COUNTIF($AU$12:AU12,0)/B12</f>
        <v>0</v>
      </c>
      <c r="BR12" s="31">
        <f t="shared" ref="BR12:BR49" si="11">(COUNTIF($AU$12:AU12,1))/B12</f>
        <v>0</v>
      </c>
      <c r="BS12" s="31">
        <f t="shared" ref="BS12:BS49" si="12">(COUNTIF($AU$12:AU12,2))/B12</f>
        <v>1</v>
      </c>
      <c r="BT12" s="31">
        <f t="shared" ref="BT12:BT49" si="13">(COUNTIF($AU$12:AU12,3))/B12</f>
        <v>0</v>
      </c>
      <c r="BU12" s="31">
        <f t="shared" ref="BU12:BU49" si="14">(COUNTIF($AU$12:AU12,"&gt;=4"))/B12</f>
        <v>0</v>
      </c>
      <c r="BV12" s="31">
        <f t="shared" ref="BV12:BV49" si="15">1-BQ12</f>
        <v>1</v>
      </c>
      <c r="BW12" s="31">
        <f t="shared" ref="BW12:BX12" si="2">+BR12+BS12+BT12</f>
        <v>1</v>
      </c>
      <c r="BX12" s="32">
        <f t="shared" si="2"/>
        <v>1</v>
      </c>
    </row>
    <row r="13">
      <c r="A13" s="2"/>
      <c r="B13" s="33">
        <v>2.0</v>
      </c>
      <c r="C13" s="2">
        <v>0.0</v>
      </c>
      <c r="D13" s="3">
        <f t="shared" si="3"/>
        <v>1</v>
      </c>
      <c r="E13" s="2">
        <f t="shared" ref="E13:E49" si="17">IF(AND(C13&gt;=1,C13&lt;=2),(E12+1),E12)</f>
        <v>1</v>
      </c>
      <c r="F13" s="2">
        <f t="shared" ref="F13:F49" si="18">IF(AND(C13&gt;=2,C13&lt;=3),(F12+1),F12)</f>
        <v>1</v>
      </c>
      <c r="G13" s="2">
        <f t="shared" ref="G13:G49" si="19">IF(AND(C13&gt;=3,C13&lt;=4),(G12+1),G12)</f>
        <v>0</v>
      </c>
      <c r="H13" s="2">
        <f t="shared" ref="H13:H49" si="20">IF(AND(C13&gt;=1,C13&lt;=3),(H12+1),H12)</f>
        <v>1</v>
      </c>
      <c r="I13" s="2">
        <f t="shared" ref="I13:I49" si="21">IF(AND(C13&gt;=2,C13&lt;=4),(I12+1),I12)</f>
        <v>1</v>
      </c>
      <c r="J13" s="2">
        <f t="shared" ref="J13:J49" si="22">IF((C13=0),(J12+1),J12)</f>
        <v>1</v>
      </c>
      <c r="K13" s="2">
        <f t="shared" ref="K13:K49" si="23">IF((C13=1),(K12+1),K12)</f>
        <v>0</v>
      </c>
      <c r="L13" s="2">
        <f t="shared" ref="L13:L49" si="24">IF((C13=2),(L12+1),L12)</f>
        <v>1</v>
      </c>
      <c r="M13" s="34">
        <f t="shared" ref="M13:M49" si="25">IF((C13=3),(M12+1),M12)</f>
        <v>0</v>
      </c>
      <c r="N13" s="35">
        <v>0.0</v>
      </c>
      <c r="O13" s="3">
        <f t="shared" si="4"/>
        <v>1.5</v>
      </c>
      <c r="P13" s="2">
        <f t="shared" ref="P13:P49" si="26">IF(AND(N13&gt;=1,N13&lt;=2),(P12+1),P12)</f>
        <v>0</v>
      </c>
      <c r="Q13" s="2">
        <f t="shared" ref="Q13:Q49" si="27">IF(AND(N13&gt;=2,N13&lt;=3),(Q12+1),Q12)</f>
        <v>1</v>
      </c>
      <c r="R13" s="2">
        <f t="shared" ref="R13:R49" si="28">IF(AND(N13&gt;=3,N13&lt;=4),(R12+1),R12)</f>
        <v>1</v>
      </c>
      <c r="S13" s="2">
        <f t="shared" ref="S13:S49" si="29">IF(AND(N13&gt;=1,N13&lt;=3),(S12+1),S12)</f>
        <v>1</v>
      </c>
      <c r="T13" s="2">
        <f t="shared" ref="T13:T49" si="30">IF(AND(N13&gt;=2,N13&lt;=4),(T12+1),T12)</f>
        <v>1</v>
      </c>
      <c r="U13" s="2">
        <f t="shared" ref="U13:U49" si="31">IF((N13=0),(U12+1),U12)</f>
        <v>1</v>
      </c>
      <c r="V13" s="2">
        <f t="shared" ref="V13:V49" si="32">IF((N13=1),(V12+1),V12)</f>
        <v>0</v>
      </c>
      <c r="W13" s="2">
        <f t="shared" ref="W13:W49" si="33">IF((N13=2),(W12+1),W12)</f>
        <v>0</v>
      </c>
      <c r="X13" s="34">
        <f t="shared" ref="X13:X49" si="34">IF((N13=3),(X12+1),X12)</f>
        <v>1</v>
      </c>
      <c r="Y13" s="2">
        <v>1.0</v>
      </c>
      <c r="Z13" s="3">
        <f t="shared" si="5"/>
        <v>2</v>
      </c>
      <c r="AA13" s="2">
        <f t="shared" ref="AA13:AA49" si="35">IF(AND(Y13&gt;=1,Y13&lt;=2),(AA12+1),AA12)</f>
        <v>1</v>
      </c>
      <c r="AB13" s="2">
        <f t="shared" ref="AB13:AB49" si="36">IF(AND(Y13&gt;=2,Y13&lt;=3),(AB12+1),AB12)</f>
        <v>1</v>
      </c>
      <c r="AC13" s="2">
        <f t="shared" ref="AC13:AC49" si="37">IF(AND(Y13&gt;=3,Y13&lt;=4),(AC12+1),AC12)</f>
        <v>1</v>
      </c>
      <c r="AD13" s="2">
        <f t="shared" ref="AD13:AD49" si="38">IF(AND(Y13&gt;=1,Y13&lt;=3),(AD12+1),AD12)</f>
        <v>2</v>
      </c>
      <c r="AE13" s="2">
        <f t="shared" ref="AE13:AE49" si="39">IF(AND(Y13&gt;=2,Y13&lt;=4),(AE12+1),AE12)</f>
        <v>1</v>
      </c>
      <c r="AF13" s="2">
        <f t="shared" ref="AF13:AF49" si="40">IF((Y13=0),(AF12+1),AF12)</f>
        <v>0</v>
      </c>
      <c r="AG13" s="2">
        <f t="shared" ref="AG13:AG49" si="41">IF((Y13=1),(AG12+1),AG12)</f>
        <v>1</v>
      </c>
      <c r="AH13" s="2">
        <f t="shared" ref="AH13:AH49" si="42">IF((Y13=2),(AH12+1),AH12)</f>
        <v>0</v>
      </c>
      <c r="AI13" s="34">
        <f t="shared" ref="AI13:AI49" si="43">IF((Y13=3),(AI12+1),AI12)</f>
        <v>1</v>
      </c>
      <c r="AJ13" s="35">
        <v>3.0</v>
      </c>
      <c r="AK13" s="3">
        <f t="shared" si="6"/>
        <v>3</v>
      </c>
      <c r="AL13" s="2">
        <f t="shared" ref="AL13:AL49" si="44">IF(AND(AJ13&gt;=1,AJ13&lt;=2),(AL12+1),AL12)</f>
        <v>0</v>
      </c>
      <c r="AM13" s="2">
        <f t="shared" ref="AM13:AM49" si="45">IF(AND(AJ13&gt;=2,AJ13&lt;=3),(AM12+1),AM12)</f>
        <v>2</v>
      </c>
      <c r="AN13" s="2">
        <f t="shared" ref="AN13:AN49" si="46">IF(AND(AJ13&gt;=3,AJ13&lt;=4),(AN12+1),AN12)</f>
        <v>2</v>
      </c>
      <c r="AO13" s="2">
        <f t="shared" ref="AO13:AO49" si="47">IF(AND(AJ13&gt;=1,AJ13&lt;=3),(AO12+1),AO12)</f>
        <v>2</v>
      </c>
      <c r="AP13" s="2">
        <f t="shared" ref="AP13:AP49" si="48">IF(AND(AJ13&gt;=2,AJ13&lt;=4),(AP12+1),AP12)</f>
        <v>2</v>
      </c>
      <c r="AQ13" s="2">
        <f t="shared" ref="AQ13:AQ49" si="49">IF((AJ13=0),(AQ12+1),AQ12)</f>
        <v>0</v>
      </c>
      <c r="AR13" s="2">
        <f t="shared" ref="AR13:AR49" si="50">IF((AJ13=1),(AR12+1),AR12)</f>
        <v>0</v>
      </c>
      <c r="AS13" s="2">
        <f t="shared" ref="AS13:AS49" si="51">IF((AJ13=2),(AS12+1),AS12)</f>
        <v>0</v>
      </c>
      <c r="AT13" s="34">
        <f t="shared" ref="AT13:AT49" si="52">IF((AJ13=3),(AT12+1),AT12)</f>
        <v>2</v>
      </c>
      <c r="AU13" s="35">
        <v>1.0</v>
      </c>
      <c r="AV13" s="3">
        <f t="shared" si="7"/>
        <v>1.5</v>
      </c>
      <c r="AW13" s="2">
        <f t="shared" ref="AW13:AW49" si="53">IF(AND(AU13&gt;=1,AU13&lt;=2),(AW12+1),AW12)</f>
        <v>2</v>
      </c>
      <c r="AX13" s="2">
        <f t="shared" ref="AX13:AX49" si="54">IF(AND(AU13&gt;=2,AU13&lt;=3),(AX12+1),AX12)</f>
        <v>1</v>
      </c>
      <c r="AY13" s="2">
        <f t="shared" ref="AY13:AY49" si="55">IF(AND(AU13&gt;=3,AU13&lt;=4),(AY12+1),AY12)</f>
        <v>0</v>
      </c>
      <c r="AZ13" s="2">
        <f t="shared" ref="AZ13:AZ49" si="56">IF(AND(AU13&gt;=1,AU13&lt;=3),(AZ12+1),AZ12)</f>
        <v>2</v>
      </c>
      <c r="BA13" s="2">
        <f t="shared" ref="BA13:BA49" si="57">IF(AND(AU13&gt;=2,AU13&lt;=4),(BA12+1),BA12)</f>
        <v>1</v>
      </c>
      <c r="BB13" s="2">
        <f t="shared" ref="BB13:BB49" si="58">IF((AU13=0),(BB12+1),BB12)</f>
        <v>0</v>
      </c>
      <c r="BC13" s="2">
        <f t="shared" ref="BC13:BC49" si="59">IF((AU13=1),(BC12+1),BC12)</f>
        <v>1</v>
      </c>
      <c r="BD13" s="2">
        <f t="shared" ref="BD13:BD49" si="60">IF((AU13=2),(BD12+1),BD12)</f>
        <v>1</v>
      </c>
      <c r="BE13" s="2">
        <f t="shared" ref="BE13:BE49" si="61">IF((AU13=3),(BE12+1),BE12)</f>
        <v>0</v>
      </c>
      <c r="BF13" s="36">
        <f t="shared" ref="BF13:BO13" si="8">+(AK13+Z13+O13+D13)/4</f>
        <v>1.875</v>
      </c>
      <c r="BG13" s="2">
        <f t="shared" si="8"/>
        <v>0.5</v>
      </c>
      <c r="BH13" s="2">
        <f t="shared" si="8"/>
        <v>1.25</v>
      </c>
      <c r="BI13" s="2">
        <f t="shared" si="8"/>
        <v>1</v>
      </c>
      <c r="BJ13" s="2">
        <f t="shared" si="8"/>
        <v>1.5</v>
      </c>
      <c r="BK13" s="2">
        <f t="shared" si="8"/>
        <v>1.25</v>
      </c>
      <c r="BL13" s="2">
        <f t="shared" si="8"/>
        <v>0.5</v>
      </c>
      <c r="BM13" s="2">
        <f t="shared" si="8"/>
        <v>0.25</v>
      </c>
      <c r="BN13" s="2">
        <f t="shared" si="8"/>
        <v>0.25</v>
      </c>
      <c r="BO13" s="2">
        <f t="shared" si="8"/>
        <v>1</v>
      </c>
      <c r="BP13" s="37">
        <f t="shared" si="9"/>
        <v>-0.375</v>
      </c>
      <c r="BQ13" s="38">
        <f t="shared" si="10"/>
        <v>0</v>
      </c>
      <c r="BR13" s="38">
        <f t="shared" si="11"/>
        <v>0.5</v>
      </c>
      <c r="BS13" s="38">
        <f t="shared" si="12"/>
        <v>0.5</v>
      </c>
      <c r="BT13" s="38">
        <f t="shared" si="13"/>
        <v>0</v>
      </c>
      <c r="BU13" s="38">
        <f t="shared" si="14"/>
        <v>0</v>
      </c>
      <c r="BV13" s="38">
        <f t="shared" si="15"/>
        <v>1</v>
      </c>
      <c r="BW13" s="38">
        <f t="shared" ref="BW13:BX13" si="16">+BR13+BS13+BT13</f>
        <v>1</v>
      </c>
      <c r="BX13" s="39">
        <f t="shared" si="16"/>
        <v>0.5</v>
      </c>
    </row>
    <row r="14">
      <c r="A14" s="24"/>
      <c r="B14" s="40">
        <v>3.0</v>
      </c>
      <c r="C14" s="26">
        <v>1.0</v>
      </c>
      <c r="D14" s="27">
        <f t="shared" si="3"/>
        <v>1</v>
      </c>
      <c r="E14" s="24">
        <f t="shared" si="17"/>
        <v>2</v>
      </c>
      <c r="F14" s="2">
        <f t="shared" si="18"/>
        <v>1</v>
      </c>
      <c r="G14" s="24">
        <f t="shared" si="19"/>
        <v>0</v>
      </c>
      <c r="H14" s="24">
        <f t="shared" si="20"/>
        <v>2</v>
      </c>
      <c r="I14" s="24">
        <f t="shared" si="21"/>
        <v>1</v>
      </c>
      <c r="J14" s="24">
        <f t="shared" si="22"/>
        <v>1</v>
      </c>
      <c r="K14" s="24">
        <f t="shared" si="23"/>
        <v>1</v>
      </c>
      <c r="L14" s="24">
        <f t="shared" si="24"/>
        <v>1</v>
      </c>
      <c r="M14" s="28">
        <f t="shared" si="25"/>
        <v>0</v>
      </c>
      <c r="N14" s="24">
        <v>1.0</v>
      </c>
      <c r="O14" s="27">
        <f t="shared" si="4"/>
        <v>1.333333333</v>
      </c>
      <c r="P14" s="24">
        <f t="shared" si="26"/>
        <v>1</v>
      </c>
      <c r="Q14" s="2">
        <f t="shared" si="27"/>
        <v>1</v>
      </c>
      <c r="R14" s="24">
        <f t="shared" si="28"/>
        <v>1</v>
      </c>
      <c r="S14" s="24">
        <f t="shared" si="29"/>
        <v>2</v>
      </c>
      <c r="T14" s="24">
        <f t="shared" si="30"/>
        <v>1</v>
      </c>
      <c r="U14" s="24">
        <f t="shared" si="31"/>
        <v>1</v>
      </c>
      <c r="V14" s="24">
        <f t="shared" si="32"/>
        <v>1</v>
      </c>
      <c r="W14" s="24">
        <f t="shared" si="33"/>
        <v>0</v>
      </c>
      <c r="X14" s="28">
        <f t="shared" si="34"/>
        <v>1</v>
      </c>
      <c r="Y14" s="26">
        <v>2.0</v>
      </c>
      <c r="Z14" s="27">
        <f t="shared" si="5"/>
        <v>2</v>
      </c>
      <c r="AA14" s="24">
        <f t="shared" si="35"/>
        <v>2</v>
      </c>
      <c r="AB14" s="2">
        <f t="shared" si="36"/>
        <v>2</v>
      </c>
      <c r="AC14" s="24">
        <f t="shared" si="37"/>
        <v>1</v>
      </c>
      <c r="AD14" s="24">
        <f t="shared" si="38"/>
        <v>3</v>
      </c>
      <c r="AE14" s="24">
        <f t="shared" si="39"/>
        <v>2</v>
      </c>
      <c r="AF14" s="24">
        <f t="shared" si="40"/>
        <v>0</v>
      </c>
      <c r="AG14" s="24">
        <f t="shared" si="41"/>
        <v>1</v>
      </c>
      <c r="AH14" s="24">
        <f t="shared" si="42"/>
        <v>1</v>
      </c>
      <c r="AI14" s="28">
        <f t="shared" si="43"/>
        <v>1</v>
      </c>
      <c r="AJ14" s="24">
        <v>0.0</v>
      </c>
      <c r="AK14" s="27">
        <f t="shared" si="6"/>
        <v>2</v>
      </c>
      <c r="AL14" s="24">
        <f t="shared" si="44"/>
        <v>0</v>
      </c>
      <c r="AM14" s="2">
        <f t="shared" si="45"/>
        <v>2</v>
      </c>
      <c r="AN14" s="24">
        <f t="shared" si="46"/>
        <v>2</v>
      </c>
      <c r="AO14" s="24">
        <f t="shared" si="47"/>
        <v>2</v>
      </c>
      <c r="AP14" s="24">
        <f t="shared" si="48"/>
        <v>2</v>
      </c>
      <c r="AQ14" s="24">
        <f t="shared" si="49"/>
        <v>1</v>
      </c>
      <c r="AR14" s="24">
        <f t="shared" si="50"/>
        <v>0</v>
      </c>
      <c r="AS14" s="24">
        <f t="shared" si="51"/>
        <v>0</v>
      </c>
      <c r="AT14" s="28">
        <f t="shared" si="52"/>
        <v>2</v>
      </c>
      <c r="AU14" s="24">
        <v>4.0</v>
      </c>
      <c r="AV14" s="27">
        <f t="shared" si="7"/>
        <v>2.333333333</v>
      </c>
      <c r="AW14" s="24">
        <f t="shared" si="53"/>
        <v>2</v>
      </c>
      <c r="AX14" s="2">
        <f t="shared" si="54"/>
        <v>1</v>
      </c>
      <c r="AY14" s="24">
        <f t="shared" si="55"/>
        <v>1</v>
      </c>
      <c r="AZ14" s="24">
        <f t="shared" si="56"/>
        <v>2</v>
      </c>
      <c r="BA14" s="24">
        <f t="shared" si="57"/>
        <v>2</v>
      </c>
      <c r="BB14" s="24">
        <f t="shared" si="58"/>
        <v>0</v>
      </c>
      <c r="BC14" s="24">
        <f t="shared" si="59"/>
        <v>1</v>
      </c>
      <c r="BD14" s="24">
        <f t="shared" si="60"/>
        <v>1</v>
      </c>
      <c r="BE14" s="24">
        <f t="shared" si="61"/>
        <v>0</v>
      </c>
      <c r="BF14" s="29">
        <f t="shared" ref="BF14:BO14" si="62">+(AK14+Z14+O14+D14)/4</f>
        <v>1.583333333</v>
      </c>
      <c r="BG14" s="24">
        <f t="shared" si="62"/>
        <v>1.25</v>
      </c>
      <c r="BH14" s="24">
        <f t="shared" si="62"/>
        <v>1.5</v>
      </c>
      <c r="BI14" s="24">
        <f t="shared" si="62"/>
        <v>1</v>
      </c>
      <c r="BJ14" s="24">
        <f t="shared" si="62"/>
        <v>2.25</v>
      </c>
      <c r="BK14" s="24">
        <f t="shared" si="62"/>
        <v>1.5</v>
      </c>
      <c r="BL14" s="24">
        <f t="shared" si="62"/>
        <v>0.75</v>
      </c>
      <c r="BM14" s="24">
        <f t="shared" si="62"/>
        <v>0.75</v>
      </c>
      <c r="BN14" s="24">
        <f t="shared" si="62"/>
        <v>0.5</v>
      </c>
      <c r="BO14" s="24">
        <f t="shared" si="62"/>
        <v>1</v>
      </c>
      <c r="BP14" s="30">
        <f t="shared" si="9"/>
        <v>0.75</v>
      </c>
      <c r="BQ14" s="31">
        <f t="shared" si="10"/>
        <v>0</v>
      </c>
      <c r="BR14" s="31">
        <f t="shared" si="11"/>
        <v>0.3333333333</v>
      </c>
      <c r="BS14" s="31">
        <f t="shared" si="12"/>
        <v>0.3333333333</v>
      </c>
      <c r="BT14" s="31">
        <f t="shared" si="13"/>
        <v>0</v>
      </c>
      <c r="BU14" s="31">
        <f t="shared" si="14"/>
        <v>0.3333333333</v>
      </c>
      <c r="BV14" s="31">
        <f t="shared" si="15"/>
        <v>1</v>
      </c>
      <c r="BW14" s="31">
        <f t="shared" ref="BW14:BX14" si="63">+BR14+BS14+BT14</f>
        <v>0.6666666667</v>
      </c>
      <c r="BX14" s="32">
        <f t="shared" si="63"/>
        <v>0.6666666667</v>
      </c>
    </row>
    <row r="15">
      <c r="A15" s="2"/>
      <c r="B15" s="33">
        <v>4.0</v>
      </c>
      <c r="C15" s="2">
        <v>1.0</v>
      </c>
      <c r="D15" s="3">
        <f t="shared" si="3"/>
        <v>1</v>
      </c>
      <c r="E15" s="2">
        <f t="shared" si="17"/>
        <v>3</v>
      </c>
      <c r="F15" s="2">
        <f t="shared" si="18"/>
        <v>1</v>
      </c>
      <c r="G15" s="2">
        <f t="shared" si="19"/>
        <v>0</v>
      </c>
      <c r="H15" s="2">
        <f t="shared" si="20"/>
        <v>3</v>
      </c>
      <c r="I15" s="2">
        <f t="shared" si="21"/>
        <v>1</v>
      </c>
      <c r="J15" s="2">
        <f t="shared" si="22"/>
        <v>1</v>
      </c>
      <c r="K15" s="2">
        <f t="shared" si="23"/>
        <v>2</v>
      </c>
      <c r="L15" s="2">
        <f t="shared" si="24"/>
        <v>1</v>
      </c>
      <c r="M15" s="34">
        <f t="shared" si="25"/>
        <v>0</v>
      </c>
      <c r="N15" s="35">
        <v>1.0</v>
      </c>
      <c r="O15" s="3">
        <f t="shared" si="4"/>
        <v>1.25</v>
      </c>
      <c r="P15" s="2">
        <f t="shared" si="26"/>
        <v>2</v>
      </c>
      <c r="Q15" s="2">
        <f t="shared" si="27"/>
        <v>1</v>
      </c>
      <c r="R15" s="2">
        <f t="shared" si="28"/>
        <v>1</v>
      </c>
      <c r="S15" s="2">
        <f t="shared" si="29"/>
        <v>3</v>
      </c>
      <c r="T15" s="2">
        <f t="shared" si="30"/>
        <v>1</v>
      </c>
      <c r="U15" s="2">
        <f t="shared" si="31"/>
        <v>1</v>
      </c>
      <c r="V15" s="2">
        <f t="shared" si="32"/>
        <v>2</v>
      </c>
      <c r="W15" s="2">
        <f t="shared" si="33"/>
        <v>0</v>
      </c>
      <c r="X15" s="34">
        <f t="shared" si="34"/>
        <v>1</v>
      </c>
      <c r="Y15" s="2">
        <v>3.0</v>
      </c>
      <c r="Z15" s="3">
        <f t="shared" si="5"/>
        <v>2.25</v>
      </c>
      <c r="AA15" s="2">
        <f t="shared" si="35"/>
        <v>2</v>
      </c>
      <c r="AB15" s="2">
        <f t="shared" si="36"/>
        <v>3</v>
      </c>
      <c r="AC15" s="2">
        <f t="shared" si="37"/>
        <v>2</v>
      </c>
      <c r="AD15" s="2">
        <f t="shared" si="38"/>
        <v>4</v>
      </c>
      <c r="AE15" s="2">
        <f t="shared" si="39"/>
        <v>3</v>
      </c>
      <c r="AF15" s="2">
        <f t="shared" si="40"/>
        <v>0</v>
      </c>
      <c r="AG15" s="2">
        <f t="shared" si="41"/>
        <v>1</v>
      </c>
      <c r="AH15" s="2">
        <f t="shared" si="42"/>
        <v>1</v>
      </c>
      <c r="AI15" s="34">
        <f t="shared" si="43"/>
        <v>2</v>
      </c>
      <c r="AJ15" s="35">
        <v>0.0</v>
      </c>
      <c r="AK15" s="3">
        <f t="shared" si="6"/>
        <v>1.5</v>
      </c>
      <c r="AL15" s="2">
        <f t="shared" si="44"/>
        <v>0</v>
      </c>
      <c r="AM15" s="2">
        <f t="shared" si="45"/>
        <v>2</v>
      </c>
      <c r="AN15" s="2">
        <f t="shared" si="46"/>
        <v>2</v>
      </c>
      <c r="AO15" s="2">
        <f t="shared" si="47"/>
        <v>2</v>
      </c>
      <c r="AP15" s="2">
        <f t="shared" si="48"/>
        <v>2</v>
      </c>
      <c r="AQ15" s="2">
        <f t="shared" si="49"/>
        <v>2</v>
      </c>
      <c r="AR15" s="2">
        <f t="shared" si="50"/>
        <v>0</v>
      </c>
      <c r="AS15" s="2">
        <f t="shared" si="51"/>
        <v>0</v>
      </c>
      <c r="AT15" s="34">
        <f t="shared" si="52"/>
        <v>2</v>
      </c>
      <c r="AU15" s="35">
        <v>1.0</v>
      </c>
      <c r="AV15" s="3">
        <f t="shared" si="7"/>
        <v>2</v>
      </c>
      <c r="AW15" s="2">
        <f t="shared" si="53"/>
        <v>3</v>
      </c>
      <c r="AX15" s="2">
        <f t="shared" si="54"/>
        <v>1</v>
      </c>
      <c r="AY15" s="2">
        <f t="shared" si="55"/>
        <v>1</v>
      </c>
      <c r="AZ15" s="2">
        <f t="shared" si="56"/>
        <v>3</v>
      </c>
      <c r="BA15" s="2">
        <f t="shared" si="57"/>
        <v>2</v>
      </c>
      <c r="BB15" s="2">
        <f t="shared" si="58"/>
        <v>0</v>
      </c>
      <c r="BC15" s="2">
        <f t="shared" si="59"/>
        <v>2</v>
      </c>
      <c r="BD15" s="2">
        <f t="shared" si="60"/>
        <v>1</v>
      </c>
      <c r="BE15" s="2">
        <f t="shared" si="61"/>
        <v>0</v>
      </c>
      <c r="BF15" s="36">
        <f t="shared" ref="BF15:BO15" si="64">+(AK15+Z15+O15+D15)/4</f>
        <v>1.5</v>
      </c>
      <c r="BG15" s="2">
        <f t="shared" si="64"/>
        <v>1.75</v>
      </c>
      <c r="BH15" s="2">
        <f t="shared" si="64"/>
        <v>1.75</v>
      </c>
      <c r="BI15" s="2">
        <f t="shared" si="64"/>
        <v>1.25</v>
      </c>
      <c r="BJ15" s="2">
        <f t="shared" si="64"/>
        <v>3</v>
      </c>
      <c r="BK15" s="2">
        <f t="shared" si="64"/>
        <v>1.75</v>
      </c>
      <c r="BL15" s="2">
        <f t="shared" si="64"/>
        <v>1</v>
      </c>
      <c r="BM15" s="2">
        <f t="shared" si="64"/>
        <v>1.25</v>
      </c>
      <c r="BN15" s="2">
        <f t="shared" si="64"/>
        <v>0.5</v>
      </c>
      <c r="BO15" s="2">
        <f t="shared" si="64"/>
        <v>1.25</v>
      </c>
      <c r="BP15" s="37">
        <f t="shared" si="9"/>
        <v>0.5</v>
      </c>
      <c r="BQ15" s="38">
        <f t="shared" si="10"/>
        <v>0</v>
      </c>
      <c r="BR15" s="38">
        <f t="shared" si="11"/>
        <v>0.5</v>
      </c>
      <c r="BS15" s="38">
        <f t="shared" si="12"/>
        <v>0.25</v>
      </c>
      <c r="BT15" s="38">
        <f t="shared" si="13"/>
        <v>0</v>
      </c>
      <c r="BU15" s="38">
        <f t="shared" si="14"/>
        <v>0.25</v>
      </c>
      <c r="BV15" s="38">
        <f t="shared" si="15"/>
        <v>1</v>
      </c>
      <c r="BW15" s="38">
        <f t="shared" ref="BW15:BX15" si="65">+BR15+BS15+BT15</f>
        <v>0.75</v>
      </c>
      <c r="BX15" s="39">
        <f t="shared" si="65"/>
        <v>0.5</v>
      </c>
    </row>
    <row r="16">
      <c r="A16" s="24"/>
      <c r="B16" s="40">
        <v>5.0</v>
      </c>
      <c r="C16" s="26">
        <v>3.0</v>
      </c>
      <c r="D16" s="27">
        <f t="shared" si="3"/>
        <v>1.4</v>
      </c>
      <c r="E16" s="24">
        <f t="shared" si="17"/>
        <v>3</v>
      </c>
      <c r="F16" s="2">
        <f t="shared" si="18"/>
        <v>2</v>
      </c>
      <c r="G16" s="24">
        <f t="shared" si="19"/>
        <v>1</v>
      </c>
      <c r="H16" s="24">
        <f t="shared" si="20"/>
        <v>4</v>
      </c>
      <c r="I16" s="24">
        <f t="shared" si="21"/>
        <v>2</v>
      </c>
      <c r="J16" s="24">
        <f t="shared" si="22"/>
        <v>1</v>
      </c>
      <c r="K16" s="24">
        <f t="shared" si="23"/>
        <v>2</v>
      </c>
      <c r="L16" s="24">
        <f t="shared" si="24"/>
        <v>1</v>
      </c>
      <c r="M16" s="28">
        <f t="shared" si="25"/>
        <v>1</v>
      </c>
      <c r="N16" s="24">
        <v>2.0</v>
      </c>
      <c r="O16" s="27">
        <f t="shared" si="4"/>
        <v>1.4</v>
      </c>
      <c r="P16" s="24">
        <f t="shared" si="26"/>
        <v>3</v>
      </c>
      <c r="Q16" s="2">
        <f t="shared" si="27"/>
        <v>2</v>
      </c>
      <c r="R16" s="24">
        <f t="shared" si="28"/>
        <v>1</v>
      </c>
      <c r="S16" s="24">
        <f t="shared" si="29"/>
        <v>4</v>
      </c>
      <c r="T16" s="24">
        <f t="shared" si="30"/>
        <v>2</v>
      </c>
      <c r="U16" s="24">
        <f t="shared" si="31"/>
        <v>1</v>
      </c>
      <c r="V16" s="24">
        <f t="shared" si="32"/>
        <v>2</v>
      </c>
      <c r="W16" s="24">
        <f t="shared" si="33"/>
        <v>1</v>
      </c>
      <c r="X16" s="28">
        <f t="shared" si="34"/>
        <v>1</v>
      </c>
      <c r="Y16" s="26">
        <v>2.0</v>
      </c>
      <c r="Z16" s="27">
        <f t="shared" si="5"/>
        <v>2.2</v>
      </c>
      <c r="AA16" s="24">
        <f t="shared" si="35"/>
        <v>3</v>
      </c>
      <c r="AB16" s="2">
        <f t="shared" si="36"/>
        <v>4</v>
      </c>
      <c r="AC16" s="24">
        <f t="shared" si="37"/>
        <v>2</v>
      </c>
      <c r="AD16" s="24">
        <f t="shared" si="38"/>
        <v>5</v>
      </c>
      <c r="AE16" s="24">
        <f t="shared" si="39"/>
        <v>4</v>
      </c>
      <c r="AF16" s="24">
        <f t="shared" si="40"/>
        <v>0</v>
      </c>
      <c r="AG16" s="24">
        <f t="shared" si="41"/>
        <v>1</v>
      </c>
      <c r="AH16" s="24">
        <f t="shared" si="42"/>
        <v>2</v>
      </c>
      <c r="AI16" s="28">
        <f t="shared" si="43"/>
        <v>2</v>
      </c>
      <c r="AJ16" s="24">
        <v>0.0</v>
      </c>
      <c r="AK16" s="27">
        <f t="shared" si="6"/>
        <v>1.2</v>
      </c>
      <c r="AL16" s="24">
        <f t="shared" si="44"/>
        <v>0</v>
      </c>
      <c r="AM16" s="2">
        <f t="shared" si="45"/>
        <v>2</v>
      </c>
      <c r="AN16" s="24">
        <f t="shared" si="46"/>
        <v>2</v>
      </c>
      <c r="AO16" s="24">
        <f t="shared" si="47"/>
        <v>2</v>
      </c>
      <c r="AP16" s="24">
        <f t="shared" si="48"/>
        <v>2</v>
      </c>
      <c r="AQ16" s="24">
        <f t="shared" si="49"/>
        <v>3</v>
      </c>
      <c r="AR16" s="24">
        <f t="shared" si="50"/>
        <v>0</v>
      </c>
      <c r="AS16" s="24">
        <f t="shared" si="51"/>
        <v>0</v>
      </c>
      <c r="AT16" s="28">
        <f t="shared" si="52"/>
        <v>2</v>
      </c>
      <c r="AU16" s="24">
        <v>1.0</v>
      </c>
      <c r="AV16" s="27">
        <f t="shared" si="7"/>
        <v>1.8</v>
      </c>
      <c r="AW16" s="24">
        <f t="shared" si="53"/>
        <v>4</v>
      </c>
      <c r="AX16" s="2">
        <f t="shared" si="54"/>
        <v>1</v>
      </c>
      <c r="AY16" s="24">
        <f t="shared" si="55"/>
        <v>1</v>
      </c>
      <c r="AZ16" s="24">
        <f t="shared" si="56"/>
        <v>4</v>
      </c>
      <c r="BA16" s="24">
        <f t="shared" si="57"/>
        <v>2</v>
      </c>
      <c r="BB16" s="24">
        <f t="shared" si="58"/>
        <v>0</v>
      </c>
      <c r="BC16" s="24">
        <f t="shared" si="59"/>
        <v>3</v>
      </c>
      <c r="BD16" s="24">
        <f t="shared" si="60"/>
        <v>1</v>
      </c>
      <c r="BE16" s="24">
        <f t="shared" si="61"/>
        <v>0</v>
      </c>
      <c r="BF16" s="29">
        <f t="shared" ref="BF16:BO16" si="66">+(AK16+Z16+O16+D16)/4</f>
        <v>1.55</v>
      </c>
      <c r="BG16" s="24">
        <f t="shared" si="66"/>
        <v>2.25</v>
      </c>
      <c r="BH16" s="24">
        <f t="shared" si="66"/>
        <v>2.5</v>
      </c>
      <c r="BI16" s="24">
        <f t="shared" si="66"/>
        <v>1.5</v>
      </c>
      <c r="BJ16" s="24">
        <f t="shared" si="66"/>
        <v>3.75</v>
      </c>
      <c r="BK16" s="24">
        <f t="shared" si="66"/>
        <v>2.5</v>
      </c>
      <c r="BL16" s="24">
        <f t="shared" si="66"/>
        <v>1.25</v>
      </c>
      <c r="BM16" s="24">
        <f t="shared" si="66"/>
        <v>1.25</v>
      </c>
      <c r="BN16" s="24">
        <f t="shared" si="66"/>
        <v>1</v>
      </c>
      <c r="BO16" s="24">
        <f t="shared" si="66"/>
        <v>1.5</v>
      </c>
      <c r="BP16" s="30">
        <f t="shared" si="9"/>
        <v>0.25</v>
      </c>
      <c r="BQ16" s="31">
        <f t="shared" si="10"/>
        <v>0</v>
      </c>
      <c r="BR16" s="31">
        <f t="shared" si="11"/>
        <v>0.6</v>
      </c>
      <c r="BS16" s="31">
        <f t="shared" si="12"/>
        <v>0.2</v>
      </c>
      <c r="BT16" s="31">
        <f t="shared" si="13"/>
        <v>0</v>
      </c>
      <c r="BU16" s="31">
        <f t="shared" si="14"/>
        <v>0.2</v>
      </c>
      <c r="BV16" s="31">
        <f t="shared" si="15"/>
        <v>1</v>
      </c>
      <c r="BW16" s="31">
        <f t="shared" ref="BW16:BX16" si="67">+BR16+BS16+BT16</f>
        <v>0.8</v>
      </c>
      <c r="BX16" s="32">
        <f t="shared" si="67"/>
        <v>0.4</v>
      </c>
    </row>
    <row r="17">
      <c r="A17" s="2"/>
      <c r="B17" s="33">
        <v>6.0</v>
      </c>
      <c r="C17" s="2">
        <v>3.0</v>
      </c>
      <c r="D17" s="3">
        <f t="shared" si="3"/>
        <v>1.666666667</v>
      </c>
      <c r="E17" s="2">
        <f t="shared" si="17"/>
        <v>3</v>
      </c>
      <c r="F17" s="2">
        <f t="shared" si="18"/>
        <v>3</v>
      </c>
      <c r="G17" s="2">
        <f t="shared" si="19"/>
        <v>2</v>
      </c>
      <c r="H17" s="2">
        <f t="shared" si="20"/>
        <v>5</v>
      </c>
      <c r="I17" s="2">
        <f t="shared" si="21"/>
        <v>3</v>
      </c>
      <c r="J17" s="2">
        <f t="shared" si="22"/>
        <v>1</v>
      </c>
      <c r="K17" s="2">
        <f t="shared" si="23"/>
        <v>2</v>
      </c>
      <c r="L17" s="2">
        <f t="shared" si="24"/>
        <v>1</v>
      </c>
      <c r="M17" s="34">
        <f t="shared" si="25"/>
        <v>2</v>
      </c>
      <c r="N17" s="35">
        <v>0.0</v>
      </c>
      <c r="O17" s="3">
        <f t="shared" si="4"/>
        <v>1.166666667</v>
      </c>
      <c r="P17" s="2">
        <f t="shared" si="26"/>
        <v>3</v>
      </c>
      <c r="Q17" s="2">
        <f t="shared" si="27"/>
        <v>2</v>
      </c>
      <c r="R17" s="2">
        <f t="shared" si="28"/>
        <v>1</v>
      </c>
      <c r="S17" s="2">
        <f t="shared" si="29"/>
        <v>4</v>
      </c>
      <c r="T17" s="2">
        <f t="shared" si="30"/>
        <v>2</v>
      </c>
      <c r="U17" s="2">
        <f t="shared" si="31"/>
        <v>2</v>
      </c>
      <c r="V17" s="2">
        <f t="shared" si="32"/>
        <v>2</v>
      </c>
      <c r="W17" s="2">
        <f t="shared" si="33"/>
        <v>1</v>
      </c>
      <c r="X17" s="34">
        <f t="shared" si="34"/>
        <v>1</v>
      </c>
      <c r="Y17" s="2">
        <v>1.0</v>
      </c>
      <c r="Z17" s="3">
        <f t="shared" si="5"/>
        <v>2</v>
      </c>
      <c r="AA17" s="2">
        <f t="shared" si="35"/>
        <v>4</v>
      </c>
      <c r="AB17" s="2">
        <f t="shared" si="36"/>
        <v>4</v>
      </c>
      <c r="AC17" s="2">
        <f t="shared" si="37"/>
        <v>2</v>
      </c>
      <c r="AD17" s="2">
        <f t="shared" si="38"/>
        <v>6</v>
      </c>
      <c r="AE17" s="2">
        <f t="shared" si="39"/>
        <v>4</v>
      </c>
      <c r="AF17" s="2">
        <f t="shared" si="40"/>
        <v>0</v>
      </c>
      <c r="AG17" s="2">
        <f t="shared" si="41"/>
        <v>2</v>
      </c>
      <c r="AH17" s="2">
        <f t="shared" si="42"/>
        <v>2</v>
      </c>
      <c r="AI17" s="34">
        <f t="shared" si="43"/>
        <v>2</v>
      </c>
      <c r="AJ17" s="35">
        <v>1.0</v>
      </c>
      <c r="AK17" s="3">
        <f t="shared" si="6"/>
        <v>1.166666667</v>
      </c>
      <c r="AL17" s="2">
        <f t="shared" si="44"/>
        <v>1</v>
      </c>
      <c r="AM17" s="2">
        <f t="shared" si="45"/>
        <v>2</v>
      </c>
      <c r="AN17" s="2">
        <f t="shared" si="46"/>
        <v>2</v>
      </c>
      <c r="AO17" s="2">
        <f t="shared" si="47"/>
        <v>3</v>
      </c>
      <c r="AP17" s="2">
        <f t="shared" si="48"/>
        <v>2</v>
      </c>
      <c r="AQ17" s="2">
        <f t="shared" si="49"/>
        <v>3</v>
      </c>
      <c r="AR17" s="2">
        <f t="shared" si="50"/>
        <v>1</v>
      </c>
      <c r="AS17" s="2">
        <f t="shared" si="51"/>
        <v>0</v>
      </c>
      <c r="AT17" s="34">
        <f t="shared" si="52"/>
        <v>2</v>
      </c>
      <c r="AU17" s="2">
        <v>0.0</v>
      </c>
      <c r="AV17" s="3">
        <f t="shared" si="7"/>
        <v>1.5</v>
      </c>
      <c r="AW17" s="2">
        <f t="shared" si="53"/>
        <v>4</v>
      </c>
      <c r="AX17" s="2">
        <f t="shared" si="54"/>
        <v>1</v>
      </c>
      <c r="AY17" s="2">
        <f t="shared" si="55"/>
        <v>1</v>
      </c>
      <c r="AZ17" s="2">
        <f t="shared" si="56"/>
        <v>4</v>
      </c>
      <c r="BA17" s="2">
        <f t="shared" si="57"/>
        <v>2</v>
      </c>
      <c r="BB17" s="2">
        <f t="shared" si="58"/>
        <v>1</v>
      </c>
      <c r="BC17" s="2">
        <f t="shared" si="59"/>
        <v>3</v>
      </c>
      <c r="BD17" s="2">
        <f t="shared" si="60"/>
        <v>1</v>
      </c>
      <c r="BE17" s="2">
        <f t="shared" si="61"/>
        <v>0</v>
      </c>
      <c r="BF17" s="36">
        <f t="shared" ref="BF17:BO17" si="68">+(AK17+Z17+O17+D17)/4</f>
        <v>1.5</v>
      </c>
      <c r="BG17" s="2">
        <f t="shared" si="68"/>
        <v>2.75</v>
      </c>
      <c r="BH17" s="2">
        <f t="shared" si="68"/>
        <v>2.75</v>
      </c>
      <c r="BI17" s="2">
        <f t="shared" si="68"/>
        <v>1.75</v>
      </c>
      <c r="BJ17" s="2">
        <f t="shared" si="68"/>
        <v>4.5</v>
      </c>
      <c r="BK17" s="2">
        <f t="shared" si="68"/>
        <v>2.75</v>
      </c>
      <c r="BL17" s="2">
        <f t="shared" si="68"/>
        <v>1.5</v>
      </c>
      <c r="BM17" s="2">
        <f t="shared" si="68"/>
        <v>1.75</v>
      </c>
      <c r="BN17" s="2">
        <f t="shared" si="68"/>
        <v>1</v>
      </c>
      <c r="BO17" s="2">
        <f t="shared" si="68"/>
        <v>1.75</v>
      </c>
      <c r="BP17" s="37">
        <f t="shared" si="9"/>
        <v>0</v>
      </c>
      <c r="BQ17" s="38">
        <f t="shared" si="10"/>
        <v>0.1666666667</v>
      </c>
      <c r="BR17" s="38">
        <f t="shared" si="11"/>
        <v>0.5</v>
      </c>
      <c r="BS17" s="38">
        <f t="shared" si="12"/>
        <v>0.1666666667</v>
      </c>
      <c r="BT17" s="38">
        <f t="shared" si="13"/>
        <v>0</v>
      </c>
      <c r="BU17" s="38">
        <f t="shared" si="14"/>
        <v>0.1666666667</v>
      </c>
      <c r="BV17" s="38">
        <f t="shared" si="15"/>
        <v>0.8333333333</v>
      </c>
      <c r="BW17" s="38">
        <f t="shared" ref="BW17:BX17" si="69">+BR17+BS17+BT17</f>
        <v>0.6666666667</v>
      </c>
      <c r="BX17" s="39">
        <f t="shared" si="69"/>
        <v>0.3333333333</v>
      </c>
    </row>
    <row r="18">
      <c r="A18" s="24"/>
      <c r="B18" s="40">
        <v>7.0</v>
      </c>
      <c r="C18" s="26">
        <v>1.0</v>
      </c>
      <c r="D18" s="27">
        <f t="shared" si="3"/>
        <v>1.571428571</v>
      </c>
      <c r="E18" s="24">
        <f t="shared" si="17"/>
        <v>4</v>
      </c>
      <c r="F18" s="2">
        <f t="shared" si="18"/>
        <v>3</v>
      </c>
      <c r="G18" s="24">
        <f t="shared" si="19"/>
        <v>2</v>
      </c>
      <c r="H18" s="24">
        <f t="shared" si="20"/>
        <v>6</v>
      </c>
      <c r="I18" s="24">
        <f t="shared" si="21"/>
        <v>3</v>
      </c>
      <c r="J18" s="24">
        <f t="shared" si="22"/>
        <v>1</v>
      </c>
      <c r="K18" s="24">
        <f t="shared" si="23"/>
        <v>3</v>
      </c>
      <c r="L18" s="24">
        <f t="shared" si="24"/>
        <v>1</v>
      </c>
      <c r="M18" s="28">
        <f t="shared" si="25"/>
        <v>2</v>
      </c>
      <c r="N18" s="24">
        <v>2.0</v>
      </c>
      <c r="O18" s="27">
        <f t="shared" si="4"/>
        <v>1.285714286</v>
      </c>
      <c r="P18" s="24">
        <f t="shared" si="26"/>
        <v>4</v>
      </c>
      <c r="Q18" s="2">
        <f t="shared" si="27"/>
        <v>3</v>
      </c>
      <c r="R18" s="24">
        <f t="shared" si="28"/>
        <v>1</v>
      </c>
      <c r="S18" s="24">
        <f t="shared" si="29"/>
        <v>5</v>
      </c>
      <c r="T18" s="24">
        <f t="shared" si="30"/>
        <v>3</v>
      </c>
      <c r="U18" s="24">
        <f t="shared" si="31"/>
        <v>2</v>
      </c>
      <c r="V18" s="24">
        <f t="shared" si="32"/>
        <v>2</v>
      </c>
      <c r="W18" s="24">
        <f t="shared" si="33"/>
        <v>2</v>
      </c>
      <c r="X18" s="28">
        <f t="shared" si="34"/>
        <v>1</v>
      </c>
      <c r="Y18" s="26">
        <v>0.0</v>
      </c>
      <c r="Z18" s="27">
        <f t="shared" si="5"/>
        <v>1.714285714</v>
      </c>
      <c r="AA18" s="24">
        <f t="shared" si="35"/>
        <v>4</v>
      </c>
      <c r="AB18" s="2">
        <f t="shared" si="36"/>
        <v>4</v>
      </c>
      <c r="AC18" s="24">
        <f t="shared" si="37"/>
        <v>2</v>
      </c>
      <c r="AD18" s="24">
        <f t="shared" si="38"/>
        <v>6</v>
      </c>
      <c r="AE18" s="24">
        <f t="shared" si="39"/>
        <v>4</v>
      </c>
      <c r="AF18" s="24">
        <f t="shared" si="40"/>
        <v>1</v>
      </c>
      <c r="AG18" s="24">
        <f t="shared" si="41"/>
        <v>2</v>
      </c>
      <c r="AH18" s="24">
        <f t="shared" si="42"/>
        <v>2</v>
      </c>
      <c r="AI18" s="28">
        <f t="shared" si="43"/>
        <v>2</v>
      </c>
      <c r="AJ18" s="24">
        <v>1.0</v>
      </c>
      <c r="AK18" s="27">
        <f t="shared" si="6"/>
        <v>1.142857143</v>
      </c>
      <c r="AL18" s="24">
        <f t="shared" si="44"/>
        <v>2</v>
      </c>
      <c r="AM18" s="2">
        <f t="shared" si="45"/>
        <v>2</v>
      </c>
      <c r="AN18" s="24">
        <f t="shared" si="46"/>
        <v>2</v>
      </c>
      <c r="AO18" s="24">
        <f t="shared" si="47"/>
        <v>4</v>
      </c>
      <c r="AP18" s="24">
        <f t="shared" si="48"/>
        <v>2</v>
      </c>
      <c r="AQ18" s="24">
        <f t="shared" si="49"/>
        <v>3</v>
      </c>
      <c r="AR18" s="24">
        <f t="shared" si="50"/>
        <v>2</v>
      </c>
      <c r="AS18" s="24">
        <f t="shared" si="51"/>
        <v>0</v>
      </c>
      <c r="AT18" s="28">
        <f t="shared" si="52"/>
        <v>2</v>
      </c>
      <c r="AU18" s="26">
        <v>0.0</v>
      </c>
      <c r="AV18" s="27">
        <f t="shared" si="7"/>
        <v>1.285714286</v>
      </c>
      <c r="AW18" s="24">
        <f t="shared" si="53"/>
        <v>4</v>
      </c>
      <c r="AX18" s="2">
        <f t="shared" si="54"/>
        <v>1</v>
      </c>
      <c r="AY18" s="24">
        <f t="shared" si="55"/>
        <v>1</v>
      </c>
      <c r="AZ18" s="24">
        <f t="shared" si="56"/>
        <v>4</v>
      </c>
      <c r="BA18" s="24">
        <f t="shared" si="57"/>
        <v>2</v>
      </c>
      <c r="BB18" s="24">
        <f t="shared" si="58"/>
        <v>2</v>
      </c>
      <c r="BC18" s="24">
        <f t="shared" si="59"/>
        <v>3</v>
      </c>
      <c r="BD18" s="24">
        <f t="shared" si="60"/>
        <v>1</v>
      </c>
      <c r="BE18" s="24">
        <f t="shared" si="61"/>
        <v>0</v>
      </c>
      <c r="BF18" s="29">
        <f t="shared" ref="BF18:BO18" si="70">+(AK18+Z18+O18+D18)/4</f>
        <v>1.428571429</v>
      </c>
      <c r="BG18" s="24">
        <f t="shared" si="70"/>
        <v>3.5</v>
      </c>
      <c r="BH18" s="24">
        <f t="shared" si="70"/>
        <v>3</v>
      </c>
      <c r="BI18" s="24">
        <f t="shared" si="70"/>
        <v>1.75</v>
      </c>
      <c r="BJ18" s="24">
        <f t="shared" si="70"/>
        <v>5.25</v>
      </c>
      <c r="BK18" s="24">
        <f t="shared" si="70"/>
        <v>3</v>
      </c>
      <c r="BL18" s="24">
        <f t="shared" si="70"/>
        <v>1.75</v>
      </c>
      <c r="BM18" s="24">
        <f t="shared" si="70"/>
        <v>2.25</v>
      </c>
      <c r="BN18" s="24">
        <f t="shared" si="70"/>
        <v>1.25</v>
      </c>
      <c r="BO18" s="24">
        <f t="shared" si="70"/>
        <v>1.75</v>
      </c>
      <c r="BP18" s="30">
        <f t="shared" si="9"/>
        <v>-0.1428571429</v>
      </c>
      <c r="BQ18" s="31">
        <f t="shared" si="10"/>
        <v>0.2857142857</v>
      </c>
      <c r="BR18" s="31">
        <f t="shared" si="11"/>
        <v>0.4285714286</v>
      </c>
      <c r="BS18" s="31">
        <f t="shared" si="12"/>
        <v>0.1428571429</v>
      </c>
      <c r="BT18" s="31">
        <f t="shared" si="13"/>
        <v>0</v>
      </c>
      <c r="BU18" s="31">
        <f t="shared" si="14"/>
        <v>0.1428571429</v>
      </c>
      <c r="BV18" s="31">
        <f t="shared" si="15"/>
        <v>0.7142857143</v>
      </c>
      <c r="BW18" s="31">
        <f t="shared" ref="BW18:BX18" si="71">+BR18+BS18+BT18</f>
        <v>0.5714285714</v>
      </c>
      <c r="BX18" s="32">
        <f t="shared" si="71"/>
        <v>0.2857142857</v>
      </c>
    </row>
    <row r="19">
      <c r="A19" s="2"/>
      <c r="B19" s="33">
        <v>8.0</v>
      </c>
      <c r="C19" s="2">
        <v>1.0</v>
      </c>
      <c r="D19" s="3">
        <f t="shared" si="3"/>
        <v>1.5</v>
      </c>
      <c r="E19" s="2">
        <f t="shared" si="17"/>
        <v>5</v>
      </c>
      <c r="F19" s="2">
        <f t="shared" si="18"/>
        <v>3</v>
      </c>
      <c r="G19" s="2">
        <f t="shared" si="19"/>
        <v>2</v>
      </c>
      <c r="H19" s="2">
        <f t="shared" si="20"/>
        <v>7</v>
      </c>
      <c r="I19" s="2">
        <f t="shared" si="21"/>
        <v>3</v>
      </c>
      <c r="J19" s="2">
        <f t="shared" si="22"/>
        <v>1</v>
      </c>
      <c r="K19" s="2">
        <f t="shared" si="23"/>
        <v>4</v>
      </c>
      <c r="L19" s="2">
        <f t="shared" si="24"/>
        <v>1</v>
      </c>
      <c r="M19" s="34">
        <f t="shared" si="25"/>
        <v>2</v>
      </c>
      <c r="N19" s="35">
        <v>0.0</v>
      </c>
      <c r="O19" s="3">
        <f t="shared" si="4"/>
        <v>1.125</v>
      </c>
      <c r="P19" s="2">
        <f t="shared" si="26"/>
        <v>4</v>
      </c>
      <c r="Q19" s="2">
        <f t="shared" si="27"/>
        <v>3</v>
      </c>
      <c r="R19" s="2">
        <f t="shared" si="28"/>
        <v>1</v>
      </c>
      <c r="S19" s="2">
        <f t="shared" si="29"/>
        <v>5</v>
      </c>
      <c r="T19" s="2">
        <f t="shared" si="30"/>
        <v>3</v>
      </c>
      <c r="U19" s="2">
        <f t="shared" si="31"/>
        <v>3</v>
      </c>
      <c r="V19" s="2">
        <f t="shared" si="32"/>
        <v>2</v>
      </c>
      <c r="W19" s="2">
        <f t="shared" si="33"/>
        <v>2</v>
      </c>
      <c r="X19" s="34">
        <f t="shared" si="34"/>
        <v>1</v>
      </c>
      <c r="Y19" s="2">
        <v>2.0</v>
      </c>
      <c r="Z19" s="3">
        <f t="shared" si="5"/>
        <v>1.75</v>
      </c>
      <c r="AA19" s="2">
        <f t="shared" si="35"/>
        <v>5</v>
      </c>
      <c r="AB19" s="2">
        <f t="shared" si="36"/>
        <v>5</v>
      </c>
      <c r="AC19" s="2">
        <f t="shared" si="37"/>
        <v>2</v>
      </c>
      <c r="AD19" s="2">
        <f t="shared" si="38"/>
        <v>7</v>
      </c>
      <c r="AE19" s="2">
        <f t="shared" si="39"/>
        <v>5</v>
      </c>
      <c r="AF19" s="2">
        <f t="shared" si="40"/>
        <v>1</v>
      </c>
      <c r="AG19" s="2">
        <f t="shared" si="41"/>
        <v>2</v>
      </c>
      <c r="AH19" s="2">
        <f t="shared" si="42"/>
        <v>3</v>
      </c>
      <c r="AI19" s="34">
        <f t="shared" si="43"/>
        <v>2</v>
      </c>
      <c r="AJ19" s="35">
        <v>4.0</v>
      </c>
      <c r="AK19" s="3">
        <f t="shared" si="6"/>
        <v>1.5</v>
      </c>
      <c r="AL19" s="2">
        <f t="shared" si="44"/>
        <v>2</v>
      </c>
      <c r="AM19" s="2">
        <f t="shared" si="45"/>
        <v>2</v>
      </c>
      <c r="AN19" s="2">
        <f t="shared" si="46"/>
        <v>3</v>
      </c>
      <c r="AO19" s="2">
        <f t="shared" si="47"/>
        <v>4</v>
      </c>
      <c r="AP19" s="2">
        <f t="shared" si="48"/>
        <v>3</v>
      </c>
      <c r="AQ19" s="2">
        <f t="shared" si="49"/>
        <v>3</v>
      </c>
      <c r="AR19" s="2">
        <f t="shared" si="50"/>
        <v>2</v>
      </c>
      <c r="AS19" s="2">
        <f t="shared" si="51"/>
        <v>0</v>
      </c>
      <c r="AT19" s="34">
        <f t="shared" si="52"/>
        <v>2</v>
      </c>
      <c r="AU19" s="35">
        <v>0.0</v>
      </c>
      <c r="AV19" s="3">
        <f t="shared" si="7"/>
        <v>1.125</v>
      </c>
      <c r="AW19" s="2">
        <f t="shared" si="53"/>
        <v>4</v>
      </c>
      <c r="AX19" s="2">
        <f t="shared" si="54"/>
        <v>1</v>
      </c>
      <c r="AY19" s="2">
        <f t="shared" si="55"/>
        <v>1</v>
      </c>
      <c r="AZ19" s="2">
        <f t="shared" si="56"/>
        <v>4</v>
      </c>
      <c r="BA19" s="2">
        <f t="shared" si="57"/>
        <v>2</v>
      </c>
      <c r="BB19" s="2">
        <f t="shared" si="58"/>
        <v>3</v>
      </c>
      <c r="BC19" s="2">
        <f t="shared" si="59"/>
        <v>3</v>
      </c>
      <c r="BD19" s="2">
        <f t="shared" si="60"/>
        <v>1</v>
      </c>
      <c r="BE19" s="2">
        <f t="shared" si="61"/>
        <v>0</v>
      </c>
      <c r="BF19" s="36">
        <f t="shared" ref="BF19:BO19" si="72">+(AK19+Z19+O19+D19)/4</f>
        <v>1.46875</v>
      </c>
      <c r="BG19" s="2">
        <f t="shared" si="72"/>
        <v>4</v>
      </c>
      <c r="BH19" s="2">
        <f t="shared" si="72"/>
        <v>3.25</v>
      </c>
      <c r="BI19" s="2">
        <f t="shared" si="72"/>
        <v>2</v>
      </c>
      <c r="BJ19" s="2">
        <f t="shared" si="72"/>
        <v>5.75</v>
      </c>
      <c r="BK19" s="2">
        <f t="shared" si="72"/>
        <v>3.5</v>
      </c>
      <c r="BL19" s="2">
        <f t="shared" si="72"/>
        <v>2</v>
      </c>
      <c r="BM19" s="2">
        <f t="shared" si="72"/>
        <v>2.5</v>
      </c>
      <c r="BN19" s="2">
        <f t="shared" si="72"/>
        <v>1.5</v>
      </c>
      <c r="BO19" s="2">
        <f t="shared" si="72"/>
        <v>1.75</v>
      </c>
      <c r="BP19" s="37">
        <f t="shared" si="9"/>
        <v>-0.34375</v>
      </c>
      <c r="BQ19" s="38">
        <f t="shared" si="10"/>
        <v>0.375</v>
      </c>
      <c r="BR19" s="38">
        <f t="shared" si="11"/>
        <v>0.375</v>
      </c>
      <c r="BS19" s="38">
        <f t="shared" si="12"/>
        <v>0.125</v>
      </c>
      <c r="BT19" s="38">
        <f t="shared" si="13"/>
        <v>0</v>
      </c>
      <c r="BU19" s="38">
        <f t="shared" si="14"/>
        <v>0.125</v>
      </c>
      <c r="BV19" s="38">
        <f t="shared" si="15"/>
        <v>0.625</v>
      </c>
      <c r="BW19" s="38">
        <f t="shared" ref="BW19:BX19" si="73">+BR19+BS19+BT19</f>
        <v>0.5</v>
      </c>
      <c r="BX19" s="39">
        <f t="shared" si="73"/>
        <v>0.25</v>
      </c>
    </row>
    <row r="20">
      <c r="A20" s="24"/>
      <c r="B20" s="40">
        <v>9.0</v>
      </c>
      <c r="C20" s="26">
        <v>1.0</v>
      </c>
      <c r="D20" s="27">
        <f t="shared" si="3"/>
        <v>1.444444444</v>
      </c>
      <c r="E20" s="24">
        <f t="shared" si="17"/>
        <v>6</v>
      </c>
      <c r="F20" s="2">
        <f t="shared" si="18"/>
        <v>3</v>
      </c>
      <c r="G20" s="24">
        <f t="shared" si="19"/>
        <v>2</v>
      </c>
      <c r="H20" s="24">
        <f t="shared" si="20"/>
        <v>8</v>
      </c>
      <c r="I20" s="24">
        <f t="shared" si="21"/>
        <v>3</v>
      </c>
      <c r="J20" s="24">
        <f t="shared" si="22"/>
        <v>1</v>
      </c>
      <c r="K20" s="24">
        <f t="shared" si="23"/>
        <v>5</v>
      </c>
      <c r="L20" s="24">
        <f t="shared" si="24"/>
        <v>1</v>
      </c>
      <c r="M20" s="28">
        <f t="shared" si="25"/>
        <v>2</v>
      </c>
      <c r="N20" s="24">
        <v>3.0</v>
      </c>
      <c r="O20" s="27">
        <f t="shared" si="4"/>
        <v>1.333333333</v>
      </c>
      <c r="P20" s="24">
        <f t="shared" si="26"/>
        <v>4</v>
      </c>
      <c r="Q20" s="2">
        <f t="shared" si="27"/>
        <v>4</v>
      </c>
      <c r="R20" s="24">
        <f t="shared" si="28"/>
        <v>2</v>
      </c>
      <c r="S20" s="24">
        <f t="shared" si="29"/>
        <v>6</v>
      </c>
      <c r="T20" s="24">
        <f t="shared" si="30"/>
        <v>4</v>
      </c>
      <c r="U20" s="24">
        <f t="shared" si="31"/>
        <v>3</v>
      </c>
      <c r="V20" s="24">
        <f t="shared" si="32"/>
        <v>2</v>
      </c>
      <c r="W20" s="24">
        <f t="shared" si="33"/>
        <v>2</v>
      </c>
      <c r="X20" s="28">
        <f t="shared" si="34"/>
        <v>2</v>
      </c>
      <c r="Y20" s="26">
        <v>1.0</v>
      </c>
      <c r="Z20" s="27">
        <f t="shared" si="5"/>
        <v>1.666666667</v>
      </c>
      <c r="AA20" s="24">
        <f t="shared" si="35"/>
        <v>6</v>
      </c>
      <c r="AB20" s="2">
        <f t="shared" si="36"/>
        <v>5</v>
      </c>
      <c r="AC20" s="24">
        <f t="shared" si="37"/>
        <v>2</v>
      </c>
      <c r="AD20" s="24">
        <f t="shared" si="38"/>
        <v>8</v>
      </c>
      <c r="AE20" s="24">
        <f t="shared" si="39"/>
        <v>5</v>
      </c>
      <c r="AF20" s="24">
        <f t="shared" si="40"/>
        <v>1</v>
      </c>
      <c r="AG20" s="24">
        <f t="shared" si="41"/>
        <v>3</v>
      </c>
      <c r="AH20" s="24">
        <f t="shared" si="42"/>
        <v>3</v>
      </c>
      <c r="AI20" s="28">
        <f t="shared" si="43"/>
        <v>2</v>
      </c>
      <c r="AJ20" s="24">
        <v>2.0</v>
      </c>
      <c r="AK20" s="27">
        <f t="shared" si="6"/>
        <v>1.555555556</v>
      </c>
      <c r="AL20" s="24">
        <f t="shared" si="44"/>
        <v>3</v>
      </c>
      <c r="AM20" s="2">
        <f t="shared" si="45"/>
        <v>3</v>
      </c>
      <c r="AN20" s="24">
        <f t="shared" si="46"/>
        <v>3</v>
      </c>
      <c r="AO20" s="24">
        <f t="shared" si="47"/>
        <v>5</v>
      </c>
      <c r="AP20" s="24">
        <f t="shared" si="48"/>
        <v>4</v>
      </c>
      <c r="AQ20" s="24">
        <f t="shared" si="49"/>
        <v>3</v>
      </c>
      <c r="AR20" s="24">
        <f t="shared" si="50"/>
        <v>2</v>
      </c>
      <c r="AS20" s="24">
        <f t="shared" si="51"/>
        <v>1</v>
      </c>
      <c r="AT20" s="28">
        <f t="shared" si="52"/>
        <v>2</v>
      </c>
      <c r="AU20" s="41">
        <v>3.0</v>
      </c>
      <c r="AV20" s="27">
        <f t="shared" si="7"/>
        <v>1.333333333</v>
      </c>
      <c r="AW20" s="24">
        <f t="shared" si="53"/>
        <v>4</v>
      </c>
      <c r="AX20" s="2">
        <f t="shared" si="54"/>
        <v>2</v>
      </c>
      <c r="AY20" s="24">
        <f t="shared" si="55"/>
        <v>2</v>
      </c>
      <c r="AZ20" s="24">
        <f t="shared" si="56"/>
        <v>5</v>
      </c>
      <c r="BA20" s="24">
        <f t="shared" si="57"/>
        <v>3</v>
      </c>
      <c r="BB20" s="24">
        <f t="shared" si="58"/>
        <v>3</v>
      </c>
      <c r="BC20" s="24">
        <f t="shared" si="59"/>
        <v>3</v>
      </c>
      <c r="BD20" s="24">
        <f t="shared" si="60"/>
        <v>1</v>
      </c>
      <c r="BE20" s="24">
        <f t="shared" si="61"/>
        <v>1</v>
      </c>
      <c r="BF20" s="29">
        <f t="shared" ref="BF20:BO20" si="74">+(AK20+Z20+O20+D20)/4</f>
        <v>1.5</v>
      </c>
      <c r="BG20" s="24">
        <f t="shared" si="74"/>
        <v>4.75</v>
      </c>
      <c r="BH20" s="24">
        <f t="shared" si="74"/>
        <v>3.75</v>
      </c>
      <c r="BI20" s="24">
        <f t="shared" si="74"/>
        <v>2.25</v>
      </c>
      <c r="BJ20" s="24">
        <f t="shared" si="74"/>
        <v>6.75</v>
      </c>
      <c r="BK20" s="24">
        <f t="shared" si="74"/>
        <v>4</v>
      </c>
      <c r="BL20" s="24">
        <f t="shared" si="74"/>
        <v>2</v>
      </c>
      <c r="BM20" s="24">
        <f t="shared" si="74"/>
        <v>3</v>
      </c>
      <c r="BN20" s="24">
        <f t="shared" si="74"/>
        <v>1.75</v>
      </c>
      <c r="BO20" s="24">
        <f t="shared" si="74"/>
        <v>2</v>
      </c>
      <c r="BP20" s="30">
        <f t="shared" si="9"/>
        <v>-0.1666666667</v>
      </c>
      <c r="BQ20" s="31">
        <f t="shared" si="10"/>
        <v>0.3333333333</v>
      </c>
      <c r="BR20" s="31">
        <f t="shared" si="11"/>
        <v>0.3333333333</v>
      </c>
      <c r="BS20" s="31">
        <f t="shared" si="12"/>
        <v>0.1111111111</v>
      </c>
      <c r="BT20" s="31">
        <f t="shared" si="13"/>
        <v>0.1111111111</v>
      </c>
      <c r="BU20" s="31">
        <f t="shared" si="14"/>
        <v>0.1111111111</v>
      </c>
      <c r="BV20" s="31">
        <f t="shared" si="15"/>
        <v>0.6666666667</v>
      </c>
      <c r="BW20" s="31">
        <f t="shared" ref="BW20:BX20" si="75">+BR20+BS20+BT20</f>
        <v>0.5555555556</v>
      </c>
      <c r="BX20" s="32">
        <f t="shared" si="75"/>
        <v>0.3333333333</v>
      </c>
    </row>
    <row r="21">
      <c r="A21" s="2"/>
      <c r="B21" s="42">
        <v>10.0</v>
      </c>
      <c r="C21" s="43">
        <v>1.0</v>
      </c>
      <c r="D21" s="3">
        <f t="shared" si="3"/>
        <v>1.4</v>
      </c>
      <c r="E21" s="43">
        <f t="shared" si="17"/>
        <v>7</v>
      </c>
      <c r="F21" s="2">
        <f t="shared" si="18"/>
        <v>3</v>
      </c>
      <c r="G21" s="43">
        <f t="shared" si="19"/>
        <v>2</v>
      </c>
      <c r="H21" s="43">
        <f t="shared" si="20"/>
        <v>9</v>
      </c>
      <c r="I21" s="43">
        <f t="shared" si="21"/>
        <v>3</v>
      </c>
      <c r="J21" s="43">
        <f t="shared" si="22"/>
        <v>1</v>
      </c>
      <c r="K21" s="43">
        <f t="shared" si="23"/>
        <v>6</v>
      </c>
      <c r="L21" s="43">
        <f t="shared" si="24"/>
        <v>1</v>
      </c>
      <c r="M21" s="44">
        <f t="shared" si="25"/>
        <v>2</v>
      </c>
      <c r="N21" s="45">
        <v>1.0</v>
      </c>
      <c r="O21" s="3">
        <f t="shared" si="4"/>
        <v>1.3</v>
      </c>
      <c r="P21" s="43">
        <f t="shared" si="26"/>
        <v>5</v>
      </c>
      <c r="Q21" s="2">
        <f t="shared" si="27"/>
        <v>4</v>
      </c>
      <c r="R21" s="43">
        <f t="shared" si="28"/>
        <v>2</v>
      </c>
      <c r="S21" s="43">
        <f t="shared" si="29"/>
        <v>7</v>
      </c>
      <c r="T21" s="43">
        <f t="shared" si="30"/>
        <v>4</v>
      </c>
      <c r="U21" s="43">
        <f t="shared" si="31"/>
        <v>3</v>
      </c>
      <c r="V21" s="43">
        <f t="shared" si="32"/>
        <v>3</v>
      </c>
      <c r="W21" s="43">
        <f t="shared" si="33"/>
        <v>2</v>
      </c>
      <c r="X21" s="44">
        <f t="shared" si="34"/>
        <v>2</v>
      </c>
      <c r="Y21" s="43">
        <v>1.0</v>
      </c>
      <c r="Z21" s="3">
        <f t="shared" si="5"/>
        <v>1.6</v>
      </c>
      <c r="AA21" s="43">
        <f t="shared" si="35"/>
        <v>7</v>
      </c>
      <c r="AB21" s="2">
        <f t="shared" si="36"/>
        <v>5</v>
      </c>
      <c r="AC21" s="43">
        <f t="shared" si="37"/>
        <v>2</v>
      </c>
      <c r="AD21" s="43">
        <f t="shared" si="38"/>
        <v>9</v>
      </c>
      <c r="AE21" s="43">
        <f t="shared" si="39"/>
        <v>5</v>
      </c>
      <c r="AF21" s="43">
        <f t="shared" si="40"/>
        <v>1</v>
      </c>
      <c r="AG21" s="43">
        <f t="shared" si="41"/>
        <v>4</v>
      </c>
      <c r="AH21" s="43">
        <f t="shared" si="42"/>
        <v>3</v>
      </c>
      <c r="AI21" s="44">
        <f t="shared" si="43"/>
        <v>2</v>
      </c>
      <c r="AJ21" s="45">
        <v>2.0</v>
      </c>
      <c r="AK21" s="3">
        <f t="shared" si="6"/>
        <v>1.6</v>
      </c>
      <c r="AL21" s="43">
        <f t="shared" si="44"/>
        <v>4</v>
      </c>
      <c r="AM21" s="2">
        <f t="shared" si="45"/>
        <v>4</v>
      </c>
      <c r="AN21" s="43">
        <f t="shared" si="46"/>
        <v>3</v>
      </c>
      <c r="AO21" s="43">
        <f t="shared" si="47"/>
        <v>6</v>
      </c>
      <c r="AP21" s="43">
        <f t="shared" si="48"/>
        <v>5</v>
      </c>
      <c r="AQ21" s="43">
        <f t="shared" si="49"/>
        <v>3</v>
      </c>
      <c r="AR21" s="43">
        <f t="shared" si="50"/>
        <v>2</v>
      </c>
      <c r="AS21" s="43">
        <f t="shared" si="51"/>
        <v>2</v>
      </c>
      <c r="AT21" s="44">
        <f t="shared" si="52"/>
        <v>2</v>
      </c>
      <c r="AU21" s="45">
        <v>2.0</v>
      </c>
      <c r="AV21" s="3">
        <f t="shared" si="7"/>
        <v>1.4</v>
      </c>
      <c r="AW21" s="43">
        <f t="shared" si="53"/>
        <v>5</v>
      </c>
      <c r="AX21" s="2">
        <f t="shared" si="54"/>
        <v>3</v>
      </c>
      <c r="AY21" s="43">
        <f t="shared" si="55"/>
        <v>2</v>
      </c>
      <c r="AZ21" s="43">
        <f t="shared" si="56"/>
        <v>6</v>
      </c>
      <c r="BA21" s="43">
        <f t="shared" si="57"/>
        <v>4</v>
      </c>
      <c r="BB21" s="43">
        <f t="shared" si="58"/>
        <v>3</v>
      </c>
      <c r="BC21" s="43">
        <f t="shared" si="59"/>
        <v>3</v>
      </c>
      <c r="BD21" s="43">
        <f t="shared" si="60"/>
        <v>2</v>
      </c>
      <c r="BE21" s="43">
        <f t="shared" si="61"/>
        <v>1</v>
      </c>
      <c r="BF21" s="46">
        <f t="shared" ref="BF21:BO21" si="76">+(AK21+Z21+O21+D21)/4</f>
        <v>1.475</v>
      </c>
      <c r="BG21" s="43">
        <f t="shared" si="76"/>
        <v>5.75</v>
      </c>
      <c r="BH21" s="43">
        <f t="shared" si="76"/>
        <v>4</v>
      </c>
      <c r="BI21" s="43">
        <f t="shared" si="76"/>
        <v>2.25</v>
      </c>
      <c r="BJ21" s="43">
        <f t="shared" si="76"/>
        <v>7.75</v>
      </c>
      <c r="BK21" s="43">
        <f t="shared" si="76"/>
        <v>4.25</v>
      </c>
      <c r="BL21" s="43">
        <f t="shared" si="76"/>
        <v>2</v>
      </c>
      <c r="BM21" s="43">
        <f t="shared" si="76"/>
        <v>3.75</v>
      </c>
      <c r="BN21" s="43">
        <f t="shared" si="76"/>
        <v>2</v>
      </c>
      <c r="BO21" s="43">
        <f t="shared" si="76"/>
        <v>2</v>
      </c>
      <c r="BP21" s="37">
        <f t="shared" si="9"/>
        <v>-0.075</v>
      </c>
      <c r="BQ21" s="38">
        <f t="shared" si="10"/>
        <v>0.3</v>
      </c>
      <c r="BR21" s="38">
        <f t="shared" si="11"/>
        <v>0.3</v>
      </c>
      <c r="BS21" s="38">
        <f t="shared" si="12"/>
        <v>0.2</v>
      </c>
      <c r="BT21" s="38">
        <f t="shared" si="13"/>
        <v>0.1</v>
      </c>
      <c r="BU21" s="38">
        <f t="shared" si="14"/>
        <v>0.1</v>
      </c>
      <c r="BV21" s="38">
        <f t="shared" si="15"/>
        <v>0.7</v>
      </c>
      <c r="BW21" s="38">
        <f t="shared" ref="BW21:BX21" si="77">+BR21+BS21+BT21</f>
        <v>0.6</v>
      </c>
      <c r="BX21" s="39">
        <f t="shared" si="77"/>
        <v>0.4</v>
      </c>
    </row>
    <row r="22">
      <c r="A22" s="24"/>
      <c r="B22" s="40">
        <v>11.0</v>
      </c>
      <c r="C22" s="26">
        <v>1.0</v>
      </c>
      <c r="D22" s="27">
        <f t="shared" si="3"/>
        <v>1.363636364</v>
      </c>
      <c r="E22" s="24">
        <f t="shared" si="17"/>
        <v>8</v>
      </c>
      <c r="F22" s="2">
        <f t="shared" si="18"/>
        <v>3</v>
      </c>
      <c r="G22" s="24">
        <f t="shared" si="19"/>
        <v>2</v>
      </c>
      <c r="H22" s="24">
        <f t="shared" si="20"/>
        <v>10</v>
      </c>
      <c r="I22" s="24">
        <f t="shared" si="21"/>
        <v>3</v>
      </c>
      <c r="J22" s="24">
        <f t="shared" si="22"/>
        <v>1</v>
      </c>
      <c r="K22" s="24">
        <f t="shared" si="23"/>
        <v>7</v>
      </c>
      <c r="L22" s="24">
        <f t="shared" si="24"/>
        <v>1</v>
      </c>
      <c r="M22" s="28">
        <f t="shared" si="25"/>
        <v>2</v>
      </c>
      <c r="N22" s="24">
        <v>4.0</v>
      </c>
      <c r="O22" s="27">
        <f t="shared" si="4"/>
        <v>1.545454545</v>
      </c>
      <c r="P22" s="24">
        <f t="shared" si="26"/>
        <v>5</v>
      </c>
      <c r="Q22" s="2">
        <f t="shared" si="27"/>
        <v>4</v>
      </c>
      <c r="R22" s="24">
        <f t="shared" si="28"/>
        <v>3</v>
      </c>
      <c r="S22" s="24">
        <f t="shared" si="29"/>
        <v>7</v>
      </c>
      <c r="T22" s="24">
        <f t="shared" si="30"/>
        <v>5</v>
      </c>
      <c r="U22" s="24">
        <f t="shared" si="31"/>
        <v>3</v>
      </c>
      <c r="V22" s="24">
        <f t="shared" si="32"/>
        <v>3</v>
      </c>
      <c r="W22" s="24">
        <f t="shared" si="33"/>
        <v>2</v>
      </c>
      <c r="X22" s="28">
        <f t="shared" si="34"/>
        <v>2</v>
      </c>
      <c r="Y22" s="26">
        <v>1.0</v>
      </c>
      <c r="Z22" s="27">
        <f t="shared" si="5"/>
        <v>1.545454545</v>
      </c>
      <c r="AA22" s="24">
        <f t="shared" si="35"/>
        <v>8</v>
      </c>
      <c r="AB22" s="2">
        <f t="shared" si="36"/>
        <v>5</v>
      </c>
      <c r="AC22" s="24">
        <f t="shared" si="37"/>
        <v>2</v>
      </c>
      <c r="AD22" s="24">
        <f t="shared" si="38"/>
        <v>10</v>
      </c>
      <c r="AE22" s="24">
        <f t="shared" si="39"/>
        <v>5</v>
      </c>
      <c r="AF22" s="24">
        <f t="shared" si="40"/>
        <v>1</v>
      </c>
      <c r="AG22" s="24">
        <f t="shared" si="41"/>
        <v>5</v>
      </c>
      <c r="AH22" s="24">
        <f t="shared" si="42"/>
        <v>3</v>
      </c>
      <c r="AI22" s="28">
        <f t="shared" si="43"/>
        <v>2</v>
      </c>
      <c r="AJ22" s="24">
        <v>2.0</v>
      </c>
      <c r="AK22" s="27">
        <f t="shared" si="6"/>
        <v>1.636363636</v>
      </c>
      <c r="AL22" s="24">
        <f t="shared" si="44"/>
        <v>5</v>
      </c>
      <c r="AM22" s="2">
        <f t="shared" si="45"/>
        <v>5</v>
      </c>
      <c r="AN22" s="24">
        <f t="shared" si="46"/>
        <v>3</v>
      </c>
      <c r="AO22" s="24">
        <f t="shared" si="47"/>
        <v>7</v>
      </c>
      <c r="AP22" s="24">
        <f t="shared" si="48"/>
        <v>6</v>
      </c>
      <c r="AQ22" s="24">
        <f t="shared" si="49"/>
        <v>3</v>
      </c>
      <c r="AR22" s="24">
        <f t="shared" si="50"/>
        <v>2</v>
      </c>
      <c r="AS22" s="24">
        <f t="shared" si="51"/>
        <v>3</v>
      </c>
      <c r="AT22" s="28">
        <f t="shared" si="52"/>
        <v>2</v>
      </c>
      <c r="AU22" s="24">
        <v>0.0</v>
      </c>
      <c r="AV22" s="27">
        <f t="shared" si="7"/>
        <v>1.272727273</v>
      </c>
      <c r="AW22" s="24">
        <f t="shared" si="53"/>
        <v>5</v>
      </c>
      <c r="AX22" s="2">
        <f t="shared" si="54"/>
        <v>3</v>
      </c>
      <c r="AY22" s="24">
        <f t="shared" si="55"/>
        <v>2</v>
      </c>
      <c r="AZ22" s="24">
        <f t="shared" si="56"/>
        <v>6</v>
      </c>
      <c r="BA22" s="24">
        <f t="shared" si="57"/>
        <v>4</v>
      </c>
      <c r="BB22" s="24">
        <f t="shared" si="58"/>
        <v>4</v>
      </c>
      <c r="BC22" s="24">
        <f t="shared" si="59"/>
        <v>3</v>
      </c>
      <c r="BD22" s="24">
        <f t="shared" si="60"/>
        <v>2</v>
      </c>
      <c r="BE22" s="24">
        <f t="shared" si="61"/>
        <v>1</v>
      </c>
      <c r="BF22" s="29">
        <f t="shared" ref="BF22:BO22" si="78">+(AK22+Z22+O22+D22)/4</f>
        <v>1.522727273</v>
      </c>
      <c r="BG22" s="24">
        <f t="shared" si="78"/>
        <v>6.5</v>
      </c>
      <c r="BH22" s="24">
        <f t="shared" si="78"/>
        <v>4.25</v>
      </c>
      <c r="BI22" s="24">
        <f t="shared" si="78"/>
        <v>2.5</v>
      </c>
      <c r="BJ22" s="24">
        <f t="shared" si="78"/>
        <v>8.5</v>
      </c>
      <c r="BK22" s="24">
        <f t="shared" si="78"/>
        <v>4.75</v>
      </c>
      <c r="BL22" s="24">
        <f t="shared" si="78"/>
        <v>2</v>
      </c>
      <c r="BM22" s="24">
        <f t="shared" si="78"/>
        <v>4.25</v>
      </c>
      <c r="BN22" s="24">
        <f t="shared" si="78"/>
        <v>2.25</v>
      </c>
      <c r="BO22" s="24">
        <f t="shared" si="78"/>
        <v>2</v>
      </c>
      <c r="BP22" s="30">
        <f t="shared" si="9"/>
        <v>-0.25</v>
      </c>
      <c r="BQ22" s="31">
        <f t="shared" si="10"/>
        <v>0.3636363636</v>
      </c>
      <c r="BR22" s="31">
        <f t="shared" si="11"/>
        <v>0.2727272727</v>
      </c>
      <c r="BS22" s="31">
        <f t="shared" si="12"/>
        <v>0.1818181818</v>
      </c>
      <c r="BT22" s="31">
        <f t="shared" si="13"/>
        <v>0.09090909091</v>
      </c>
      <c r="BU22" s="31">
        <f t="shared" si="14"/>
        <v>0.09090909091</v>
      </c>
      <c r="BV22" s="31">
        <f t="shared" si="15"/>
        <v>0.6363636364</v>
      </c>
      <c r="BW22" s="31">
        <f t="shared" ref="BW22:BX22" si="79">+BR22+BS22+BT22</f>
        <v>0.5454545455</v>
      </c>
      <c r="BX22" s="32">
        <f t="shared" si="79"/>
        <v>0.3636363636</v>
      </c>
    </row>
    <row r="23">
      <c r="A23" s="2"/>
      <c r="B23" s="33">
        <v>12.0</v>
      </c>
      <c r="C23" s="2">
        <v>1.0</v>
      </c>
      <c r="D23" s="3">
        <f t="shared" si="3"/>
        <v>1.333333333</v>
      </c>
      <c r="E23" s="2">
        <f t="shared" si="17"/>
        <v>9</v>
      </c>
      <c r="F23" s="2">
        <f t="shared" si="18"/>
        <v>3</v>
      </c>
      <c r="G23" s="2">
        <f t="shared" si="19"/>
        <v>2</v>
      </c>
      <c r="H23" s="2">
        <f t="shared" si="20"/>
        <v>11</v>
      </c>
      <c r="I23" s="2">
        <f t="shared" si="21"/>
        <v>3</v>
      </c>
      <c r="J23" s="2">
        <f t="shared" si="22"/>
        <v>1</v>
      </c>
      <c r="K23" s="2">
        <f t="shared" si="23"/>
        <v>8</v>
      </c>
      <c r="L23" s="2">
        <f t="shared" si="24"/>
        <v>1</v>
      </c>
      <c r="M23" s="34">
        <f t="shared" si="25"/>
        <v>2</v>
      </c>
      <c r="N23" s="35">
        <v>1.0</v>
      </c>
      <c r="O23" s="3">
        <f t="shared" si="4"/>
        <v>1.5</v>
      </c>
      <c r="P23" s="2">
        <f t="shared" si="26"/>
        <v>6</v>
      </c>
      <c r="Q23" s="2">
        <f t="shared" si="27"/>
        <v>4</v>
      </c>
      <c r="R23" s="2">
        <f t="shared" si="28"/>
        <v>3</v>
      </c>
      <c r="S23" s="2">
        <f t="shared" si="29"/>
        <v>8</v>
      </c>
      <c r="T23" s="2">
        <f t="shared" si="30"/>
        <v>5</v>
      </c>
      <c r="U23" s="2">
        <f t="shared" si="31"/>
        <v>3</v>
      </c>
      <c r="V23" s="2">
        <f t="shared" si="32"/>
        <v>4</v>
      </c>
      <c r="W23" s="2">
        <f t="shared" si="33"/>
        <v>2</v>
      </c>
      <c r="X23" s="34">
        <f t="shared" si="34"/>
        <v>2</v>
      </c>
      <c r="Y23" s="2">
        <v>2.0</v>
      </c>
      <c r="Z23" s="3">
        <f t="shared" si="5"/>
        <v>1.583333333</v>
      </c>
      <c r="AA23" s="2">
        <f t="shared" si="35"/>
        <v>9</v>
      </c>
      <c r="AB23" s="2">
        <f t="shared" si="36"/>
        <v>6</v>
      </c>
      <c r="AC23" s="2">
        <f t="shared" si="37"/>
        <v>2</v>
      </c>
      <c r="AD23" s="2">
        <f t="shared" si="38"/>
        <v>11</v>
      </c>
      <c r="AE23" s="2">
        <f t="shared" si="39"/>
        <v>6</v>
      </c>
      <c r="AF23" s="2">
        <f t="shared" si="40"/>
        <v>1</v>
      </c>
      <c r="AG23" s="2">
        <f t="shared" si="41"/>
        <v>5</v>
      </c>
      <c r="AH23" s="2">
        <f t="shared" si="42"/>
        <v>4</v>
      </c>
      <c r="AI23" s="34">
        <f t="shared" si="43"/>
        <v>2</v>
      </c>
      <c r="AJ23" s="35">
        <v>0.0</v>
      </c>
      <c r="AK23" s="3">
        <f t="shared" si="6"/>
        <v>1.5</v>
      </c>
      <c r="AL23" s="2">
        <f t="shared" si="44"/>
        <v>5</v>
      </c>
      <c r="AM23" s="2">
        <f t="shared" si="45"/>
        <v>5</v>
      </c>
      <c r="AN23" s="2">
        <f t="shared" si="46"/>
        <v>3</v>
      </c>
      <c r="AO23" s="2">
        <f t="shared" si="47"/>
        <v>7</v>
      </c>
      <c r="AP23" s="2">
        <f t="shared" si="48"/>
        <v>6</v>
      </c>
      <c r="AQ23" s="2">
        <f t="shared" si="49"/>
        <v>4</v>
      </c>
      <c r="AR23" s="2">
        <f t="shared" si="50"/>
        <v>2</v>
      </c>
      <c r="AS23" s="2">
        <f t="shared" si="51"/>
        <v>3</v>
      </c>
      <c r="AT23" s="34">
        <f t="shared" si="52"/>
        <v>2</v>
      </c>
      <c r="AU23" s="35">
        <v>1.0</v>
      </c>
      <c r="AV23" s="3">
        <f t="shared" si="7"/>
        <v>1.25</v>
      </c>
      <c r="AW23" s="2">
        <f t="shared" si="53"/>
        <v>6</v>
      </c>
      <c r="AX23" s="2">
        <f t="shared" si="54"/>
        <v>3</v>
      </c>
      <c r="AY23" s="2">
        <f t="shared" si="55"/>
        <v>2</v>
      </c>
      <c r="AZ23" s="2">
        <f t="shared" si="56"/>
        <v>7</v>
      </c>
      <c r="BA23" s="2">
        <f t="shared" si="57"/>
        <v>4</v>
      </c>
      <c r="BB23" s="2">
        <f t="shared" si="58"/>
        <v>4</v>
      </c>
      <c r="BC23" s="2">
        <f t="shared" si="59"/>
        <v>4</v>
      </c>
      <c r="BD23" s="2">
        <f t="shared" si="60"/>
        <v>2</v>
      </c>
      <c r="BE23" s="2">
        <f t="shared" si="61"/>
        <v>1</v>
      </c>
      <c r="BF23" s="36">
        <f t="shared" ref="BF23:BO23" si="80">+(AK23+Z23+O23+D23)/4</f>
        <v>1.479166667</v>
      </c>
      <c r="BG23" s="2">
        <f t="shared" si="80"/>
        <v>7.25</v>
      </c>
      <c r="BH23" s="2">
        <f t="shared" si="80"/>
        <v>4.5</v>
      </c>
      <c r="BI23" s="2">
        <f t="shared" si="80"/>
        <v>2.5</v>
      </c>
      <c r="BJ23" s="2">
        <f t="shared" si="80"/>
        <v>9.25</v>
      </c>
      <c r="BK23" s="2">
        <f t="shared" si="80"/>
        <v>5</v>
      </c>
      <c r="BL23" s="2">
        <f t="shared" si="80"/>
        <v>2.25</v>
      </c>
      <c r="BM23" s="2">
        <f t="shared" si="80"/>
        <v>4.75</v>
      </c>
      <c r="BN23" s="2">
        <f t="shared" si="80"/>
        <v>2.5</v>
      </c>
      <c r="BO23" s="2">
        <f t="shared" si="80"/>
        <v>2</v>
      </c>
      <c r="BP23" s="37">
        <f t="shared" si="9"/>
        <v>-0.2291666667</v>
      </c>
      <c r="BQ23" s="38">
        <f t="shared" si="10"/>
        <v>0.3333333333</v>
      </c>
      <c r="BR23" s="38">
        <f t="shared" si="11"/>
        <v>0.3333333333</v>
      </c>
      <c r="BS23" s="38">
        <f t="shared" si="12"/>
        <v>0.1666666667</v>
      </c>
      <c r="BT23" s="38">
        <f t="shared" si="13"/>
        <v>0.08333333333</v>
      </c>
      <c r="BU23" s="38">
        <f t="shared" si="14"/>
        <v>0.08333333333</v>
      </c>
      <c r="BV23" s="38">
        <f t="shared" si="15"/>
        <v>0.6666666667</v>
      </c>
      <c r="BW23" s="38">
        <f t="shared" ref="BW23:BX23" si="81">+BR23+BS23+BT23</f>
        <v>0.5833333333</v>
      </c>
      <c r="BX23" s="39">
        <f t="shared" si="81"/>
        <v>0.3333333333</v>
      </c>
    </row>
    <row r="24">
      <c r="A24" s="24"/>
      <c r="B24" s="40">
        <v>13.0</v>
      </c>
      <c r="C24" s="26">
        <v>2.0</v>
      </c>
      <c r="D24" s="27">
        <f t="shared" si="3"/>
        <v>1.384615385</v>
      </c>
      <c r="E24" s="24">
        <f t="shared" si="17"/>
        <v>10</v>
      </c>
      <c r="F24" s="2">
        <f t="shared" si="18"/>
        <v>4</v>
      </c>
      <c r="G24" s="24">
        <f t="shared" si="19"/>
        <v>2</v>
      </c>
      <c r="H24" s="24">
        <f t="shared" si="20"/>
        <v>12</v>
      </c>
      <c r="I24" s="24">
        <f t="shared" si="21"/>
        <v>4</v>
      </c>
      <c r="J24" s="24">
        <f t="shared" si="22"/>
        <v>1</v>
      </c>
      <c r="K24" s="24">
        <f t="shared" si="23"/>
        <v>8</v>
      </c>
      <c r="L24" s="24">
        <f t="shared" si="24"/>
        <v>2</v>
      </c>
      <c r="M24" s="28">
        <f t="shared" si="25"/>
        <v>2</v>
      </c>
      <c r="N24" s="24">
        <v>2.0</v>
      </c>
      <c r="O24" s="27">
        <f t="shared" si="4"/>
        <v>1.538461538</v>
      </c>
      <c r="P24" s="24">
        <f t="shared" si="26"/>
        <v>7</v>
      </c>
      <c r="Q24" s="2">
        <f t="shared" si="27"/>
        <v>5</v>
      </c>
      <c r="R24" s="24">
        <f t="shared" si="28"/>
        <v>3</v>
      </c>
      <c r="S24" s="24">
        <f t="shared" si="29"/>
        <v>9</v>
      </c>
      <c r="T24" s="24">
        <f t="shared" si="30"/>
        <v>6</v>
      </c>
      <c r="U24" s="24">
        <f t="shared" si="31"/>
        <v>3</v>
      </c>
      <c r="V24" s="24">
        <f t="shared" si="32"/>
        <v>4</v>
      </c>
      <c r="W24" s="24">
        <f t="shared" si="33"/>
        <v>3</v>
      </c>
      <c r="X24" s="28">
        <f t="shared" si="34"/>
        <v>2</v>
      </c>
      <c r="Y24" s="26">
        <v>1.0</v>
      </c>
      <c r="Z24" s="27">
        <f t="shared" si="5"/>
        <v>1.538461538</v>
      </c>
      <c r="AA24" s="24">
        <f t="shared" si="35"/>
        <v>10</v>
      </c>
      <c r="AB24" s="2">
        <f t="shared" si="36"/>
        <v>6</v>
      </c>
      <c r="AC24" s="24">
        <f t="shared" si="37"/>
        <v>2</v>
      </c>
      <c r="AD24" s="24">
        <f t="shared" si="38"/>
        <v>12</v>
      </c>
      <c r="AE24" s="24">
        <f t="shared" si="39"/>
        <v>6</v>
      </c>
      <c r="AF24" s="24">
        <f t="shared" si="40"/>
        <v>1</v>
      </c>
      <c r="AG24" s="24">
        <f t="shared" si="41"/>
        <v>6</v>
      </c>
      <c r="AH24" s="24">
        <f t="shared" si="42"/>
        <v>4</v>
      </c>
      <c r="AI24" s="28">
        <f t="shared" si="43"/>
        <v>2</v>
      </c>
      <c r="AJ24" s="24">
        <v>1.0</v>
      </c>
      <c r="AK24" s="27">
        <f t="shared" si="6"/>
        <v>1.461538462</v>
      </c>
      <c r="AL24" s="24">
        <f t="shared" si="44"/>
        <v>6</v>
      </c>
      <c r="AM24" s="2">
        <f t="shared" si="45"/>
        <v>5</v>
      </c>
      <c r="AN24" s="24">
        <f t="shared" si="46"/>
        <v>3</v>
      </c>
      <c r="AO24" s="24">
        <f t="shared" si="47"/>
        <v>8</v>
      </c>
      <c r="AP24" s="24">
        <f t="shared" si="48"/>
        <v>6</v>
      </c>
      <c r="AQ24" s="24">
        <f t="shared" si="49"/>
        <v>4</v>
      </c>
      <c r="AR24" s="24">
        <f t="shared" si="50"/>
        <v>3</v>
      </c>
      <c r="AS24" s="24">
        <f t="shared" si="51"/>
        <v>3</v>
      </c>
      <c r="AT24" s="28">
        <f t="shared" si="52"/>
        <v>2</v>
      </c>
      <c r="AU24" s="24">
        <v>2.0</v>
      </c>
      <c r="AV24" s="27">
        <f t="shared" si="7"/>
        <v>1.307692308</v>
      </c>
      <c r="AW24" s="24">
        <f t="shared" si="53"/>
        <v>7</v>
      </c>
      <c r="AX24" s="2">
        <f t="shared" si="54"/>
        <v>4</v>
      </c>
      <c r="AY24" s="24">
        <f t="shared" si="55"/>
        <v>2</v>
      </c>
      <c r="AZ24" s="24">
        <f t="shared" si="56"/>
        <v>8</v>
      </c>
      <c r="BA24" s="24">
        <f t="shared" si="57"/>
        <v>5</v>
      </c>
      <c r="BB24" s="24">
        <f t="shared" si="58"/>
        <v>4</v>
      </c>
      <c r="BC24" s="24">
        <f t="shared" si="59"/>
        <v>4</v>
      </c>
      <c r="BD24" s="24">
        <f t="shared" si="60"/>
        <v>3</v>
      </c>
      <c r="BE24" s="24">
        <f t="shared" si="61"/>
        <v>1</v>
      </c>
      <c r="BF24" s="29">
        <f t="shared" ref="BF24:BO24" si="82">+(AK24+Z24+O24+D24)/4</f>
        <v>1.480769231</v>
      </c>
      <c r="BG24" s="24">
        <f t="shared" si="82"/>
        <v>8.25</v>
      </c>
      <c r="BH24" s="24">
        <f t="shared" si="82"/>
        <v>5</v>
      </c>
      <c r="BI24" s="24">
        <f t="shared" si="82"/>
        <v>2.5</v>
      </c>
      <c r="BJ24" s="24">
        <f t="shared" si="82"/>
        <v>10.25</v>
      </c>
      <c r="BK24" s="24">
        <f t="shared" si="82"/>
        <v>5.5</v>
      </c>
      <c r="BL24" s="24">
        <f t="shared" si="82"/>
        <v>2.25</v>
      </c>
      <c r="BM24" s="24">
        <f t="shared" si="82"/>
        <v>5.25</v>
      </c>
      <c r="BN24" s="24">
        <f t="shared" si="82"/>
        <v>3</v>
      </c>
      <c r="BO24" s="24">
        <f t="shared" si="82"/>
        <v>2</v>
      </c>
      <c r="BP24" s="30">
        <f t="shared" si="9"/>
        <v>-0.1730769231</v>
      </c>
      <c r="BQ24" s="31">
        <f t="shared" si="10"/>
        <v>0.3076923077</v>
      </c>
      <c r="BR24" s="31">
        <f t="shared" si="11"/>
        <v>0.3076923077</v>
      </c>
      <c r="BS24" s="31">
        <f t="shared" si="12"/>
        <v>0.2307692308</v>
      </c>
      <c r="BT24" s="31">
        <f t="shared" si="13"/>
        <v>0.07692307692</v>
      </c>
      <c r="BU24" s="31">
        <f t="shared" si="14"/>
        <v>0.07692307692</v>
      </c>
      <c r="BV24" s="31">
        <f t="shared" si="15"/>
        <v>0.6923076923</v>
      </c>
      <c r="BW24" s="31">
        <f t="shared" ref="BW24:BX24" si="83">+BR24+BS24+BT24</f>
        <v>0.6153846154</v>
      </c>
      <c r="BX24" s="32">
        <f t="shared" si="83"/>
        <v>0.3846153846</v>
      </c>
    </row>
    <row r="25">
      <c r="A25" s="2"/>
      <c r="B25" s="33">
        <v>14.0</v>
      </c>
      <c r="C25" s="2">
        <v>0.0</v>
      </c>
      <c r="D25" s="3">
        <f t="shared" si="3"/>
        <v>1.285714286</v>
      </c>
      <c r="E25" s="2">
        <f t="shared" si="17"/>
        <v>10</v>
      </c>
      <c r="F25" s="2">
        <f t="shared" si="18"/>
        <v>4</v>
      </c>
      <c r="G25" s="2">
        <f t="shared" si="19"/>
        <v>2</v>
      </c>
      <c r="H25" s="2">
        <f t="shared" si="20"/>
        <v>12</v>
      </c>
      <c r="I25" s="2">
        <f t="shared" si="21"/>
        <v>4</v>
      </c>
      <c r="J25" s="2">
        <f t="shared" si="22"/>
        <v>2</v>
      </c>
      <c r="K25" s="2">
        <f t="shared" si="23"/>
        <v>8</v>
      </c>
      <c r="L25" s="2">
        <f t="shared" si="24"/>
        <v>2</v>
      </c>
      <c r="M25" s="34">
        <f t="shared" si="25"/>
        <v>2</v>
      </c>
      <c r="N25" s="35">
        <v>1.0</v>
      </c>
      <c r="O25" s="3">
        <f t="shared" si="4"/>
        <v>1.5</v>
      </c>
      <c r="P25" s="2">
        <f t="shared" si="26"/>
        <v>8</v>
      </c>
      <c r="Q25" s="2">
        <f t="shared" si="27"/>
        <v>5</v>
      </c>
      <c r="R25" s="2">
        <f t="shared" si="28"/>
        <v>3</v>
      </c>
      <c r="S25" s="2">
        <f t="shared" si="29"/>
        <v>10</v>
      </c>
      <c r="T25" s="2">
        <f t="shared" si="30"/>
        <v>6</v>
      </c>
      <c r="U25" s="2">
        <f t="shared" si="31"/>
        <v>3</v>
      </c>
      <c r="V25" s="2">
        <f t="shared" si="32"/>
        <v>5</v>
      </c>
      <c r="W25" s="2">
        <f t="shared" si="33"/>
        <v>3</v>
      </c>
      <c r="X25" s="34">
        <f t="shared" si="34"/>
        <v>2</v>
      </c>
      <c r="Y25" s="2">
        <v>2.0</v>
      </c>
      <c r="Z25" s="3">
        <f t="shared" si="5"/>
        <v>1.571428571</v>
      </c>
      <c r="AA25" s="2">
        <f t="shared" si="35"/>
        <v>11</v>
      </c>
      <c r="AB25" s="2">
        <f t="shared" si="36"/>
        <v>7</v>
      </c>
      <c r="AC25" s="2">
        <f t="shared" si="37"/>
        <v>2</v>
      </c>
      <c r="AD25" s="2">
        <f t="shared" si="38"/>
        <v>13</v>
      </c>
      <c r="AE25" s="2">
        <f t="shared" si="39"/>
        <v>7</v>
      </c>
      <c r="AF25" s="2">
        <f t="shared" si="40"/>
        <v>1</v>
      </c>
      <c r="AG25" s="2">
        <f t="shared" si="41"/>
        <v>6</v>
      </c>
      <c r="AH25" s="2">
        <f t="shared" si="42"/>
        <v>5</v>
      </c>
      <c r="AI25" s="34">
        <f t="shared" si="43"/>
        <v>2</v>
      </c>
      <c r="AJ25" s="35">
        <v>2.0</v>
      </c>
      <c r="AK25" s="3">
        <f t="shared" si="6"/>
        <v>1.5</v>
      </c>
      <c r="AL25" s="2">
        <f t="shared" si="44"/>
        <v>7</v>
      </c>
      <c r="AM25" s="2">
        <f t="shared" si="45"/>
        <v>6</v>
      </c>
      <c r="AN25" s="2">
        <f t="shared" si="46"/>
        <v>3</v>
      </c>
      <c r="AO25" s="2">
        <f t="shared" si="47"/>
        <v>9</v>
      </c>
      <c r="AP25" s="2">
        <f t="shared" si="48"/>
        <v>7</v>
      </c>
      <c r="AQ25" s="2">
        <f t="shared" si="49"/>
        <v>4</v>
      </c>
      <c r="AR25" s="2">
        <f t="shared" si="50"/>
        <v>3</v>
      </c>
      <c r="AS25" s="2">
        <f t="shared" si="51"/>
        <v>4</v>
      </c>
      <c r="AT25" s="34">
        <f t="shared" si="52"/>
        <v>2</v>
      </c>
      <c r="AU25" s="35">
        <v>1.0</v>
      </c>
      <c r="AV25" s="3">
        <f t="shared" si="7"/>
        <v>1.285714286</v>
      </c>
      <c r="AW25" s="2">
        <f t="shared" si="53"/>
        <v>8</v>
      </c>
      <c r="AX25" s="2">
        <f t="shared" si="54"/>
        <v>4</v>
      </c>
      <c r="AY25" s="2">
        <f t="shared" si="55"/>
        <v>2</v>
      </c>
      <c r="AZ25" s="2">
        <f t="shared" si="56"/>
        <v>9</v>
      </c>
      <c r="BA25" s="2">
        <f t="shared" si="57"/>
        <v>5</v>
      </c>
      <c r="BB25" s="2">
        <f t="shared" si="58"/>
        <v>4</v>
      </c>
      <c r="BC25" s="2">
        <f t="shared" si="59"/>
        <v>5</v>
      </c>
      <c r="BD25" s="2">
        <f t="shared" si="60"/>
        <v>3</v>
      </c>
      <c r="BE25" s="2">
        <f t="shared" si="61"/>
        <v>1</v>
      </c>
      <c r="BF25" s="36">
        <f t="shared" ref="BF25:BO25" si="84">+(AK25+Z25+O25+D25)/4</f>
        <v>1.464285714</v>
      </c>
      <c r="BG25" s="2">
        <f t="shared" si="84"/>
        <v>9</v>
      </c>
      <c r="BH25" s="2">
        <f t="shared" si="84"/>
        <v>5.5</v>
      </c>
      <c r="BI25" s="2">
        <f t="shared" si="84"/>
        <v>2.5</v>
      </c>
      <c r="BJ25" s="2">
        <f t="shared" si="84"/>
        <v>11</v>
      </c>
      <c r="BK25" s="2">
        <f t="shared" si="84"/>
        <v>6</v>
      </c>
      <c r="BL25" s="2">
        <f t="shared" si="84"/>
        <v>2.5</v>
      </c>
      <c r="BM25" s="2">
        <f t="shared" si="84"/>
        <v>5.5</v>
      </c>
      <c r="BN25" s="2">
        <f t="shared" si="84"/>
        <v>3.5</v>
      </c>
      <c r="BO25" s="2">
        <f t="shared" si="84"/>
        <v>2</v>
      </c>
      <c r="BP25" s="37">
        <f t="shared" si="9"/>
        <v>-0.1785714286</v>
      </c>
      <c r="BQ25" s="38">
        <f t="shared" si="10"/>
        <v>0.2857142857</v>
      </c>
      <c r="BR25" s="38">
        <f t="shared" si="11"/>
        <v>0.3571428571</v>
      </c>
      <c r="BS25" s="38">
        <f t="shared" si="12"/>
        <v>0.2142857143</v>
      </c>
      <c r="BT25" s="38">
        <f t="shared" si="13"/>
        <v>0.07142857143</v>
      </c>
      <c r="BU25" s="38">
        <f t="shared" si="14"/>
        <v>0.07142857143</v>
      </c>
      <c r="BV25" s="38">
        <f t="shared" si="15"/>
        <v>0.7142857143</v>
      </c>
      <c r="BW25" s="38">
        <f t="shared" ref="BW25:BX25" si="85">+BR25+BS25+BT25</f>
        <v>0.6428571429</v>
      </c>
      <c r="BX25" s="39">
        <f t="shared" si="85"/>
        <v>0.3571428571</v>
      </c>
    </row>
    <row r="26">
      <c r="A26" s="24"/>
      <c r="B26" s="40">
        <v>15.0</v>
      </c>
      <c r="C26" s="26">
        <v>2.0</v>
      </c>
      <c r="D26" s="27">
        <f t="shared" si="3"/>
        <v>1.333333333</v>
      </c>
      <c r="E26" s="24">
        <f t="shared" si="17"/>
        <v>11</v>
      </c>
      <c r="F26" s="2">
        <f t="shared" si="18"/>
        <v>5</v>
      </c>
      <c r="G26" s="24">
        <f t="shared" si="19"/>
        <v>2</v>
      </c>
      <c r="H26" s="24">
        <f t="shared" si="20"/>
        <v>13</v>
      </c>
      <c r="I26" s="24">
        <f t="shared" si="21"/>
        <v>5</v>
      </c>
      <c r="J26" s="24">
        <f t="shared" si="22"/>
        <v>2</v>
      </c>
      <c r="K26" s="24">
        <f t="shared" si="23"/>
        <v>8</v>
      </c>
      <c r="L26" s="24">
        <f t="shared" si="24"/>
        <v>3</v>
      </c>
      <c r="M26" s="28">
        <f t="shared" si="25"/>
        <v>2</v>
      </c>
      <c r="N26" s="24">
        <v>3.0</v>
      </c>
      <c r="O26" s="27">
        <f t="shared" si="4"/>
        <v>1.6</v>
      </c>
      <c r="P26" s="24">
        <f t="shared" si="26"/>
        <v>8</v>
      </c>
      <c r="Q26" s="2">
        <f t="shared" si="27"/>
        <v>6</v>
      </c>
      <c r="R26" s="24">
        <f t="shared" si="28"/>
        <v>4</v>
      </c>
      <c r="S26" s="24">
        <f t="shared" si="29"/>
        <v>11</v>
      </c>
      <c r="T26" s="24">
        <f t="shared" si="30"/>
        <v>7</v>
      </c>
      <c r="U26" s="24">
        <f t="shared" si="31"/>
        <v>3</v>
      </c>
      <c r="V26" s="24">
        <f t="shared" si="32"/>
        <v>5</v>
      </c>
      <c r="W26" s="24">
        <f t="shared" si="33"/>
        <v>3</v>
      </c>
      <c r="X26" s="28">
        <f t="shared" si="34"/>
        <v>3</v>
      </c>
      <c r="Y26" s="26">
        <v>1.0</v>
      </c>
      <c r="Z26" s="27">
        <f t="shared" si="5"/>
        <v>1.533333333</v>
      </c>
      <c r="AA26" s="24">
        <f t="shared" si="35"/>
        <v>12</v>
      </c>
      <c r="AB26" s="2">
        <f t="shared" si="36"/>
        <v>7</v>
      </c>
      <c r="AC26" s="24">
        <f t="shared" si="37"/>
        <v>2</v>
      </c>
      <c r="AD26" s="24">
        <f t="shared" si="38"/>
        <v>14</v>
      </c>
      <c r="AE26" s="24">
        <f t="shared" si="39"/>
        <v>7</v>
      </c>
      <c r="AF26" s="24">
        <f t="shared" si="40"/>
        <v>1</v>
      </c>
      <c r="AG26" s="24">
        <f t="shared" si="41"/>
        <v>7</v>
      </c>
      <c r="AH26" s="24">
        <f t="shared" si="42"/>
        <v>5</v>
      </c>
      <c r="AI26" s="28">
        <f t="shared" si="43"/>
        <v>2</v>
      </c>
      <c r="AJ26" s="24">
        <v>2.0</v>
      </c>
      <c r="AK26" s="27">
        <f t="shared" si="6"/>
        <v>1.533333333</v>
      </c>
      <c r="AL26" s="24">
        <f t="shared" si="44"/>
        <v>8</v>
      </c>
      <c r="AM26" s="2">
        <f t="shared" si="45"/>
        <v>7</v>
      </c>
      <c r="AN26" s="24">
        <f t="shared" si="46"/>
        <v>3</v>
      </c>
      <c r="AO26" s="24">
        <f t="shared" si="47"/>
        <v>10</v>
      </c>
      <c r="AP26" s="24">
        <f t="shared" si="48"/>
        <v>8</v>
      </c>
      <c r="AQ26" s="24">
        <f t="shared" si="49"/>
        <v>4</v>
      </c>
      <c r="AR26" s="24">
        <f t="shared" si="50"/>
        <v>3</v>
      </c>
      <c r="AS26" s="24">
        <f t="shared" si="51"/>
        <v>5</v>
      </c>
      <c r="AT26" s="28">
        <f t="shared" si="52"/>
        <v>2</v>
      </c>
      <c r="AU26" s="26">
        <v>1.0</v>
      </c>
      <c r="AV26" s="27">
        <f t="shared" si="7"/>
        <v>1.266666667</v>
      </c>
      <c r="AW26" s="24">
        <f t="shared" si="53"/>
        <v>9</v>
      </c>
      <c r="AX26" s="2">
        <f t="shared" si="54"/>
        <v>4</v>
      </c>
      <c r="AY26" s="24">
        <f t="shared" si="55"/>
        <v>2</v>
      </c>
      <c r="AZ26" s="24">
        <f t="shared" si="56"/>
        <v>10</v>
      </c>
      <c r="BA26" s="24">
        <f t="shared" si="57"/>
        <v>5</v>
      </c>
      <c r="BB26" s="24">
        <f t="shared" si="58"/>
        <v>4</v>
      </c>
      <c r="BC26" s="24">
        <f t="shared" si="59"/>
        <v>6</v>
      </c>
      <c r="BD26" s="24">
        <f t="shared" si="60"/>
        <v>3</v>
      </c>
      <c r="BE26" s="24">
        <f t="shared" si="61"/>
        <v>1</v>
      </c>
      <c r="BF26" s="29">
        <f t="shared" ref="BF26:BO26" si="86">+(AK26+Z26+O26+D26)/4</f>
        <v>1.5</v>
      </c>
      <c r="BG26" s="24">
        <f t="shared" si="86"/>
        <v>9.75</v>
      </c>
      <c r="BH26" s="24">
        <f t="shared" si="86"/>
        <v>6.25</v>
      </c>
      <c r="BI26" s="24">
        <f t="shared" si="86"/>
        <v>2.75</v>
      </c>
      <c r="BJ26" s="24">
        <f t="shared" si="86"/>
        <v>12</v>
      </c>
      <c r="BK26" s="24">
        <f t="shared" si="86"/>
        <v>6.75</v>
      </c>
      <c r="BL26" s="24">
        <f t="shared" si="86"/>
        <v>2.5</v>
      </c>
      <c r="BM26" s="24">
        <f t="shared" si="86"/>
        <v>5.75</v>
      </c>
      <c r="BN26" s="24">
        <f t="shared" si="86"/>
        <v>4</v>
      </c>
      <c r="BO26" s="24">
        <f t="shared" si="86"/>
        <v>2.25</v>
      </c>
      <c r="BP26" s="30">
        <f t="shared" si="9"/>
        <v>-0.2333333333</v>
      </c>
      <c r="BQ26" s="31">
        <f t="shared" si="10"/>
        <v>0.2666666667</v>
      </c>
      <c r="BR26" s="31">
        <f t="shared" si="11"/>
        <v>0.4</v>
      </c>
      <c r="BS26" s="31">
        <f t="shared" si="12"/>
        <v>0.2</v>
      </c>
      <c r="BT26" s="31">
        <f t="shared" si="13"/>
        <v>0.06666666667</v>
      </c>
      <c r="BU26" s="31">
        <f t="shared" si="14"/>
        <v>0.06666666667</v>
      </c>
      <c r="BV26" s="31">
        <f t="shared" si="15"/>
        <v>0.7333333333</v>
      </c>
      <c r="BW26" s="31">
        <f t="shared" ref="BW26:BX26" si="87">+BR26+BS26+BT26</f>
        <v>0.6666666667</v>
      </c>
      <c r="BX26" s="32">
        <f t="shared" si="87"/>
        <v>0.3333333333</v>
      </c>
    </row>
    <row r="27" ht="15.75" customHeight="1">
      <c r="A27" s="2"/>
      <c r="B27" s="33">
        <v>16.0</v>
      </c>
      <c r="C27" s="2">
        <v>2.0</v>
      </c>
      <c r="D27" s="3">
        <f t="shared" si="3"/>
        <v>1.375</v>
      </c>
      <c r="E27" s="2">
        <f t="shared" si="17"/>
        <v>12</v>
      </c>
      <c r="F27" s="2">
        <f t="shared" si="18"/>
        <v>6</v>
      </c>
      <c r="G27" s="2">
        <f t="shared" si="19"/>
        <v>2</v>
      </c>
      <c r="H27" s="2">
        <f t="shared" si="20"/>
        <v>14</v>
      </c>
      <c r="I27" s="2">
        <f t="shared" si="21"/>
        <v>6</v>
      </c>
      <c r="J27" s="2">
        <f t="shared" si="22"/>
        <v>2</v>
      </c>
      <c r="K27" s="2">
        <f t="shared" si="23"/>
        <v>8</v>
      </c>
      <c r="L27" s="2">
        <f t="shared" si="24"/>
        <v>4</v>
      </c>
      <c r="M27" s="34">
        <f t="shared" si="25"/>
        <v>2</v>
      </c>
      <c r="N27" s="35">
        <v>1.0</v>
      </c>
      <c r="O27" s="3">
        <f t="shared" si="4"/>
        <v>1.5625</v>
      </c>
      <c r="P27" s="2">
        <f t="shared" si="26"/>
        <v>9</v>
      </c>
      <c r="Q27" s="2">
        <f t="shared" si="27"/>
        <v>6</v>
      </c>
      <c r="R27" s="2">
        <f t="shared" si="28"/>
        <v>4</v>
      </c>
      <c r="S27" s="2">
        <f t="shared" si="29"/>
        <v>12</v>
      </c>
      <c r="T27" s="2">
        <f t="shared" si="30"/>
        <v>7</v>
      </c>
      <c r="U27" s="2">
        <f t="shared" si="31"/>
        <v>3</v>
      </c>
      <c r="V27" s="2">
        <f t="shared" si="32"/>
        <v>6</v>
      </c>
      <c r="W27" s="2">
        <f t="shared" si="33"/>
        <v>3</v>
      </c>
      <c r="X27" s="34">
        <f t="shared" si="34"/>
        <v>3</v>
      </c>
      <c r="Y27" s="2">
        <v>1.0</v>
      </c>
      <c r="Z27" s="3">
        <f t="shared" si="5"/>
        <v>1.5</v>
      </c>
      <c r="AA27" s="2">
        <f t="shared" si="35"/>
        <v>13</v>
      </c>
      <c r="AB27" s="2">
        <f t="shared" si="36"/>
        <v>7</v>
      </c>
      <c r="AC27" s="2">
        <f t="shared" si="37"/>
        <v>2</v>
      </c>
      <c r="AD27" s="2">
        <f t="shared" si="38"/>
        <v>15</v>
      </c>
      <c r="AE27" s="2">
        <f t="shared" si="39"/>
        <v>7</v>
      </c>
      <c r="AF27" s="2">
        <f t="shared" si="40"/>
        <v>1</v>
      </c>
      <c r="AG27" s="2">
        <f t="shared" si="41"/>
        <v>8</v>
      </c>
      <c r="AH27" s="2">
        <f t="shared" si="42"/>
        <v>5</v>
      </c>
      <c r="AI27" s="34">
        <f t="shared" si="43"/>
        <v>2</v>
      </c>
      <c r="AJ27" s="35">
        <v>2.0</v>
      </c>
      <c r="AK27" s="3">
        <f t="shared" si="6"/>
        <v>1.5625</v>
      </c>
      <c r="AL27" s="2">
        <f t="shared" si="44"/>
        <v>9</v>
      </c>
      <c r="AM27" s="2">
        <f t="shared" si="45"/>
        <v>8</v>
      </c>
      <c r="AN27" s="2">
        <f t="shared" si="46"/>
        <v>3</v>
      </c>
      <c r="AO27" s="2">
        <f t="shared" si="47"/>
        <v>11</v>
      </c>
      <c r="AP27" s="2">
        <f t="shared" si="48"/>
        <v>9</v>
      </c>
      <c r="AQ27" s="2">
        <f t="shared" si="49"/>
        <v>4</v>
      </c>
      <c r="AR27" s="2">
        <f t="shared" si="50"/>
        <v>3</v>
      </c>
      <c r="AS27" s="2">
        <f t="shared" si="51"/>
        <v>6</v>
      </c>
      <c r="AT27" s="34">
        <f t="shared" si="52"/>
        <v>2</v>
      </c>
      <c r="AU27" s="2">
        <v>2.0</v>
      </c>
      <c r="AV27" s="3">
        <f t="shared" si="7"/>
        <v>1.3125</v>
      </c>
      <c r="AW27" s="2">
        <f t="shared" si="53"/>
        <v>10</v>
      </c>
      <c r="AX27" s="2">
        <f t="shared" si="54"/>
        <v>5</v>
      </c>
      <c r="AY27" s="2">
        <f t="shared" si="55"/>
        <v>2</v>
      </c>
      <c r="AZ27" s="2">
        <f t="shared" si="56"/>
        <v>11</v>
      </c>
      <c r="BA27" s="2">
        <f t="shared" si="57"/>
        <v>6</v>
      </c>
      <c r="BB27" s="2">
        <f t="shared" si="58"/>
        <v>4</v>
      </c>
      <c r="BC27" s="2">
        <f t="shared" si="59"/>
        <v>6</v>
      </c>
      <c r="BD27" s="2">
        <f t="shared" si="60"/>
        <v>4</v>
      </c>
      <c r="BE27" s="2">
        <f t="shared" si="61"/>
        <v>1</v>
      </c>
      <c r="BF27" s="36">
        <f t="shared" ref="BF27:BO27" si="88">+(AK27+Z27+O27+D27)/4</f>
        <v>1.5</v>
      </c>
      <c r="BG27" s="2">
        <f t="shared" si="88"/>
        <v>10.75</v>
      </c>
      <c r="BH27" s="2">
        <f t="shared" si="88"/>
        <v>6.75</v>
      </c>
      <c r="BI27" s="2">
        <f t="shared" si="88"/>
        <v>2.75</v>
      </c>
      <c r="BJ27" s="2">
        <f t="shared" si="88"/>
        <v>13</v>
      </c>
      <c r="BK27" s="2">
        <f t="shared" si="88"/>
        <v>7.25</v>
      </c>
      <c r="BL27" s="2">
        <f t="shared" si="88"/>
        <v>2.5</v>
      </c>
      <c r="BM27" s="2">
        <f t="shared" si="88"/>
        <v>6.25</v>
      </c>
      <c r="BN27" s="2">
        <f t="shared" si="88"/>
        <v>4.5</v>
      </c>
      <c r="BO27" s="2">
        <f t="shared" si="88"/>
        <v>2.25</v>
      </c>
      <c r="BP27" s="37">
        <f t="shared" si="9"/>
        <v>-0.1875</v>
      </c>
      <c r="BQ27" s="38">
        <f t="shared" si="10"/>
        <v>0.25</v>
      </c>
      <c r="BR27" s="38">
        <f t="shared" si="11"/>
        <v>0.375</v>
      </c>
      <c r="BS27" s="38">
        <f t="shared" si="12"/>
        <v>0.25</v>
      </c>
      <c r="BT27" s="38">
        <f t="shared" si="13"/>
        <v>0.0625</v>
      </c>
      <c r="BU27" s="38">
        <f t="shared" si="14"/>
        <v>0.0625</v>
      </c>
      <c r="BV27" s="38">
        <f t="shared" si="15"/>
        <v>0.75</v>
      </c>
      <c r="BW27" s="38">
        <f t="shared" ref="BW27:BX27" si="89">+BR27+BS27+BT27</f>
        <v>0.6875</v>
      </c>
      <c r="BX27" s="39">
        <f t="shared" si="89"/>
        <v>0.375</v>
      </c>
    </row>
    <row r="28" ht="15.75" customHeight="1">
      <c r="A28" s="24"/>
      <c r="B28" s="40">
        <v>17.0</v>
      </c>
      <c r="C28" s="26">
        <v>1.0</v>
      </c>
      <c r="D28" s="27">
        <f t="shared" si="3"/>
        <v>1.352941176</v>
      </c>
      <c r="E28" s="24">
        <f t="shared" si="17"/>
        <v>13</v>
      </c>
      <c r="F28" s="2">
        <f t="shared" si="18"/>
        <v>6</v>
      </c>
      <c r="G28" s="24">
        <f t="shared" si="19"/>
        <v>2</v>
      </c>
      <c r="H28" s="24">
        <f t="shared" si="20"/>
        <v>15</v>
      </c>
      <c r="I28" s="24">
        <f t="shared" si="21"/>
        <v>6</v>
      </c>
      <c r="J28" s="24">
        <f t="shared" si="22"/>
        <v>2</v>
      </c>
      <c r="K28" s="24">
        <f t="shared" si="23"/>
        <v>9</v>
      </c>
      <c r="L28" s="24">
        <f t="shared" si="24"/>
        <v>4</v>
      </c>
      <c r="M28" s="28">
        <f t="shared" si="25"/>
        <v>2</v>
      </c>
      <c r="N28" s="24">
        <v>1.0</v>
      </c>
      <c r="O28" s="27">
        <f t="shared" si="4"/>
        <v>1.529411765</v>
      </c>
      <c r="P28" s="24">
        <f t="shared" si="26"/>
        <v>10</v>
      </c>
      <c r="Q28" s="2">
        <f t="shared" si="27"/>
        <v>6</v>
      </c>
      <c r="R28" s="24">
        <f t="shared" si="28"/>
        <v>4</v>
      </c>
      <c r="S28" s="24">
        <f t="shared" si="29"/>
        <v>13</v>
      </c>
      <c r="T28" s="24">
        <f t="shared" si="30"/>
        <v>7</v>
      </c>
      <c r="U28" s="24">
        <f t="shared" si="31"/>
        <v>3</v>
      </c>
      <c r="V28" s="24">
        <f t="shared" si="32"/>
        <v>7</v>
      </c>
      <c r="W28" s="24">
        <f t="shared" si="33"/>
        <v>3</v>
      </c>
      <c r="X28" s="28">
        <f t="shared" si="34"/>
        <v>3</v>
      </c>
      <c r="Y28" s="26">
        <v>2.0</v>
      </c>
      <c r="Z28" s="27">
        <f t="shared" si="5"/>
        <v>1.529411765</v>
      </c>
      <c r="AA28" s="24">
        <f t="shared" si="35"/>
        <v>14</v>
      </c>
      <c r="AB28" s="2">
        <f t="shared" si="36"/>
        <v>8</v>
      </c>
      <c r="AC28" s="24">
        <f t="shared" si="37"/>
        <v>2</v>
      </c>
      <c r="AD28" s="24">
        <f t="shared" si="38"/>
        <v>16</v>
      </c>
      <c r="AE28" s="24">
        <f t="shared" si="39"/>
        <v>8</v>
      </c>
      <c r="AF28" s="24">
        <f t="shared" si="40"/>
        <v>1</v>
      </c>
      <c r="AG28" s="24">
        <f t="shared" si="41"/>
        <v>8</v>
      </c>
      <c r="AH28" s="24">
        <f t="shared" si="42"/>
        <v>6</v>
      </c>
      <c r="AI28" s="28">
        <f t="shared" si="43"/>
        <v>2</v>
      </c>
      <c r="AJ28" s="24">
        <v>2.0</v>
      </c>
      <c r="AK28" s="27">
        <f t="shared" si="6"/>
        <v>1.588235294</v>
      </c>
      <c r="AL28" s="24">
        <f t="shared" si="44"/>
        <v>10</v>
      </c>
      <c r="AM28" s="2">
        <f t="shared" si="45"/>
        <v>9</v>
      </c>
      <c r="AN28" s="24">
        <f t="shared" si="46"/>
        <v>3</v>
      </c>
      <c r="AO28" s="24">
        <f t="shared" si="47"/>
        <v>12</v>
      </c>
      <c r="AP28" s="24">
        <f t="shared" si="48"/>
        <v>10</v>
      </c>
      <c r="AQ28" s="24">
        <f t="shared" si="49"/>
        <v>4</v>
      </c>
      <c r="AR28" s="24">
        <f t="shared" si="50"/>
        <v>3</v>
      </c>
      <c r="AS28" s="24">
        <f t="shared" si="51"/>
        <v>7</v>
      </c>
      <c r="AT28" s="28">
        <f t="shared" si="52"/>
        <v>2</v>
      </c>
      <c r="AU28" s="41">
        <v>2.0</v>
      </c>
      <c r="AV28" s="27">
        <f t="shared" si="7"/>
        <v>1.352941176</v>
      </c>
      <c r="AW28" s="24">
        <f t="shared" si="53"/>
        <v>11</v>
      </c>
      <c r="AX28" s="2">
        <f t="shared" si="54"/>
        <v>6</v>
      </c>
      <c r="AY28" s="24">
        <f t="shared" si="55"/>
        <v>2</v>
      </c>
      <c r="AZ28" s="24">
        <f t="shared" si="56"/>
        <v>12</v>
      </c>
      <c r="BA28" s="24">
        <f t="shared" si="57"/>
        <v>7</v>
      </c>
      <c r="BB28" s="24">
        <f t="shared" si="58"/>
        <v>4</v>
      </c>
      <c r="BC28" s="24">
        <f t="shared" si="59"/>
        <v>6</v>
      </c>
      <c r="BD28" s="24">
        <f t="shared" si="60"/>
        <v>5</v>
      </c>
      <c r="BE28" s="24">
        <f t="shared" si="61"/>
        <v>1</v>
      </c>
      <c r="BF28" s="29">
        <f t="shared" ref="BF28:BO28" si="90">+(AK28+Z28+O28+D28)/4</f>
        <v>1.5</v>
      </c>
      <c r="BG28" s="24">
        <f t="shared" si="90"/>
        <v>11.75</v>
      </c>
      <c r="BH28" s="24">
        <f t="shared" si="90"/>
        <v>7.25</v>
      </c>
      <c r="BI28" s="24">
        <f t="shared" si="90"/>
        <v>2.75</v>
      </c>
      <c r="BJ28" s="24">
        <f t="shared" si="90"/>
        <v>14</v>
      </c>
      <c r="BK28" s="24">
        <f t="shared" si="90"/>
        <v>7.75</v>
      </c>
      <c r="BL28" s="24">
        <f t="shared" si="90"/>
        <v>2.5</v>
      </c>
      <c r="BM28" s="24">
        <f t="shared" si="90"/>
        <v>6.75</v>
      </c>
      <c r="BN28" s="24">
        <f t="shared" si="90"/>
        <v>5</v>
      </c>
      <c r="BO28" s="24">
        <f t="shared" si="90"/>
        <v>2.25</v>
      </c>
      <c r="BP28" s="30">
        <f t="shared" si="9"/>
        <v>-0.1470588235</v>
      </c>
      <c r="BQ28" s="31">
        <f t="shared" si="10"/>
        <v>0.2352941176</v>
      </c>
      <c r="BR28" s="31">
        <f t="shared" si="11"/>
        <v>0.3529411765</v>
      </c>
      <c r="BS28" s="31">
        <f t="shared" si="12"/>
        <v>0.2941176471</v>
      </c>
      <c r="BT28" s="31">
        <f t="shared" si="13"/>
        <v>0.05882352941</v>
      </c>
      <c r="BU28" s="31">
        <f t="shared" si="14"/>
        <v>0.05882352941</v>
      </c>
      <c r="BV28" s="31">
        <f t="shared" si="15"/>
        <v>0.7647058824</v>
      </c>
      <c r="BW28" s="31">
        <f t="shared" ref="BW28:BX28" si="91">+BR28+BS28+BT28</f>
        <v>0.7058823529</v>
      </c>
      <c r="BX28" s="32">
        <f t="shared" si="91"/>
        <v>0.4117647059</v>
      </c>
    </row>
    <row r="29" ht="15.75" customHeight="1">
      <c r="A29" s="2"/>
      <c r="B29" s="33">
        <v>18.0</v>
      </c>
      <c r="C29" s="2">
        <v>2.0</v>
      </c>
      <c r="D29" s="3">
        <f t="shared" si="3"/>
        <v>1.388888889</v>
      </c>
      <c r="E29" s="2">
        <f t="shared" si="17"/>
        <v>14</v>
      </c>
      <c r="F29" s="2">
        <f t="shared" si="18"/>
        <v>7</v>
      </c>
      <c r="G29" s="2">
        <f t="shared" si="19"/>
        <v>2</v>
      </c>
      <c r="H29" s="2">
        <f t="shared" si="20"/>
        <v>16</v>
      </c>
      <c r="I29" s="2">
        <f t="shared" si="21"/>
        <v>7</v>
      </c>
      <c r="J29" s="2">
        <f t="shared" si="22"/>
        <v>2</v>
      </c>
      <c r="K29" s="2">
        <f t="shared" si="23"/>
        <v>9</v>
      </c>
      <c r="L29" s="2">
        <f t="shared" si="24"/>
        <v>5</v>
      </c>
      <c r="M29" s="34">
        <f t="shared" si="25"/>
        <v>2</v>
      </c>
      <c r="N29" s="35">
        <v>1.0</v>
      </c>
      <c r="O29" s="3">
        <f t="shared" si="4"/>
        <v>1.5</v>
      </c>
      <c r="P29" s="2">
        <f t="shared" si="26"/>
        <v>11</v>
      </c>
      <c r="Q29" s="2">
        <f t="shared" si="27"/>
        <v>6</v>
      </c>
      <c r="R29" s="2">
        <f t="shared" si="28"/>
        <v>4</v>
      </c>
      <c r="S29" s="2">
        <f t="shared" si="29"/>
        <v>14</v>
      </c>
      <c r="T29" s="2">
        <f t="shared" si="30"/>
        <v>7</v>
      </c>
      <c r="U29" s="2">
        <f t="shared" si="31"/>
        <v>3</v>
      </c>
      <c r="V29" s="2">
        <f t="shared" si="32"/>
        <v>8</v>
      </c>
      <c r="W29" s="2">
        <f t="shared" si="33"/>
        <v>3</v>
      </c>
      <c r="X29" s="34">
        <f t="shared" si="34"/>
        <v>3</v>
      </c>
      <c r="Y29" s="2">
        <v>1.0</v>
      </c>
      <c r="Z29" s="3">
        <f t="shared" si="5"/>
        <v>1.5</v>
      </c>
      <c r="AA29" s="2">
        <f t="shared" si="35"/>
        <v>15</v>
      </c>
      <c r="AB29" s="2">
        <f t="shared" si="36"/>
        <v>8</v>
      </c>
      <c r="AC29" s="2">
        <f t="shared" si="37"/>
        <v>2</v>
      </c>
      <c r="AD29" s="2">
        <f t="shared" si="38"/>
        <v>17</v>
      </c>
      <c r="AE29" s="2">
        <f t="shared" si="39"/>
        <v>8</v>
      </c>
      <c r="AF29" s="2">
        <f t="shared" si="40"/>
        <v>1</v>
      </c>
      <c r="AG29" s="2">
        <f t="shared" si="41"/>
        <v>9</v>
      </c>
      <c r="AH29" s="2">
        <f t="shared" si="42"/>
        <v>6</v>
      </c>
      <c r="AI29" s="34">
        <f t="shared" si="43"/>
        <v>2</v>
      </c>
      <c r="AJ29" s="35">
        <v>1.0</v>
      </c>
      <c r="AK29" s="3">
        <f t="shared" si="6"/>
        <v>1.555555556</v>
      </c>
      <c r="AL29" s="2">
        <f t="shared" si="44"/>
        <v>11</v>
      </c>
      <c r="AM29" s="2">
        <f t="shared" si="45"/>
        <v>9</v>
      </c>
      <c r="AN29" s="2">
        <f t="shared" si="46"/>
        <v>3</v>
      </c>
      <c r="AO29" s="2">
        <f t="shared" si="47"/>
        <v>13</v>
      </c>
      <c r="AP29" s="2">
        <f t="shared" si="48"/>
        <v>10</v>
      </c>
      <c r="AQ29" s="2">
        <f t="shared" si="49"/>
        <v>4</v>
      </c>
      <c r="AR29" s="2">
        <f t="shared" si="50"/>
        <v>4</v>
      </c>
      <c r="AS29" s="2">
        <f t="shared" si="51"/>
        <v>7</v>
      </c>
      <c r="AT29" s="34">
        <f t="shared" si="52"/>
        <v>2</v>
      </c>
      <c r="AU29" s="47">
        <v>1.0</v>
      </c>
      <c r="AV29" s="3">
        <f t="shared" si="7"/>
        <v>1.333333333</v>
      </c>
      <c r="AW29" s="2">
        <f t="shared" si="53"/>
        <v>12</v>
      </c>
      <c r="AX29" s="2">
        <f t="shared" si="54"/>
        <v>6</v>
      </c>
      <c r="AY29" s="2">
        <f t="shared" si="55"/>
        <v>2</v>
      </c>
      <c r="AZ29" s="2">
        <f t="shared" si="56"/>
        <v>13</v>
      </c>
      <c r="BA29" s="2">
        <f t="shared" si="57"/>
        <v>7</v>
      </c>
      <c r="BB29" s="2">
        <f t="shared" si="58"/>
        <v>4</v>
      </c>
      <c r="BC29" s="2">
        <f t="shared" si="59"/>
        <v>7</v>
      </c>
      <c r="BD29" s="2">
        <f t="shared" si="60"/>
        <v>5</v>
      </c>
      <c r="BE29" s="2">
        <f t="shared" si="61"/>
        <v>1</v>
      </c>
      <c r="BF29" s="36">
        <f t="shared" ref="BF29:BO29" si="92">+(AK29+Z29+O29+D29)/4</f>
        <v>1.486111111</v>
      </c>
      <c r="BG29" s="2">
        <f t="shared" si="92"/>
        <v>12.75</v>
      </c>
      <c r="BH29" s="2">
        <f t="shared" si="92"/>
        <v>7.5</v>
      </c>
      <c r="BI29" s="2">
        <f t="shared" si="92"/>
        <v>2.75</v>
      </c>
      <c r="BJ29" s="2">
        <f t="shared" si="92"/>
        <v>15</v>
      </c>
      <c r="BK29" s="2">
        <f t="shared" si="92"/>
        <v>8</v>
      </c>
      <c r="BL29" s="2">
        <f t="shared" si="92"/>
        <v>2.5</v>
      </c>
      <c r="BM29" s="2">
        <f t="shared" si="92"/>
        <v>7.5</v>
      </c>
      <c r="BN29" s="2">
        <f t="shared" si="92"/>
        <v>5.25</v>
      </c>
      <c r="BO29" s="2">
        <f t="shared" si="92"/>
        <v>2.25</v>
      </c>
      <c r="BP29" s="37">
        <f t="shared" si="9"/>
        <v>-0.1527777778</v>
      </c>
      <c r="BQ29" s="38">
        <f t="shared" si="10"/>
        <v>0.2222222222</v>
      </c>
      <c r="BR29" s="38">
        <f t="shared" si="11"/>
        <v>0.3888888889</v>
      </c>
      <c r="BS29" s="38">
        <f t="shared" si="12"/>
        <v>0.2777777778</v>
      </c>
      <c r="BT29" s="38">
        <f t="shared" si="13"/>
        <v>0.05555555556</v>
      </c>
      <c r="BU29" s="38">
        <f t="shared" si="14"/>
        <v>0.05555555556</v>
      </c>
      <c r="BV29" s="38">
        <f t="shared" si="15"/>
        <v>0.7777777778</v>
      </c>
      <c r="BW29" s="38">
        <f t="shared" ref="BW29:BX29" si="93">+BR29+BS29+BT29</f>
        <v>0.7222222222</v>
      </c>
      <c r="BX29" s="39">
        <f t="shared" si="93"/>
        <v>0.3888888889</v>
      </c>
    </row>
    <row r="30" ht="15.75" customHeight="1">
      <c r="A30" s="24"/>
      <c r="B30" s="40">
        <v>19.0</v>
      </c>
      <c r="C30" s="26">
        <v>2.0</v>
      </c>
      <c r="D30" s="27">
        <f t="shared" si="3"/>
        <v>1.421052632</v>
      </c>
      <c r="E30" s="24">
        <f t="shared" si="17"/>
        <v>15</v>
      </c>
      <c r="F30" s="2">
        <f t="shared" si="18"/>
        <v>8</v>
      </c>
      <c r="G30" s="24">
        <f t="shared" si="19"/>
        <v>2</v>
      </c>
      <c r="H30" s="24">
        <f t="shared" si="20"/>
        <v>17</v>
      </c>
      <c r="I30" s="24">
        <f t="shared" si="21"/>
        <v>8</v>
      </c>
      <c r="J30" s="24">
        <f t="shared" si="22"/>
        <v>2</v>
      </c>
      <c r="K30" s="24">
        <f t="shared" si="23"/>
        <v>9</v>
      </c>
      <c r="L30" s="24">
        <f t="shared" si="24"/>
        <v>6</v>
      </c>
      <c r="M30" s="28">
        <f t="shared" si="25"/>
        <v>2</v>
      </c>
      <c r="N30" s="24">
        <v>3.0</v>
      </c>
      <c r="O30" s="27">
        <f t="shared" si="4"/>
        <v>1.578947368</v>
      </c>
      <c r="P30" s="24">
        <f t="shared" si="26"/>
        <v>11</v>
      </c>
      <c r="Q30" s="2">
        <f t="shared" si="27"/>
        <v>7</v>
      </c>
      <c r="R30" s="24">
        <f t="shared" si="28"/>
        <v>5</v>
      </c>
      <c r="S30" s="24">
        <f t="shared" si="29"/>
        <v>15</v>
      </c>
      <c r="T30" s="24">
        <f t="shared" si="30"/>
        <v>8</v>
      </c>
      <c r="U30" s="24">
        <f t="shared" si="31"/>
        <v>3</v>
      </c>
      <c r="V30" s="24">
        <f t="shared" si="32"/>
        <v>8</v>
      </c>
      <c r="W30" s="24">
        <f t="shared" si="33"/>
        <v>3</v>
      </c>
      <c r="X30" s="28">
        <f t="shared" si="34"/>
        <v>4</v>
      </c>
      <c r="Y30" s="26">
        <v>2.0</v>
      </c>
      <c r="Z30" s="27">
        <f t="shared" si="5"/>
        <v>1.526315789</v>
      </c>
      <c r="AA30" s="24">
        <f t="shared" si="35"/>
        <v>16</v>
      </c>
      <c r="AB30" s="2">
        <f t="shared" si="36"/>
        <v>9</v>
      </c>
      <c r="AC30" s="24">
        <f t="shared" si="37"/>
        <v>2</v>
      </c>
      <c r="AD30" s="24">
        <f t="shared" si="38"/>
        <v>18</v>
      </c>
      <c r="AE30" s="24">
        <f t="shared" si="39"/>
        <v>9</v>
      </c>
      <c r="AF30" s="24">
        <f t="shared" si="40"/>
        <v>1</v>
      </c>
      <c r="AG30" s="24">
        <f t="shared" si="41"/>
        <v>9</v>
      </c>
      <c r="AH30" s="24">
        <f t="shared" si="42"/>
        <v>7</v>
      </c>
      <c r="AI30" s="28">
        <f t="shared" si="43"/>
        <v>2</v>
      </c>
      <c r="AJ30" s="24">
        <v>1.0</v>
      </c>
      <c r="AK30" s="27">
        <f t="shared" si="6"/>
        <v>1.526315789</v>
      </c>
      <c r="AL30" s="24">
        <f t="shared" si="44"/>
        <v>12</v>
      </c>
      <c r="AM30" s="2">
        <f t="shared" si="45"/>
        <v>9</v>
      </c>
      <c r="AN30" s="24">
        <f t="shared" si="46"/>
        <v>3</v>
      </c>
      <c r="AO30" s="24">
        <f t="shared" si="47"/>
        <v>14</v>
      </c>
      <c r="AP30" s="24">
        <f t="shared" si="48"/>
        <v>10</v>
      </c>
      <c r="AQ30" s="24">
        <f t="shared" si="49"/>
        <v>4</v>
      </c>
      <c r="AR30" s="24">
        <f t="shared" si="50"/>
        <v>5</v>
      </c>
      <c r="AS30" s="24">
        <f t="shared" si="51"/>
        <v>7</v>
      </c>
      <c r="AT30" s="28">
        <f t="shared" si="52"/>
        <v>2</v>
      </c>
      <c r="AU30" s="41">
        <v>3.0</v>
      </c>
      <c r="AV30" s="27">
        <f t="shared" si="7"/>
        <v>1.421052632</v>
      </c>
      <c r="AW30" s="24">
        <f t="shared" si="53"/>
        <v>12</v>
      </c>
      <c r="AX30" s="2">
        <f t="shared" si="54"/>
        <v>7</v>
      </c>
      <c r="AY30" s="24">
        <f t="shared" si="55"/>
        <v>3</v>
      </c>
      <c r="AZ30" s="24">
        <f t="shared" si="56"/>
        <v>14</v>
      </c>
      <c r="BA30" s="24">
        <f t="shared" si="57"/>
        <v>8</v>
      </c>
      <c r="BB30" s="24">
        <f t="shared" si="58"/>
        <v>4</v>
      </c>
      <c r="BC30" s="24">
        <f t="shared" si="59"/>
        <v>7</v>
      </c>
      <c r="BD30" s="24">
        <f t="shared" si="60"/>
        <v>5</v>
      </c>
      <c r="BE30" s="24">
        <f t="shared" si="61"/>
        <v>2</v>
      </c>
      <c r="BF30" s="29">
        <f t="shared" ref="BF30:BO30" si="94">+(AK30+Z30+O30+D30)/4</f>
        <v>1.513157895</v>
      </c>
      <c r="BG30" s="24">
        <f t="shared" si="94"/>
        <v>13.5</v>
      </c>
      <c r="BH30" s="24">
        <f t="shared" si="94"/>
        <v>8.25</v>
      </c>
      <c r="BI30" s="24">
        <f t="shared" si="94"/>
        <v>3</v>
      </c>
      <c r="BJ30" s="24">
        <f t="shared" si="94"/>
        <v>16</v>
      </c>
      <c r="BK30" s="24">
        <f t="shared" si="94"/>
        <v>8.75</v>
      </c>
      <c r="BL30" s="24">
        <f t="shared" si="94"/>
        <v>2.5</v>
      </c>
      <c r="BM30" s="24">
        <f t="shared" si="94"/>
        <v>7.75</v>
      </c>
      <c r="BN30" s="24">
        <f t="shared" si="94"/>
        <v>5.75</v>
      </c>
      <c r="BO30" s="24">
        <f t="shared" si="94"/>
        <v>2.5</v>
      </c>
      <c r="BP30" s="30">
        <f t="shared" si="9"/>
        <v>-0.09210526316</v>
      </c>
      <c r="BQ30" s="31">
        <f t="shared" si="10"/>
        <v>0.2105263158</v>
      </c>
      <c r="BR30" s="31">
        <f t="shared" si="11"/>
        <v>0.3684210526</v>
      </c>
      <c r="BS30" s="31">
        <f t="shared" si="12"/>
        <v>0.2631578947</v>
      </c>
      <c r="BT30" s="31">
        <f t="shared" si="13"/>
        <v>0.1052631579</v>
      </c>
      <c r="BU30" s="31">
        <f t="shared" si="14"/>
        <v>0.05263157895</v>
      </c>
      <c r="BV30" s="31">
        <f t="shared" si="15"/>
        <v>0.7894736842</v>
      </c>
      <c r="BW30" s="31">
        <f t="shared" ref="BW30:BX30" si="95">+BR30+BS30+BT30</f>
        <v>0.7368421053</v>
      </c>
      <c r="BX30" s="32">
        <f t="shared" si="95"/>
        <v>0.4210526316</v>
      </c>
    </row>
    <row r="31" ht="15.75" customHeight="1">
      <c r="A31" s="2"/>
      <c r="B31" s="33">
        <v>20.0</v>
      </c>
      <c r="C31" s="2">
        <v>1.0</v>
      </c>
      <c r="D31" s="3">
        <f t="shared" si="3"/>
        <v>1.4</v>
      </c>
      <c r="E31" s="2">
        <f t="shared" si="17"/>
        <v>16</v>
      </c>
      <c r="F31" s="2">
        <f t="shared" si="18"/>
        <v>8</v>
      </c>
      <c r="G31" s="2">
        <f t="shared" si="19"/>
        <v>2</v>
      </c>
      <c r="H31" s="2">
        <f t="shared" si="20"/>
        <v>18</v>
      </c>
      <c r="I31" s="2">
        <f t="shared" si="21"/>
        <v>8</v>
      </c>
      <c r="J31" s="2">
        <f t="shared" si="22"/>
        <v>2</v>
      </c>
      <c r="K31" s="2">
        <f t="shared" si="23"/>
        <v>10</v>
      </c>
      <c r="L31" s="2">
        <f t="shared" si="24"/>
        <v>6</v>
      </c>
      <c r="M31" s="34">
        <f t="shared" si="25"/>
        <v>2</v>
      </c>
      <c r="N31" s="35">
        <v>0.0</v>
      </c>
      <c r="O31" s="3">
        <f t="shared" si="4"/>
        <v>1.5</v>
      </c>
      <c r="P31" s="2">
        <f t="shared" si="26"/>
        <v>11</v>
      </c>
      <c r="Q31" s="2">
        <f t="shared" si="27"/>
        <v>7</v>
      </c>
      <c r="R31" s="2">
        <f t="shared" si="28"/>
        <v>5</v>
      </c>
      <c r="S31" s="2">
        <f t="shared" si="29"/>
        <v>15</v>
      </c>
      <c r="T31" s="2">
        <f t="shared" si="30"/>
        <v>8</v>
      </c>
      <c r="U31" s="2">
        <f t="shared" si="31"/>
        <v>4</v>
      </c>
      <c r="V31" s="2">
        <f t="shared" si="32"/>
        <v>8</v>
      </c>
      <c r="W31" s="2">
        <f t="shared" si="33"/>
        <v>3</v>
      </c>
      <c r="X31" s="34">
        <f t="shared" si="34"/>
        <v>4</v>
      </c>
      <c r="Y31" s="2">
        <v>3.0</v>
      </c>
      <c r="Z31" s="3">
        <f t="shared" si="5"/>
        <v>1.6</v>
      </c>
      <c r="AA31" s="2">
        <f t="shared" si="35"/>
        <v>16</v>
      </c>
      <c r="AB31" s="2">
        <f t="shared" si="36"/>
        <v>10</v>
      </c>
      <c r="AC31" s="2">
        <f t="shared" si="37"/>
        <v>3</v>
      </c>
      <c r="AD31" s="2">
        <f t="shared" si="38"/>
        <v>19</v>
      </c>
      <c r="AE31" s="2">
        <f t="shared" si="39"/>
        <v>10</v>
      </c>
      <c r="AF31" s="2">
        <f t="shared" si="40"/>
        <v>1</v>
      </c>
      <c r="AG31" s="2">
        <f t="shared" si="41"/>
        <v>9</v>
      </c>
      <c r="AH31" s="2">
        <f t="shared" si="42"/>
        <v>7</v>
      </c>
      <c r="AI31" s="34">
        <f t="shared" si="43"/>
        <v>3</v>
      </c>
      <c r="AJ31" s="35">
        <v>2.0</v>
      </c>
      <c r="AK31" s="3">
        <f t="shared" si="6"/>
        <v>1.55</v>
      </c>
      <c r="AL31" s="2">
        <f t="shared" si="44"/>
        <v>13</v>
      </c>
      <c r="AM31" s="2">
        <f t="shared" si="45"/>
        <v>10</v>
      </c>
      <c r="AN31" s="2">
        <f t="shared" si="46"/>
        <v>3</v>
      </c>
      <c r="AO31" s="2">
        <f t="shared" si="47"/>
        <v>15</v>
      </c>
      <c r="AP31" s="2">
        <f t="shared" si="48"/>
        <v>11</v>
      </c>
      <c r="AQ31" s="2">
        <f t="shared" si="49"/>
        <v>4</v>
      </c>
      <c r="AR31" s="2">
        <f t="shared" si="50"/>
        <v>5</v>
      </c>
      <c r="AS31" s="2">
        <f t="shared" si="51"/>
        <v>8</v>
      </c>
      <c r="AT31" s="34">
        <f t="shared" si="52"/>
        <v>2</v>
      </c>
      <c r="AU31" s="2"/>
      <c r="AV31" s="3">
        <f t="shared" si="7"/>
        <v>1.421052632</v>
      </c>
      <c r="AW31" s="2">
        <f t="shared" si="53"/>
        <v>12</v>
      </c>
      <c r="AX31" s="2">
        <f t="shared" si="54"/>
        <v>7</v>
      </c>
      <c r="AY31" s="2">
        <f t="shared" si="55"/>
        <v>3</v>
      </c>
      <c r="AZ31" s="2">
        <f t="shared" si="56"/>
        <v>14</v>
      </c>
      <c r="BA31" s="2">
        <f t="shared" si="57"/>
        <v>8</v>
      </c>
      <c r="BB31" s="2">
        <f t="shared" si="58"/>
        <v>5</v>
      </c>
      <c r="BC31" s="2">
        <f t="shared" si="59"/>
        <v>7</v>
      </c>
      <c r="BD31" s="2">
        <f t="shared" si="60"/>
        <v>5</v>
      </c>
      <c r="BE31" s="2">
        <f t="shared" si="61"/>
        <v>2</v>
      </c>
      <c r="BF31" s="36">
        <f t="shared" ref="BF31:BO31" si="96">+(AK31+Z31+O31+D31)/4</f>
        <v>1.5125</v>
      </c>
      <c r="BG31" s="2">
        <f t="shared" si="96"/>
        <v>14</v>
      </c>
      <c r="BH31" s="2">
        <f t="shared" si="96"/>
        <v>8.75</v>
      </c>
      <c r="BI31" s="2">
        <f t="shared" si="96"/>
        <v>3.25</v>
      </c>
      <c r="BJ31" s="2">
        <f t="shared" si="96"/>
        <v>16.75</v>
      </c>
      <c r="BK31" s="2">
        <f t="shared" si="96"/>
        <v>9.25</v>
      </c>
      <c r="BL31" s="2">
        <f t="shared" si="96"/>
        <v>2.75</v>
      </c>
      <c r="BM31" s="2">
        <f t="shared" si="96"/>
        <v>8</v>
      </c>
      <c r="BN31" s="2">
        <f t="shared" si="96"/>
        <v>6</v>
      </c>
      <c r="BO31" s="2">
        <f t="shared" si="96"/>
        <v>2.75</v>
      </c>
      <c r="BP31" s="37">
        <f t="shared" si="9"/>
        <v>-0.09144736842</v>
      </c>
      <c r="BQ31" s="38">
        <f t="shared" si="10"/>
        <v>0.2</v>
      </c>
      <c r="BR31" s="38">
        <f t="shared" si="11"/>
        <v>0.35</v>
      </c>
      <c r="BS31" s="38">
        <f t="shared" si="12"/>
        <v>0.25</v>
      </c>
      <c r="BT31" s="38">
        <f t="shared" si="13"/>
        <v>0.1</v>
      </c>
      <c r="BU31" s="38">
        <f t="shared" si="14"/>
        <v>0.05</v>
      </c>
      <c r="BV31" s="38">
        <f t="shared" si="15"/>
        <v>0.8</v>
      </c>
      <c r="BW31" s="38">
        <f t="shared" ref="BW31:BX31" si="97">+BR31+BS31+BT31</f>
        <v>0.7</v>
      </c>
      <c r="BX31" s="39">
        <f t="shared" si="97"/>
        <v>0.4</v>
      </c>
    </row>
    <row r="32" ht="15.75" customHeight="1">
      <c r="A32" s="24"/>
      <c r="B32" s="40">
        <v>21.0</v>
      </c>
      <c r="C32" s="26">
        <v>4.0</v>
      </c>
      <c r="D32" s="27">
        <f t="shared" si="3"/>
        <v>1.523809524</v>
      </c>
      <c r="E32" s="24">
        <f t="shared" si="17"/>
        <v>16</v>
      </c>
      <c r="F32" s="2">
        <f t="shared" si="18"/>
        <v>8</v>
      </c>
      <c r="G32" s="24">
        <f t="shared" si="19"/>
        <v>3</v>
      </c>
      <c r="H32" s="24">
        <f t="shared" si="20"/>
        <v>18</v>
      </c>
      <c r="I32" s="24">
        <f t="shared" si="21"/>
        <v>9</v>
      </c>
      <c r="J32" s="24">
        <f t="shared" si="22"/>
        <v>2</v>
      </c>
      <c r="K32" s="24">
        <f t="shared" si="23"/>
        <v>10</v>
      </c>
      <c r="L32" s="24">
        <f t="shared" si="24"/>
        <v>6</v>
      </c>
      <c r="M32" s="28">
        <f t="shared" si="25"/>
        <v>2</v>
      </c>
      <c r="N32" s="24">
        <v>3.0</v>
      </c>
      <c r="O32" s="27">
        <f t="shared" si="4"/>
        <v>1.571428571</v>
      </c>
      <c r="P32" s="24">
        <f t="shared" si="26"/>
        <v>11</v>
      </c>
      <c r="Q32" s="2">
        <f t="shared" si="27"/>
        <v>8</v>
      </c>
      <c r="R32" s="24">
        <f t="shared" si="28"/>
        <v>6</v>
      </c>
      <c r="S32" s="24">
        <f t="shared" si="29"/>
        <v>16</v>
      </c>
      <c r="T32" s="24">
        <f t="shared" si="30"/>
        <v>9</v>
      </c>
      <c r="U32" s="24">
        <f t="shared" si="31"/>
        <v>4</v>
      </c>
      <c r="V32" s="24">
        <f t="shared" si="32"/>
        <v>8</v>
      </c>
      <c r="W32" s="24">
        <f t="shared" si="33"/>
        <v>3</v>
      </c>
      <c r="X32" s="28">
        <f t="shared" si="34"/>
        <v>5</v>
      </c>
      <c r="Y32" s="26">
        <v>3.0</v>
      </c>
      <c r="Z32" s="27">
        <f t="shared" si="5"/>
        <v>1.666666667</v>
      </c>
      <c r="AA32" s="24">
        <f t="shared" si="35"/>
        <v>16</v>
      </c>
      <c r="AB32" s="2">
        <f t="shared" si="36"/>
        <v>11</v>
      </c>
      <c r="AC32" s="24">
        <f t="shared" si="37"/>
        <v>4</v>
      </c>
      <c r="AD32" s="24">
        <f t="shared" si="38"/>
        <v>20</v>
      </c>
      <c r="AE32" s="24">
        <f t="shared" si="39"/>
        <v>11</v>
      </c>
      <c r="AF32" s="24">
        <f t="shared" si="40"/>
        <v>1</v>
      </c>
      <c r="AG32" s="24">
        <f t="shared" si="41"/>
        <v>9</v>
      </c>
      <c r="AH32" s="24">
        <f t="shared" si="42"/>
        <v>7</v>
      </c>
      <c r="AI32" s="28">
        <f t="shared" si="43"/>
        <v>4</v>
      </c>
      <c r="AJ32" s="24">
        <v>1.0</v>
      </c>
      <c r="AK32" s="27">
        <f t="shared" si="6"/>
        <v>1.523809524</v>
      </c>
      <c r="AL32" s="24">
        <f t="shared" si="44"/>
        <v>14</v>
      </c>
      <c r="AM32" s="2">
        <f t="shared" si="45"/>
        <v>10</v>
      </c>
      <c r="AN32" s="24">
        <f t="shared" si="46"/>
        <v>3</v>
      </c>
      <c r="AO32" s="24">
        <f t="shared" si="47"/>
        <v>16</v>
      </c>
      <c r="AP32" s="24">
        <f t="shared" si="48"/>
        <v>11</v>
      </c>
      <c r="AQ32" s="24">
        <f t="shared" si="49"/>
        <v>4</v>
      </c>
      <c r="AR32" s="24">
        <f t="shared" si="50"/>
        <v>6</v>
      </c>
      <c r="AS32" s="24">
        <f t="shared" si="51"/>
        <v>8</v>
      </c>
      <c r="AT32" s="28">
        <f t="shared" si="52"/>
        <v>2</v>
      </c>
      <c r="AU32" s="24"/>
      <c r="AV32" s="27">
        <f t="shared" si="7"/>
        <v>1.421052632</v>
      </c>
      <c r="AW32" s="24">
        <f t="shared" si="53"/>
        <v>12</v>
      </c>
      <c r="AX32" s="2">
        <f t="shared" si="54"/>
        <v>7</v>
      </c>
      <c r="AY32" s="24">
        <f t="shared" si="55"/>
        <v>3</v>
      </c>
      <c r="AZ32" s="24">
        <f t="shared" si="56"/>
        <v>14</v>
      </c>
      <c r="BA32" s="24">
        <f t="shared" si="57"/>
        <v>8</v>
      </c>
      <c r="BB32" s="24">
        <f t="shared" si="58"/>
        <v>6</v>
      </c>
      <c r="BC32" s="24">
        <f t="shared" si="59"/>
        <v>7</v>
      </c>
      <c r="BD32" s="24">
        <f t="shared" si="60"/>
        <v>5</v>
      </c>
      <c r="BE32" s="24">
        <f t="shared" si="61"/>
        <v>2</v>
      </c>
      <c r="BF32" s="29">
        <f t="shared" ref="BF32:BO32" si="98">+(AK32+Z32+O32+D32)/4</f>
        <v>1.571428571</v>
      </c>
      <c r="BG32" s="24">
        <f t="shared" si="98"/>
        <v>14.25</v>
      </c>
      <c r="BH32" s="24">
        <f t="shared" si="98"/>
        <v>9.25</v>
      </c>
      <c r="BI32" s="24">
        <f t="shared" si="98"/>
        <v>4</v>
      </c>
      <c r="BJ32" s="24">
        <f t="shared" si="98"/>
        <v>17.5</v>
      </c>
      <c r="BK32" s="24">
        <f t="shared" si="98"/>
        <v>10</v>
      </c>
      <c r="BL32" s="24">
        <f t="shared" si="98"/>
        <v>2.75</v>
      </c>
      <c r="BM32" s="24">
        <f t="shared" si="98"/>
        <v>8.25</v>
      </c>
      <c r="BN32" s="24">
        <f t="shared" si="98"/>
        <v>6</v>
      </c>
      <c r="BO32" s="24">
        <f t="shared" si="98"/>
        <v>3.25</v>
      </c>
      <c r="BP32" s="30">
        <f t="shared" si="9"/>
        <v>-0.1503759398</v>
      </c>
      <c r="BQ32" s="31">
        <f t="shared" si="10"/>
        <v>0.1904761905</v>
      </c>
      <c r="BR32" s="31">
        <f t="shared" si="11"/>
        <v>0.3333333333</v>
      </c>
      <c r="BS32" s="31">
        <f t="shared" si="12"/>
        <v>0.2380952381</v>
      </c>
      <c r="BT32" s="31">
        <f t="shared" si="13"/>
        <v>0.09523809524</v>
      </c>
      <c r="BU32" s="31">
        <f t="shared" si="14"/>
        <v>0.04761904762</v>
      </c>
      <c r="BV32" s="31">
        <f t="shared" si="15"/>
        <v>0.8095238095</v>
      </c>
      <c r="BW32" s="31">
        <f t="shared" ref="BW32:BX32" si="99">+BR32+BS32+BT32</f>
        <v>0.6666666667</v>
      </c>
      <c r="BX32" s="32">
        <f t="shared" si="99"/>
        <v>0.380952381</v>
      </c>
    </row>
    <row r="33" ht="15.75" customHeight="1">
      <c r="A33" s="2"/>
      <c r="B33" s="33">
        <v>22.0</v>
      </c>
      <c r="C33" s="2">
        <v>2.0</v>
      </c>
      <c r="D33" s="3">
        <f t="shared" si="3"/>
        <v>1.545454545</v>
      </c>
      <c r="E33" s="2">
        <f t="shared" si="17"/>
        <v>17</v>
      </c>
      <c r="F33" s="2">
        <f t="shared" si="18"/>
        <v>9</v>
      </c>
      <c r="G33" s="2">
        <f t="shared" si="19"/>
        <v>3</v>
      </c>
      <c r="H33" s="2">
        <f t="shared" si="20"/>
        <v>19</v>
      </c>
      <c r="I33" s="2">
        <f t="shared" si="21"/>
        <v>10</v>
      </c>
      <c r="J33" s="2">
        <f t="shared" si="22"/>
        <v>2</v>
      </c>
      <c r="K33" s="2">
        <f t="shared" si="23"/>
        <v>10</v>
      </c>
      <c r="L33" s="2">
        <f t="shared" si="24"/>
        <v>7</v>
      </c>
      <c r="M33" s="34">
        <f t="shared" si="25"/>
        <v>2</v>
      </c>
      <c r="N33" s="35">
        <v>1.0</v>
      </c>
      <c r="O33" s="3">
        <f t="shared" si="4"/>
        <v>1.545454545</v>
      </c>
      <c r="P33" s="2">
        <f t="shared" si="26"/>
        <v>12</v>
      </c>
      <c r="Q33" s="2">
        <f t="shared" si="27"/>
        <v>8</v>
      </c>
      <c r="R33" s="2">
        <f t="shared" si="28"/>
        <v>6</v>
      </c>
      <c r="S33" s="2">
        <f t="shared" si="29"/>
        <v>17</v>
      </c>
      <c r="T33" s="2">
        <f t="shared" si="30"/>
        <v>9</v>
      </c>
      <c r="U33" s="2">
        <f t="shared" si="31"/>
        <v>4</v>
      </c>
      <c r="V33" s="2">
        <f t="shared" si="32"/>
        <v>9</v>
      </c>
      <c r="W33" s="2">
        <f t="shared" si="33"/>
        <v>3</v>
      </c>
      <c r="X33" s="34">
        <f t="shared" si="34"/>
        <v>5</v>
      </c>
      <c r="Y33" s="2">
        <v>1.0</v>
      </c>
      <c r="Z33" s="3">
        <f t="shared" si="5"/>
        <v>1.636363636</v>
      </c>
      <c r="AA33" s="2">
        <f t="shared" si="35"/>
        <v>17</v>
      </c>
      <c r="AB33" s="2">
        <f t="shared" si="36"/>
        <v>11</v>
      </c>
      <c r="AC33" s="2">
        <f t="shared" si="37"/>
        <v>4</v>
      </c>
      <c r="AD33" s="2">
        <f t="shared" si="38"/>
        <v>21</v>
      </c>
      <c r="AE33" s="2">
        <f t="shared" si="39"/>
        <v>11</v>
      </c>
      <c r="AF33" s="2">
        <f t="shared" si="40"/>
        <v>1</v>
      </c>
      <c r="AG33" s="2">
        <f t="shared" si="41"/>
        <v>10</v>
      </c>
      <c r="AH33" s="2">
        <f t="shared" si="42"/>
        <v>7</v>
      </c>
      <c r="AI33" s="34">
        <f t="shared" si="43"/>
        <v>4</v>
      </c>
      <c r="AJ33" s="35">
        <v>4.0</v>
      </c>
      <c r="AK33" s="3">
        <f t="shared" si="6"/>
        <v>1.636363636</v>
      </c>
      <c r="AL33" s="2">
        <f t="shared" si="44"/>
        <v>14</v>
      </c>
      <c r="AM33" s="2">
        <f t="shared" si="45"/>
        <v>10</v>
      </c>
      <c r="AN33" s="2">
        <f t="shared" si="46"/>
        <v>4</v>
      </c>
      <c r="AO33" s="2">
        <f t="shared" si="47"/>
        <v>16</v>
      </c>
      <c r="AP33" s="2">
        <f t="shared" si="48"/>
        <v>12</v>
      </c>
      <c r="AQ33" s="2">
        <f t="shared" si="49"/>
        <v>4</v>
      </c>
      <c r="AR33" s="2">
        <f t="shared" si="50"/>
        <v>6</v>
      </c>
      <c r="AS33" s="2">
        <f t="shared" si="51"/>
        <v>8</v>
      </c>
      <c r="AT33" s="34">
        <f t="shared" si="52"/>
        <v>2</v>
      </c>
      <c r="AU33" s="2"/>
      <c r="AV33" s="3">
        <f t="shared" si="7"/>
        <v>1.421052632</v>
      </c>
      <c r="AW33" s="2">
        <f t="shared" si="53"/>
        <v>12</v>
      </c>
      <c r="AX33" s="2">
        <f t="shared" si="54"/>
        <v>7</v>
      </c>
      <c r="AY33" s="2">
        <f t="shared" si="55"/>
        <v>3</v>
      </c>
      <c r="AZ33" s="2">
        <f t="shared" si="56"/>
        <v>14</v>
      </c>
      <c r="BA33" s="2">
        <f t="shared" si="57"/>
        <v>8</v>
      </c>
      <c r="BB33" s="2">
        <f t="shared" si="58"/>
        <v>7</v>
      </c>
      <c r="BC33" s="2">
        <f t="shared" si="59"/>
        <v>7</v>
      </c>
      <c r="BD33" s="2">
        <f t="shared" si="60"/>
        <v>5</v>
      </c>
      <c r="BE33" s="2">
        <f t="shared" si="61"/>
        <v>2</v>
      </c>
      <c r="BF33" s="36">
        <f t="shared" ref="BF33:BO33" si="100">+(AK33+Z33+O33+D33)/4</f>
        <v>1.590909091</v>
      </c>
      <c r="BG33" s="2">
        <f t="shared" si="100"/>
        <v>15</v>
      </c>
      <c r="BH33" s="2">
        <f t="shared" si="100"/>
        <v>9.5</v>
      </c>
      <c r="BI33" s="2">
        <f t="shared" si="100"/>
        <v>4.25</v>
      </c>
      <c r="BJ33" s="2">
        <f t="shared" si="100"/>
        <v>18.25</v>
      </c>
      <c r="BK33" s="2">
        <f t="shared" si="100"/>
        <v>10.5</v>
      </c>
      <c r="BL33" s="2">
        <f t="shared" si="100"/>
        <v>2.75</v>
      </c>
      <c r="BM33" s="2">
        <f t="shared" si="100"/>
        <v>8.75</v>
      </c>
      <c r="BN33" s="2">
        <f t="shared" si="100"/>
        <v>6.25</v>
      </c>
      <c r="BO33" s="2">
        <f t="shared" si="100"/>
        <v>3.25</v>
      </c>
      <c r="BP33" s="37">
        <f t="shared" si="9"/>
        <v>-0.1698564593</v>
      </c>
      <c r="BQ33" s="38">
        <f t="shared" si="10"/>
        <v>0.1818181818</v>
      </c>
      <c r="BR33" s="38">
        <f t="shared" si="11"/>
        <v>0.3181818182</v>
      </c>
      <c r="BS33" s="38">
        <f t="shared" si="12"/>
        <v>0.2272727273</v>
      </c>
      <c r="BT33" s="38">
        <f t="shared" si="13"/>
        <v>0.09090909091</v>
      </c>
      <c r="BU33" s="38">
        <f t="shared" si="14"/>
        <v>0.04545454545</v>
      </c>
      <c r="BV33" s="38">
        <f t="shared" si="15"/>
        <v>0.8181818182</v>
      </c>
      <c r="BW33" s="38">
        <f t="shared" ref="BW33:BX33" si="101">+BR33+BS33+BT33</f>
        <v>0.6363636364</v>
      </c>
      <c r="BX33" s="39">
        <f t="shared" si="101"/>
        <v>0.3636363636</v>
      </c>
    </row>
    <row r="34" ht="15.75" customHeight="1">
      <c r="A34" s="24"/>
      <c r="B34" s="40">
        <v>23.0</v>
      </c>
      <c r="C34" s="26">
        <v>0.0</v>
      </c>
      <c r="D34" s="27">
        <f t="shared" si="3"/>
        <v>1.47826087</v>
      </c>
      <c r="E34" s="24">
        <f t="shared" si="17"/>
        <v>17</v>
      </c>
      <c r="F34" s="2">
        <f t="shared" si="18"/>
        <v>9</v>
      </c>
      <c r="G34" s="24">
        <f t="shared" si="19"/>
        <v>3</v>
      </c>
      <c r="H34" s="24">
        <f t="shared" si="20"/>
        <v>19</v>
      </c>
      <c r="I34" s="24">
        <f t="shared" si="21"/>
        <v>10</v>
      </c>
      <c r="J34" s="24">
        <f t="shared" si="22"/>
        <v>3</v>
      </c>
      <c r="K34" s="24">
        <f t="shared" si="23"/>
        <v>10</v>
      </c>
      <c r="L34" s="24">
        <f t="shared" si="24"/>
        <v>7</v>
      </c>
      <c r="M34" s="28">
        <f t="shared" si="25"/>
        <v>2</v>
      </c>
      <c r="N34" s="24">
        <v>2.0</v>
      </c>
      <c r="O34" s="27">
        <f t="shared" si="4"/>
        <v>1.565217391</v>
      </c>
      <c r="P34" s="24">
        <f t="shared" si="26"/>
        <v>13</v>
      </c>
      <c r="Q34" s="2">
        <f t="shared" si="27"/>
        <v>9</v>
      </c>
      <c r="R34" s="24">
        <f t="shared" si="28"/>
        <v>6</v>
      </c>
      <c r="S34" s="24">
        <f t="shared" si="29"/>
        <v>18</v>
      </c>
      <c r="T34" s="24">
        <f t="shared" si="30"/>
        <v>10</v>
      </c>
      <c r="U34" s="24">
        <f t="shared" si="31"/>
        <v>4</v>
      </c>
      <c r="V34" s="24">
        <f t="shared" si="32"/>
        <v>9</v>
      </c>
      <c r="W34" s="24">
        <f t="shared" si="33"/>
        <v>4</v>
      </c>
      <c r="X34" s="28">
        <f t="shared" si="34"/>
        <v>5</v>
      </c>
      <c r="Y34" s="26">
        <v>0.0</v>
      </c>
      <c r="Z34" s="27">
        <f t="shared" si="5"/>
        <v>1.565217391</v>
      </c>
      <c r="AA34" s="24">
        <f t="shared" si="35"/>
        <v>17</v>
      </c>
      <c r="AB34" s="2">
        <f t="shared" si="36"/>
        <v>11</v>
      </c>
      <c r="AC34" s="24">
        <f t="shared" si="37"/>
        <v>4</v>
      </c>
      <c r="AD34" s="24">
        <f t="shared" si="38"/>
        <v>21</v>
      </c>
      <c r="AE34" s="24">
        <f t="shared" si="39"/>
        <v>11</v>
      </c>
      <c r="AF34" s="24">
        <f t="shared" si="40"/>
        <v>2</v>
      </c>
      <c r="AG34" s="24">
        <f t="shared" si="41"/>
        <v>10</v>
      </c>
      <c r="AH34" s="24">
        <f t="shared" si="42"/>
        <v>7</v>
      </c>
      <c r="AI34" s="28">
        <f t="shared" si="43"/>
        <v>4</v>
      </c>
      <c r="AJ34" s="24">
        <v>2.0</v>
      </c>
      <c r="AK34" s="27">
        <f t="shared" si="6"/>
        <v>1.652173913</v>
      </c>
      <c r="AL34" s="24">
        <f t="shared" si="44"/>
        <v>15</v>
      </c>
      <c r="AM34" s="2">
        <f t="shared" si="45"/>
        <v>11</v>
      </c>
      <c r="AN34" s="24">
        <f t="shared" si="46"/>
        <v>4</v>
      </c>
      <c r="AO34" s="24">
        <f t="shared" si="47"/>
        <v>17</v>
      </c>
      <c r="AP34" s="24">
        <f t="shared" si="48"/>
        <v>13</v>
      </c>
      <c r="AQ34" s="24">
        <f t="shared" si="49"/>
        <v>4</v>
      </c>
      <c r="AR34" s="24">
        <f t="shared" si="50"/>
        <v>6</v>
      </c>
      <c r="AS34" s="24">
        <f t="shared" si="51"/>
        <v>9</v>
      </c>
      <c r="AT34" s="28">
        <f t="shared" si="52"/>
        <v>2</v>
      </c>
      <c r="AU34" s="24"/>
      <c r="AV34" s="27">
        <f t="shared" si="7"/>
        <v>1.421052632</v>
      </c>
      <c r="AW34" s="24">
        <f t="shared" si="53"/>
        <v>12</v>
      </c>
      <c r="AX34" s="2">
        <f t="shared" si="54"/>
        <v>7</v>
      </c>
      <c r="AY34" s="24">
        <f t="shared" si="55"/>
        <v>3</v>
      </c>
      <c r="AZ34" s="24">
        <f t="shared" si="56"/>
        <v>14</v>
      </c>
      <c r="BA34" s="24">
        <f t="shared" si="57"/>
        <v>8</v>
      </c>
      <c r="BB34" s="24">
        <f t="shared" si="58"/>
        <v>8</v>
      </c>
      <c r="BC34" s="24">
        <f t="shared" si="59"/>
        <v>7</v>
      </c>
      <c r="BD34" s="24">
        <f t="shared" si="60"/>
        <v>5</v>
      </c>
      <c r="BE34" s="24">
        <f t="shared" si="61"/>
        <v>2</v>
      </c>
      <c r="BF34" s="29">
        <f t="shared" ref="BF34:BO34" si="102">+(AK34+Z34+O34+D34)/4</f>
        <v>1.565217391</v>
      </c>
      <c r="BG34" s="24">
        <f t="shared" si="102"/>
        <v>15.5</v>
      </c>
      <c r="BH34" s="24">
        <f t="shared" si="102"/>
        <v>10</v>
      </c>
      <c r="BI34" s="24">
        <f t="shared" si="102"/>
        <v>4.25</v>
      </c>
      <c r="BJ34" s="24">
        <f t="shared" si="102"/>
        <v>18.75</v>
      </c>
      <c r="BK34" s="24">
        <f t="shared" si="102"/>
        <v>11</v>
      </c>
      <c r="BL34" s="24">
        <f t="shared" si="102"/>
        <v>3.25</v>
      </c>
      <c r="BM34" s="24">
        <f t="shared" si="102"/>
        <v>8.75</v>
      </c>
      <c r="BN34" s="24">
        <f t="shared" si="102"/>
        <v>6.75</v>
      </c>
      <c r="BO34" s="24">
        <f t="shared" si="102"/>
        <v>3.25</v>
      </c>
      <c r="BP34" s="30">
        <f t="shared" si="9"/>
        <v>-0.1441647597</v>
      </c>
      <c r="BQ34" s="31">
        <f t="shared" si="10"/>
        <v>0.1739130435</v>
      </c>
      <c r="BR34" s="31">
        <f t="shared" si="11"/>
        <v>0.3043478261</v>
      </c>
      <c r="BS34" s="31">
        <f t="shared" si="12"/>
        <v>0.2173913043</v>
      </c>
      <c r="BT34" s="31">
        <f t="shared" si="13"/>
        <v>0.08695652174</v>
      </c>
      <c r="BU34" s="31">
        <f t="shared" si="14"/>
        <v>0.04347826087</v>
      </c>
      <c r="BV34" s="31">
        <f t="shared" si="15"/>
        <v>0.8260869565</v>
      </c>
      <c r="BW34" s="31">
        <f t="shared" ref="BW34:BX34" si="103">+BR34+BS34+BT34</f>
        <v>0.6086956522</v>
      </c>
      <c r="BX34" s="32">
        <f t="shared" si="103"/>
        <v>0.347826087</v>
      </c>
    </row>
    <row r="35" ht="15.75" customHeight="1">
      <c r="A35" s="2"/>
      <c r="B35" s="33">
        <v>24.0</v>
      </c>
      <c r="C35" s="2">
        <v>2.0</v>
      </c>
      <c r="D35" s="3">
        <f t="shared" si="3"/>
        <v>1.5</v>
      </c>
      <c r="E35" s="2">
        <f t="shared" si="17"/>
        <v>18</v>
      </c>
      <c r="F35" s="2">
        <f t="shared" si="18"/>
        <v>10</v>
      </c>
      <c r="G35" s="2">
        <f t="shared" si="19"/>
        <v>3</v>
      </c>
      <c r="H35" s="2">
        <f t="shared" si="20"/>
        <v>20</v>
      </c>
      <c r="I35" s="2">
        <f t="shared" si="21"/>
        <v>11</v>
      </c>
      <c r="J35" s="2">
        <f t="shared" si="22"/>
        <v>3</v>
      </c>
      <c r="K35" s="2">
        <f t="shared" si="23"/>
        <v>10</v>
      </c>
      <c r="L35" s="2">
        <f t="shared" si="24"/>
        <v>8</v>
      </c>
      <c r="M35" s="34">
        <f t="shared" si="25"/>
        <v>2</v>
      </c>
      <c r="N35" s="35">
        <v>4.0</v>
      </c>
      <c r="O35" s="3">
        <f t="shared" si="4"/>
        <v>1.666666667</v>
      </c>
      <c r="P35" s="2">
        <f t="shared" si="26"/>
        <v>13</v>
      </c>
      <c r="Q35" s="2">
        <f t="shared" si="27"/>
        <v>9</v>
      </c>
      <c r="R35" s="2">
        <f t="shared" si="28"/>
        <v>7</v>
      </c>
      <c r="S35" s="2">
        <f t="shared" si="29"/>
        <v>18</v>
      </c>
      <c r="T35" s="2">
        <f t="shared" si="30"/>
        <v>11</v>
      </c>
      <c r="U35" s="2">
        <f t="shared" si="31"/>
        <v>4</v>
      </c>
      <c r="V35" s="2">
        <f t="shared" si="32"/>
        <v>9</v>
      </c>
      <c r="W35" s="2">
        <f t="shared" si="33"/>
        <v>4</v>
      </c>
      <c r="X35" s="34">
        <f t="shared" si="34"/>
        <v>5</v>
      </c>
      <c r="Y35" s="2">
        <v>0.0</v>
      </c>
      <c r="Z35" s="3">
        <f t="shared" si="5"/>
        <v>1.5</v>
      </c>
      <c r="AA35" s="2">
        <f t="shared" si="35"/>
        <v>17</v>
      </c>
      <c r="AB35" s="2">
        <f t="shared" si="36"/>
        <v>11</v>
      </c>
      <c r="AC35" s="2">
        <f t="shared" si="37"/>
        <v>4</v>
      </c>
      <c r="AD35" s="2">
        <f t="shared" si="38"/>
        <v>21</v>
      </c>
      <c r="AE35" s="2">
        <f t="shared" si="39"/>
        <v>11</v>
      </c>
      <c r="AF35" s="2">
        <f t="shared" si="40"/>
        <v>3</v>
      </c>
      <c r="AG35" s="2">
        <f t="shared" si="41"/>
        <v>10</v>
      </c>
      <c r="AH35" s="2">
        <f t="shared" si="42"/>
        <v>7</v>
      </c>
      <c r="AI35" s="34">
        <f t="shared" si="43"/>
        <v>4</v>
      </c>
      <c r="AJ35" s="35">
        <v>4.0</v>
      </c>
      <c r="AK35" s="3">
        <f t="shared" si="6"/>
        <v>1.75</v>
      </c>
      <c r="AL35" s="2">
        <f t="shared" si="44"/>
        <v>15</v>
      </c>
      <c r="AM35" s="2">
        <f t="shared" si="45"/>
        <v>11</v>
      </c>
      <c r="AN35" s="2">
        <f t="shared" si="46"/>
        <v>5</v>
      </c>
      <c r="AO35" s="2">
        <f t="shared" si="47"/>
        <v>17</v>
      </c>
      <c r="AP35" s="2">
        <f t="shared" si="48"/>
        <v>14</v>
      </c>
      <c r="AQ35" s="2">
        <f t="shared" si="49"/>
        <v>4</v>
      </c>
      <c r="AR35" s="2">
        <f t="shared" si="50"/>
        <v>6</v>
      </c>
      <c r="AS35" s="2">
        <f t="shared" si="51"/>
        <v>9</v>
      </c>
      <c r="AT35" s="34">
        <f t="shared" si="52"/>
        <v>2</v>
      </c>
      <c r="AU35" s="2"/>
      <c r="AV35" s="3">
        <f t="shared" si="7"/>
        <v>1.421052632</v>
      </c>
      <c r="AW35" s="2">
        <f t="shared" si="53"/>
        <v>12</v>
      </c>
      <c r="AX35" s="2">
        <f t="shared" si="54"/>
        <v>7</v>
      </c>
      <c r="AY35" s="2">
        <f t="shared" si="55"/>
        <v>3</v>
      </c>
      <c r="AZ35" s="2">
        <f t="shared" si="56"/>
        <v>14</v>
      </c>
      <c r="BA35" s="2">
        <f t="shared" si="57"/>
        <v>8</v>
      </c>
      <c r="BB35" s="2">
        <f t="shared" si="58"/>
        <v>9</v>
      </c>
      <c r="BC35" s="2">
        <f t="shared" si="59"/>
        <v>7</v>
      </c>
      <c r="BD35" s="2">
        <f t="shared" si="60"/>
        <v>5</v>
      </c>
      <c r="BE35" s="2">
        <f t="shared" si="61"/>
        <v>2</v>
      </c>
      <c r="BF35" s="36">
        <f t="shared" ref="BF35:BO35" si="104">+(AK35+Z35+O35+D35)/4</f>
        <v>1.604166667</v>
      </c>
      <c r="BG35" s="2">
        <f t="shared" si="104"/>
        <v>15.75</v>
      </c>
      <c r="BH35" s="2">
        <f t="shared" si="104"/>
        <v>10.25</v>
      </c>
      <c r="BI35" s="2">
        <f t="shared" si="104"/>
        <v>4.75</v>
      </c>
      <c r="BJ35" s="2">
        <f t="shared" si="104"/>
        <v>19</v>
      </c>
      <c r="BK35" s="2">
        <f t="shared" si="104"/>
        <v>11.75</v>
      </c>
      <c r="BL35" s="2">
        <f t="shared" si="104"/>
        <v>3.5</v>
      </c>
      <c r="BM35" s="2">
        <f t="shared" si="104"/>
        <v>8.75</v>
      </c>
      <c r="BN35" s="2">
        <f t="shared" si="104"/>
        <v>7</v>
      </c>
      <c r="BO35" s="2">
        <f t="shared" si="104"/>
        <v>3.25</v>
      </c>
      <c r="BP35" s="37">
        <f t="shared" si="9"/>
        <v>-0.1831140351</v>
      </c>
      <c r="BQ35" s="38">
        <f t="shared" si="10"/>
        <v>0.1666666667</v>
      </c>
      <c r="BR35" s="38">
        <f t="shared" si="11"/>
        <v>0.2916666667</v>
      </c>
      <c r="BS35" s="38">
        <f t="shared" si="12"/>
        <v>0.2083333333</v>
      </c>
      <c r="BT35" s="38">
        <f t="shared" si="13"/>
        <v>0.08333333333</v>
      </c>
      <c r="BU35" s="38">
        <f t="shared" si="14"/>
        <v>0.04166666667</v>
      </c>
      <c r="BV35" s="38">
        <f t="shared" si="15"/>
        <v>0.8333333333</v>
      </c>
      <c r="BW35" s="38">
        <f t="shared" ref="BW35:BX35" si="105">+BR35+BS35+BT35</f>
        <v>0.5833333333</v>
      </c>
      <c r="BX35" s="39">
        <f t="shared" si="105"/>
        <v>0.3333333333</v>
      </c>
    </row>
    <row r="36" ht="15.75" customHeight="1">
      <c r="A36" s="24"/>
      <c r="B36" s="40">
        <v>25.0</v>
      </c>
      <c r="C36" s="26">
        <v>1.0</v>
      </c>
      <c r="D36" s="27">
        <f t="shared" si="3"/>
        <v>1.48</v>
      </c>
      <c r="E36" s="24">
        <f t="shared" si="17"/>
        <v>19</v>
      </c>
      <c r="F36" s="2">
        <f t="shared" si="18"/>
        <v>10</v>
      </c>
      <c r="G36" s="24">
        <f t="shared" si="19"/>
        <v>3</v>
      </c>
      <c r="H36" s="24">
        <f t="shared" si="20"/>
        <v>21</v>
      </c>
      <c r="I36" s="24">
        <f t="shared" si="21"/>
        <v>11</v>
      </c>
      <c r="J36" s="24">
        <f t="shared" si="22"/>
        <v>3</v>
      </c>
      <c r="K36" s="24">
        <f t="shared" si="23"/>
        <v>11</v>
      </c>
      <c r="L36" s="24">
        <f t="shared" si="24"/>
        <v>8</v>
      </c>
      <c r="M36" s="28">
        <f t="shared" si="25"/>
        <v>2</v>
      </c>
      <c r="N36" s="24">
        <v>0.0</v>
      </c>
      <c r="O36" s="27">
        <f t="shared" si="4"/>
        <v>1.6</v>
      </c>
      <c r="P36" s="24">
        <f t="shared" si="26"/>
        <v>13</v>
      </c>
      <c r="Q36" s="2">
        <f t="shared" si="27"/>
        <v>9</v>
      </c>
      <c r="R36" s="24">
        <f t="shared" si="28"/>
        <v>7</v>
      </c>
      <c r="S36" s="24">
        <f t="shared" si="29"/>
        <v>18</v>
      </c>
      <c r="T36" s="24">
        <f t="shared" si="30"/>
        <v>11</v>
      </c>
      <c r="U36" s="24">
        <f t="shared" si="31"/>
        <v>5</v>
      </c>
      <c r="V36" s="24">
        <f t="shared" si="32"/>
        <v>9</v>
      </c>
      <c r="W36" s="24">
        <f t="shared" si="33"/>
        <v>4</v>
      </c>
      <c r="X36" s="28">
        <f t="shared" si="34"/>
        <v>5</v>
      </c>
      <c r="Y36" s="26">
        <v>2.0</v>
      </c>
      <c r="Z36" s="27">
        <f t="shared" si="5"/>
        <v>1.52</v>
      </c>
      <c r="AA36" s="24">
        <f t="shared" si="35"/>
        <v>18</v>
      </c>
      <c r="AB36" s="2">
        <f t="shared" si="36"/>
        <v>12</v>
      </c>
      <c r="AC36" s="24">
        <f t="shared" si="37"/>
        <v>4</v>
      </c>
      <c r="AD36" s="24">
        <f t="shared" si="38"/>
        <v>22</v>
      </c>
      <c r="AE36" s="24">
        <f t="shared" si="39"/>
        <v>12</v>
      </c>
      <c r="AF36" s="24">
        <f t="shared" si="40"/>
        <v>3</v>
      </c>
      <c r="AG36" s="24">
        <f t="shared" si="41"/>
        <v>10</v>
      </c>
      <c r="AH36" s="24">
        <f t="shared" si="42"/>
        <v>8</v>
      </c>
      <c r="AI36" s="28">
        <f t="shared" si="43"/>
        <v>4</v>
      </c>
      <c r="AJ36" s="24">
        <v>1.0</v>
      </c>
      <c r="AK36" s="27">
        <f t="shared" si="6"/>
        <v>1.72</v>
      </c>
      <c r="AL36" s="24">
        <f t="shared" si="44"/>
        <v>16</v>
      </c>
      <c r="AM36" s="2">
        <f t="shared" si="45"/>
        <v>11</v>
      </c>
      <c r="AN36" s="24">
        <f t="shared" si="46"/>
        <v>5</v>
      </c>
      <c r="AO36" s="24">
        <f t="shared" si="47"/>
        <v>18</v>
      </c>
      <c r="AP36" s="24">
        <f t="shared" si="48"/>
        <v>14</v>
      </c>
      <c r="AQ36" s="24">
        <f t="shared" si="49"/>
        <v>4</v>
      </c>
      <c r="AR36" s="24">
        <f t="shared" si="50"/>
        <v>7</v>
      </c>
      <c r="AS36" s="24">
        <f t="shared" si="51"/>
        <v>9</v>
      </c>
      <c r="AT36" s="28">
        <f t="shared" si="52"/>
        <v>2</v>
      </c>
      <c r="AU36" s="24"/>
      <c r="AV36" s="27">
        <f t="shared" si="7"/>
        <v>1.421052632</v>
      </c>
      <c r="AW36" s="24">
        <f t="shared" si="53"/>
        <v>12</v>
      </c>
      <c r="AX36" s="2">
        <f t="shared" si="54"/>
        <v>7</v>
      </c>
      <c r="AY36" s="24">
        <f t="shared" si="55"/>
        <v>3</v>
      </c>
      <c r="AZ36" s="24">
        <f t="shared" si="56"/>
        <v>14</v>
      </c>
      <c r="BA36" s="24">
        <f t="shared" si="57"/>
        <v>8</v>
      </c>
      <c r="BB36" s="24">
        <f t="shared" si="58"/>
        <v>10</v>
      </c>
      <c r="BC36" s="24">
        <f t="shared" si="59"/>
        <v>7</v>
      </c>
      <c r="BD36" s="24">
        <f t="shared" si="60"/>
        <v>5</v>
      </c>
      <c r="BE36" s="24">
        <f t="shared" si="61"/>
        <v>2</v>
      </c>
      <c r="BF36" s="29">
        <f t="shared" ref="BF36:BO36" si="106">+(AK36+Z36+O36+D36)/4</f>
        <v>1.58</v>
      </c>
      <c r="BG36" s="24">
        <f t="shared" si="106"/>
        <v>16.5</v>
      </c>
      <c r="BH36" s="24">
        <f t="shared" si="106"/>
        <v>10.5</v>
      </c>
      <c r="BI36" s="24">
        <f t="shared" si="106"/>
        <v>4.75</v>
      </c>
      <c r="BJ36" s="24">
        <f t="shared" si="106"/>
        <v>19.75</v>
      </c>
      <c r="BK36" s="24">
        <f t="shared" si="106"/>
        <v>12</v>
      </c>
      <c r="BL36" s="24">
        <f t="shared" si="106"/>
        <v>3.75</v>
      </c>
      <c r="BM36" s="24">
        <f t="shared" si="106"/>
        <v>9.25</v>
      </c>
      <c r="BN36" s="24">
        <f t="shared" si="106"/>
        <v>7.25</v>
      </c>
      <c r="BO36" s="24">
        <f t="shared" si="106"/>
        <v>3.25</v>
      </c>
      <c r="BP36" s="30">
        <f t="shared" si="9"/>
        <v>-0.1589473684</v>
      </c>
      <c r="BQ36" s="31">
        <f t="shared" si="10"/>
        <v>0.16</v>
      </c>
      <c r="BR36" s="31">
        <f t="shared" si="11"/>
        <v>0.28</v>
      </c>
      <c r="BS36" s="31">
        <f t="shared" si="12"/>
        <v>0.2</v>
      </c>
      <c r="BT36" s="31">
        <f t="shared" si="13"/>
        <v>0.08</v>
      </c>
      <c r="BU36" s="31">
        <f t="shared" si="14"/>
        <v>0.04</v>
      </c>
      <c r="BV36" s="31">
        <f t="shared" si="15"/>
        <v>0.84</v>
      </c>
      <c r="BW36" s="31">
        <f t="shared" ref="BW36:BX36" si="107">+BR36+BS36+BT36</f>
        <v>0.56</v>
      </c>
      <c r="BX36" s="32">
        <f t="shared" si="107"/>
        <v>0.32</v>
      </c>
    </row>
    <row r="37" ht="15.75" customHeight="1">
      <c r="A37" s="2"/>
      <c r="B37" s="33">
        <v>26.0</v>
      </c>
      <c r="C37" s="2">
        <v>1.0</v>
      </c>
      <c r="D37" s="3">
        <f t="shared" si="3"/>
        <v>1.461538462</v>
      </c>
      <c r="E37" s="2">
        <f t="shared" si="17"/>
        <v>20</v>
      </c>
      <c r="F37" s="2">
        <f t="shared" si="18"/>
        <v>10</v>
      </c>
      <c r="G37" s="2">
        <f t="shared" si="19"/>
        <v>3</v>
      </c>
      <c r="H37" s="2">
        <f t="shared" si="20"/>
        <v>22</v>
      </c>
      <c r="I37" s="2">
        <f t="shared" si="21"/>
        <v>11</v>
      </c>
      <c r="J37" s="2">
        <f t="shared" si="22"/>
        <v>3</v>
      </c>
      <c r="K37" s="2">
        <f t="shared" si="23"/>
        <v>12</v>
      </c>
      <c r="L37" s="2">
        <f t="shared" si="24"/>
        <v>8</v>
      </c>
      <c r="M37" s="34">
        <f t="shared" si="25"/>
        <v>2</v>
      </c>
      <c r="N37" s="35">
        <v>4.0</v>
      </c>
      <c r="O37" s="3">
        <f t="shared" si="4"/>
        <v>1.692307692</v>
      </c>
      <c r="P37" s="2">
        <f t="shared" si="26"/>
        <v>13</v>
      </c>
      <c r="Q37" s="2">
        <f t="shared" si="27"/>
        <v>9</v>
      </c>
      <c r="R37" s="2">
        <f t="shared" si="28"/>
        <v>8</v>
      </c>
      <c r="S37" s="2">
        <f t="shared" si="29"/>
        <v>18</v>
      </c>
      <c r="T37" s="2">
        <f t="shared" si="30"/>
        <v>12</v>
      </c>
      <c r="U37" s="2">
        <f t="shared" si="31"/>
        <v>5</v>
      </c>
      <c r="V37" s="2">
        <f t="shared" si="32"/>
        <v>9</v>
      </c>
      <c r="W37" s="2">
        <f t="shared" si="33"/>
        <v>4</v>
      </c>
      <c r="X37" s="34">
        <f t="shared" si="34"/>
        <v>5</v>
      </c>
      <c r="Y37" s="2">
        <v>3.0</v>
      </c>
      <c r="Z37" s="3">
        <f t="shared" si="5"/>
        <v>1.576923077</v>
      </c>
      <c r="AA37" s="2">
        <f t="shared" si="35"/>
        <v>18</v>
      </c>
      <c r="AB37" s="2">
        <f t="shared" si="36"/>
        <v>13</v>
      </c>
      <c r="AC37" s="2">
        <f t="shared" si="37"/>
        <v>5</v>
      </c>
      <c r="AD37" s="2">
        <f t="shared" si="38"/>
        <v>23</v>
      </c>
      <c r="AE37" s="2">
        <f t="shared" si="39"/>
        <v>13</v>
      </c>
      <c r="AF37" s="2">
        <f t="shared" si="40"/>
        <v>3</v>
      </c>
      <c r="AG37" s="2">
        <f t="shared" si="41"/>
        <v>10</v>
      </c>
      <c r="AH37" s="2">
        <f t="shared" si="42"/>
        <v>8</v>
      </c>
      <c r="AI37" s="34">
        <f t="shared" si="43"/>
        <v>5</v>
      </c>
      <c r="AJ37" s="35">
        <v>1.0</v>
      </c>
      <c r="AK37" s="3">
        <f t="shared" si="6"/>
        <v>1.692307692</v>
      </c>
      <c r="AL37" s="2">
        <f t="shared" si="44"/>
        <v>17</v>
      </c>
      <c r="AM37" s="2">
        <f t="shared" si="45"/>
        <v>11</v>
      </c>
      <c r="AN37" s="2">
        <f t="shared" si="46"/>
        <v>5</v>
      </c>
      <c r="AO37" s="2">
        <f t="shared" si="47"/>
        <v>19</v>
      </c>
      <c r="AP37" s="2">
        <f t="shared" si="48"/>
        <v>14</v>
      </c>
      <c r="AQ37" s="2">
        <f t="shared" si="49"/>
        <v>4</v>
      </c>
      <c r="AR37" s="2">
        <f t="shared" si="50"/>
        <v>8</v>
      </c>
      <c r="AS37" s="2">
        <f t="shared" si="51"/>
        <v>9</v>
      </c>
      <c r="AT37" s="34">
        <f t="shared" si="52"/>
        <v>2</v>
      </c>
      <c r="AU37" s="2"/>
      <c r="AV37" s="3">
        <f t="shared" si="7"/>
        <v>1.421052632</v>
      </c>
      <c r="AW37" s="2">
        <f t="shared" si="53"/>
        <v>12</v>
      </c>
      <c r="AX37" s="2">
        <f t="shared" si="54"/>
        <v>7</v>
      </c>
      <c r="AY37" s="2">
        <f t="shared" si="55"/>
        <v>3</v>
      </c>
      <c r="AZ37" s="2">
        <f t="shared" si="56"/>
        <v>14</v>
      </c>
      <c r="BA37" s="2">
        <f t="shared" si="57"/>
        <v>8</v>
      </c>
      <c r="BB37" s="2">
        <f t="shared" si="58"/>
        <v>11</v>
      </c>
      <c r="BC37" s="2">
        <f t="shared" si="59"/>
        <v>7</v>
      </c>
      <c r="BD37" s="2">
        <f t="shared" si="60"/>
        <v>5</v>
      </c>
      <c r="BE37" s="2">
        <f t="shared" si="61"/>
        <v>2</v>
      </c>
      <c r="BF37" s="36">
        <f t="shared" ref="BF37:BO37" si="108">+(AK37+Z37+O37+D37)/4</f>
        <v>1.605769231</v>
      </c>
      <c r="BG37" s="2">
        <f t="shared" si="108"/>
        <v>17</v>
      </c>
      <c r="BH37" s="2">
        <f t="shared" si="108"/>
        <v>10.75</v>
      </c>
      <c r="BI37" s="2">
        <f t="shared" si="108"/>
        <v>5.25</v>
      </c>
      <c r="BJ37" s="2">
        <f t="shared" si="108"/>
        <v>20.5</v>
      </c>
      <c r="BK37" s="2">
        <f t="shared" si="108"/>
        <v>12.5</v>
      </c>
      <c r="BL37" s="2">
        <f t="shared" si="108"/>
        <v>3.75</v>
      </c>
      <c r="BM37" s="2">
        <f t="shared" si="108"/>
        <v>9.75</v>
      </c>
      <c r="BN37" s="2">
        <f t="shared" si="108"/>
        <v>7.25</v>
      </c>
      <c r="BO37" s="2">
        <f t="shared" si="108"/>
        <v>3.5</v>
      </c>
      <c r="BP37" s="37">
        <f t="shared" si="9"/>
        <v>-0.1847165992</v>
      </c>
      <c r="BQ37" s="38">
        <f t="shared" si="10"/>
        <v>0.1538461538</v>
      </c>
      <c r="BR37" s="38">
        <f t="shared" si="11"/>
        <v>0.2692307692</v>
      </c>
      <c r="BS37" s="38">
        <f t="shared" si="12"/>
        <v>0.1923076923</v>
      </c>
      <c r="BT37" s="38">
        <f t="shared" si="13"/>
        <v>0.07692307692</v>
      </c>
      <c r="BU37" s="38">
        <f t="shared" si="14"/>
        <v>0.03846153846</v>
      </c>
      <c r="BV37" s="38">
        <f t="shared" si="15"/>
        <v>0.8461538462</v>
      </c>
      <c r="BW37" s="38">
        <f t="shared" ref="BW37:BX37" si="109">+BR37+BS37+BT37</f>
        <v>0.5384615385</v>
      </c>
      <c r="BX37" s="39">
        <f t="shared" si="109"/>
        <v>0.3076923077</v>
      </c>
    </row>
    <row r="38" ht="15.75" customHeight="1">
      <c r="A38" s="24"/>
      <c r="B38" s="40">
        <v>27.0</v>
      </c>
      <c r="C38" s="26">
        <v>3.0</v>
      </c>
      <c r="D38" s="27">
        <f t="shared" si="3"/>
        <v>1.518518519</v>
      </c>
      <c r="E38" s="24">
        <f t="shared" si="17"/>
        <v>20</v>
      </c>
      <c r="F38" s="2">
        <f t="shared" si="18"/>
        <v>11</v>
      </c>
      <c r="G38" s="24">
        <f t="shared" si="19"/>
        <v>4</v>
      </c>
      <c r="H38" s="24">
        <f t="shared" si="20"/>
        <v>23</v>
      </c>
      <c r="I38" s="24">
        <f t="shared" si="21"/>
        <v>12</v>
      </c>
      <c r="J38" s="24">
        <f t="shared" si="22"/>
        <v>3</v>
      </c>
      <c r="K38" s="24">
        <f t="shared" si="23"/>
        <v>12</v>
      </c>
      <c r="L38" s="24">
        <f t="shared" si="24"/>
        <v>8</v>
      </c>
      <c r="M38" s="28">
        <f t="shared" si="25"/>
        <v>3</v>
      </c>
      <c r="N38" s="24">
        <v>1.0</v>
      </c>
      <c r="O38" s="27">
        <f t="shared" si="4"/>
        <v>1.666666667</v>
      </c>
      <c r="P38" s="24">
        <f t="shared" si="26"/>
        <v>14</v>
      </c>
      <c r="Q38" s="2">
        <f t="shared" si="27"/>
        <v>9</v>
      </c>
      <c r="R38" s="24">
        <f t="shared" si="28"/>
        <v>8</v>
      </c>
      <c r="S38" s="24">
        <f t="shared" si="29"/>
        <v>19</v>
      </c>
      <c r="T38" s="24">
        <f t="shared" si="30"/>
        <v>12</v>
      </c>
      <c r="U38" s="24">
        <f t="shared" si="31"/>
        <v>5</v>
      </c>
      <c r="V38" s="24">
        <f t="shared" si="32"/>
        <v>10</v>
      </c>
      <c r="W38" s="24">
        <f t="shared" si="33"/>
        <v>4</v>
      </c>
      <c r="X38" s="28">
        <f t="shared" si="34"/>
        <v>5</v>
      </c>
      <c r="Y38" s="26">
        <v>1.0</v>
      </c>
      <c r="Z38" s="27">
        <f t="shared" si="5"/>
        <v>1.555555556</v>
      </c>
      <c r="AA38" s="24">
        <f t="shared" si="35"/>
        <v>19</v>
      </c>
      <c r="AB38" s="2">
        <f t="shared" si="36"/>
        <v>13</v>
      </c>
      <c r="AC38" s="24">
        <f t="shared" si="37"/>
        <v>5</v>
      </c>
      <c r="AD38" s="24">
        <f t="shared" si="38"/>
        <v>24</v>
      </c>
      <c r="AE38" s="24">
        <f t="shared" si="39"/>
        <v>13</v>
      </c>
      <c r="AF38" s="24">
        <f t="shared" si="40"/>
        <v>3</v>
      </c>
      <c r="AG38" s="24">
        <f t="shared" si="41"/>
        <v>11</v>
      </c>
      <c r="AH38" s="24">
        <f t="shared" si="42"/>
        <v>8</v>
      </c>
      <c r="AI38" s="28">
        <f t="shared" si="43"/>
        <v>5</v>
      </c>
      <c r="AJ38" s="24">
        <v>2.0</v>
      </c>
      <c r="AK38" s="27">
        <f t="shared" si="6"/>
        <v>1.703703704</v>
      </c>
      <c r="AL38" s="24">
        <f t="shared" si="44"/>
        <v>18</v>
      </c>
      <c r="AM38" s="2">
        <f t="shared" si="45"/>
        <v>12</v>
      </c>
      <c r="AN38" s="24">
        <f t="shared" si="46"/>
        <v>5</v>
      </c>
      <c r="AO38" s="24">
        <f t="shared" si="47"/>
        <v>20</v>
      </c>
      <c r="AP38" s="24">
        <f t="shared" si="48"/>
        <v>15</v>
      </c>
      <c r="AQ38" s="24">
        <f t="shared" si="49"/>
        <v>4</v>
      </c>
      <c r="AR38" s="24">
        <f t="shared" si="50"/>
        <v>8</v>
      </c>
      <c r="AS38" s="24">
        <f t="shared" si="51"/>
        <v>10</v>
      </c>
      <c r="AT38" s="28">
        <f t="shared" si="52"/>
        <v>2</v>
      </c>
      <c r="AU38" s="24"/>
      <c r="AV38" s="27">
        <f t="shared" si="7"/>
        <v>1.421052632</v>
      </c>
      <c r="AW38" s="24">
        <f t="shared" si="53"/>
        <v>12</v>
      </c>
      <c r="AX38" s="2">
        <f t="shared" si="54"/>
        <v>7</v>
      </c>
      <c r="AY38" s="24">
        <f t="shared" si="55"/>
        <v>3</v>
      </c>
      <c r="AZ38" s="24">
        <f t="shared" si="56"/>
        <v>14</v>
      </c>
      <c r="BA38" s="24">
        <f t="shared" si="57"/>
        <v>8</v>
      </c>
      <c r="BB38" s="24">
        <f t="shared" si="58"/>
        <v>12</v>
      </c>
      <c r="BC38" s="24">
        <f t="shared" si="59"/>
        <v>7</v>
      </c>
      <c r="BD38" s="24">
        <f t="shared" si="60"/>
        <v>5</v>
      </c>
      <c r="BE38" s="24">
        <f t="shared" si="61"/>
        <v>2</v>
      </c>
      <c r="BF38" s="29">
        <f t="shared" ref="BF38:BO38" si="110">+(AK38+Z38+O38+D38)/4</f>
        <v>1.611111111</v>
      </c>
      <c r="BG38" s="24">
        <f t="shared" si="110"/>
        <v>17.75</v>
      </c>
      <c r="BH38" s="24">
        <f t="shared" si="110"/>
        <v>11.25</v>
      </c>
      <c r="BI38" s="24">
        <f t="shared" si="110"/>
        <v>5.5</v>
      </c>
      <c r="BJ38" s="24">
        <f t="shared" si="110"/>
        <v>21.5</v>
      </c>
      <c r="BK38" s="24">
        <f t="shared" si="110"/>
        <v>13</v>
      </c>
      <c r="BL38" s="24">
        <f t="shared" si="110"/>
        <v>3.75</v>
      </c>
      <c r="BM38" s="24">
        <f t="shared" si="110"/>
        <v>10.25</v>
      </c>
      <c r="BN38" s="24">
        <f t="shared" si="110"/>
        <v>7.5</v>
      </c>
      <c r="BO38" s="24">
        <f t="shared" si="110"/>
        <v>3.75</v>
      </c>
      <c r="BP38" s="30">
        <f t="shared" si="9"/>
        <v>-0.1900584795</v>
      </c>
      <c r="BQ38" s="31">
        <f t="shared" si="10"/>
        <v>0.1481481481</v>
      </c>
      <c r="BR38" s="31">
        <f t="shared" si="11"/>
        <v>0.2592592593</v>
      </c>
      <c r="BS38" s="31">
        <f t="shared" si="12"/>
        <v>0.1851851852</v>
      </c>
      <c r="BT38" s="31">
        <f t="shared" si="13"/>
        <v>0.07407407407</v>
      </c>
      <c r="BU38" s="31">
        <f t="shared" si="14"/>
        <v>0.03703703704</v>
      </c>
      <c r="BV38" s="31">
        <f t="shared" si="15"/>
        <v>0.8518518519</v>
      </c>
      <c r="BW38" s="31">
        <f t="shared" ref="BW38:BX38" si="111">+BR38+BS38+BT38</f>
        <v>0.5185185185</v>
      </c>
      <c r="BX38" s="32">
        <f t="shared" si="111"/>
        <v>0.2962962963</v>
      </c>
    </row>
    <row r="39" ht="15.75" customHeight="1">
      <c r="A39" s="2"/>
      <c r="B39" s="33">
        <v>28.0</v>
      </c>
      <c r="C39" s="2">
        <v>1.0</v>
      </c>
      <c r="D39" s="3">
        <f t="shared" si="3"/>
        <v>1.5</v>
      </c>
      <c r="E39" s="2">
        <f t="shared" si="17"/>
        <v>21</v>
      </c>
      <c r="F39" s="2">
        <f t="shared" si="18"/>
        <v>11</v>
      </c>
      <c r="G39" s="2">
        <f t="shared" si="19"/>
        <v>4</v>
      </c>
      <c r="H39" s="2">
        <f t="shared" si="20"/>
        <v>24</v>
      </c>
      <c r="I39" s="2">
        <f t="shared" si="21"/>
        <v>12</v>
      </c>
      <c r="J39" s="2">
        <f t="shared" si="22"/>
        <v>3</v>
      </c>
      <c r="K39" s="2">
        <f t="shared" si="23"/>
        <v>13</v>
      </c>
      <c r="L39" s="2">
        <f t="shared" si="24"/>
        <v>8</v>
      </c>
      <c r="M39" s="34">
        <f t="shared" si="25"/>
        <v>3</v>
      </c>
      <c r="N39" s="35">
        <v>1.0</v>
      </c>
      <c r="O39" s="3">
        <f t="shared" si="4"/>
        <v>1.642857143</v>
      </c>
      <c r="P39" s="2">
        <f t="shared" si="26"/>
        <v>15</v>
      </c>
      <c r="Q39" s="2">
        <f t="shared" si="27"/>
        <v>9</v>
      </c>
      <c r="R39" s="2">
        <f t="shared" si="28"/>
        <v>8</v>
      </c>
      <c r="S39" s="2">
        <f t="shared" si="29"/>
        <v>20</v>
      </c>
      <c r="T39" s="2">
        <f t="shared" si="30"/>
        <v>12</v>
      </c>
      <c r="U39" s="2">
        <f t="shared" si="31"/>
        <v>5</v>
      </c>
      <c r="V39" s="2">
        <f t="shared" si="32"/>
        <v>11</v>
      </c>
      <c r="W39" s="2">
        <f t="shared" si="33"/>
        <v>4</v>
      </c>
      <c r="X39" s="34">
        <f t="shared" si="34"/>
        <v>5</v>
      </c>
      <c r="Y39" s="2">
        <v>2.0</v>
      </c>
      <c r="Z39" s="3">
        <f t="shared" si="5"/>
        <v>1.571428571</v>
      </c>
      <c r="AA39" s="2">
        <f t="shared" si="35"/>
        <v>20</v>
      </c>
      <c r="AB39" s="2">
        <f t="shared" si="36"/>
        <v>14</v>
      </c>
      <c r="AC39" s="2">
        <f t="shared" si="37"/>
        <v>5</v>
      </c>
      <c r="AD39" s="2">
        <f t="shared" si="38"/>
        <v>25</v>
      </c>
      <c r="AE39" s="2">
        <f t="shared" si="39"/>
        <v>14</v>
      </c>
      <c r="AF39" s="2">
        <f t="shared" si="40"/>
        <v>3</v>
      </c>
      <c r="AG39" s="2">
        <f t="shared" si="41"/>
        <v>11</v>
      </c>
      <c r="AH39" s="2">
        <f t="shared" si="42"/>
        <v>9</v>
      </c>
      <c r="AI39" s="34">
        <f t="shared" si="43"/>
        <v>5</v>
      </c>
      <c r="AJ39" s="35">
        <v>0.0</v>
      </c>
      <c r="AK39" s="3">
        <f t="shared" si="6"/>
        <v>1.642857143</v>
      </c>
      <c r="AL39" s="2">
        <f t="shared" si="44"/>
        <v>18</v>
      </c>
      <c r="AM39" s="2">
        <f t="shared" si="45"/>
        <v>12</v>
      </c>
      <c r="AN39" s="2">
        <f t="shared" si="46"/>
        <v>5</v>
      </c>
      <c r="AO39" s="2">
        <f t="shared" si="47"/>
        <v>20</v>
      </c>
      <c r="AP39" s="2">
        <f t="shared" si="48"/>
        <v>15</v>
      </c>
      <c r="AQ39" s="2">
        <f t="shared" si="49"/>
        <v>5</v>
      </c>
      <c r="AR39" s="2">
        <f t="shared" si="50"/>
        <v>8</v>
      </c>
      <c r="AS39" s="2">
        <f t="shared" si="51"/>
        <v>10</v>
      </c>
      <c r="AT39" s="34">
        <f t="shared" si="52"/>
        <v>2</v>
      </c>
      <c r="AU39" s="2"/>
      <c r="AV39" s="3">
        <f t="shared" si="7"/>
        <v>1.421052632</v>
      </c>
      <c r="AW39" s="2">
        <f t="shared" si="53"/>
        <v>12</v>
      </c>
      <c r="AX39" s="2">
        <f t="shared" si="54"/>
        <v>7</v>
      </c>
      <c r="AY39" s="2">
        <f t="shared" si="55"/>
        <v>3</v>
      </c>
      <c r="AZ39" s="2">
        <f t="shared" si="56"/>
        <v>14</v>
      </c>
      <c r="BA39" s="2">
        <f t="shared" si="57"/>
        <v>8</v>
      </c>
      <c r="BB39" s="2">
        <f t="shared" si="58"/>
        <v>13</v>
      </c>
      <c r="BC39" s="2">
        <f t="shared" si="59"/>
        <v>7</v>
      </c>
      <c r="BD39" s="2">
        <f t="shared" si="60"/>
        <v>5</v>
      </c>
      <c r="BE39" s="2">
        <f t="shared" si="61"/>
        <v>2</v>
      </c>
      <c r="BF39" s="36">
        <f t="shared" ref="BF39:BO39" si="112">+(AK39+Z39+O39+D39)/4</f>
        <v>1.589285714</v>
      </c>
      <c r="BG39" s="2">
        <f t="shared" si="112"/>
        <v>18.5</v>
      </c>
      <c r="BH39" s="2">
        <f t="shared" si="112"/>
        <v>11.5</v>
      </c>
      <c r="BI39" s="2">
        <f t="shared" si="112"/>
        <v>5.5</v>
      </c>
      <c r="BJ39" s="2">
        <f t="shared" si="112"/>
        <v>22.25</v>
      </c>
      <c r="BK39" s="2">
        <f t="shared" si="112"/>
        <v>13.25</v>
      </c>
      <c r="BL39" s="2">
        <f t="shared" si="112"/>
        <v>4</v>
      </c>
      <c r="BM39" s="2">
        <f t="shared" si="112"/>
        <v>10.75</v>
      </c>
      <c r="BN39" s="2">
        <f t="shared" si="112"/>
        <v>7.75</v>
      </c>
      <c r="BO39" s="2">
        <f t="shared" si="112"/>
        <v>3.75</v>
      </c>
      <c r="BP39" s="37">
        <f t="shared" si="9"/>
        <v>-0.1682330827</v>
      </c>
      <c r="BQ39" s="38">
        <f t="shared" si="10"/>
        <v>0.1428571429</v>
      </c>
      <c r="BR39" s="38">
        <f t="shared" si="11"/>
        <v>0.25</v>
      </c>
      <c r="BS39" s="38">
        <f t="shared" si="12"/>
        <v>0.1785714286</v>
      </c>
      <c r="BT39" s="38">
        <f t="shared" si="13"/>
        <v>0.07142857143</v>
      </c>
      <c r="BU39" s="38">
        <f t="shared" si="14"/>
        <v>0.03571428571</v>
      </c>
      <c r="BV39" s="38">
        <f t="shared" si="15"/>
        <v>0.8571428571</v>
      </c>
      <c r="BW39" s="38">
        <f t="shared" ref="BW39:BX39" si="113">+BR39+BS39+BT39</f>
        <v>0.5</v>
      </c>
      <c r="BX39" s="39">
        <f t="shared" si="113"/>
        <v>0.2857142857</v>
      </c>
    </row>
    <row r="40" ht="15.75" customHeight="1">
      <c r="A40" s="24"/>
      <c r="B40" s="40">
        <v>29.0</v>
      </c>
      <c r="C40" s="26">
        <v>3.0</v>
      </c>
      <c r="D40" s="27">
        <f t="shared" si="3"/>
        <v>1.551724138</v>
      </c>
      <c r="E40" s="24">
        <f t="shared" si="17"/>
        <v>21</v>
      </c>
      <c r="F40" s="2">
        <f t="shared" si="18"/>
        <v>12</v>
      </c>
      <c r="G40" s="24">
        <f t="shared" si="19"/>
        <v>5</v>
      </c>
      <c r="H40" s="24">
        <f t="shared" si="20"/>
        <v>25</v>
      </c>
      <c r="I40" s="24">
        <f t="shared" si="21"/>
        <v>13</v>
      </c>
      <c r="J40" s="24">
        <f t="shared" si="22"/>
        <v>3</v>
      </c>
      <c r="K40" s="24">
        <f t="shared" si="23"/>
        <v>13</v>
      </c>
      <c r="L40" s="24">
        <f t="shared" si="24"/>
        <v>8</v>
      </c>
      <c r="M40" s="28">
        <f t="shared" si="25"/>
        <v>4</v>
      </c>
      <c r="N40" s="24">
        <v>1.0</v>
      </c>
      <c r="O40" s="27">
        <f t="shared" si="4"/>
        <v>1.620689655</v>
      </c>
      <c r="P40" s="24">
        <f t="shared" si="26"/>
        <v>16</v>
      </c>
      <c r="Q40" s="2">
        <f t="shared" si="27"/>
        <v>9</v>
      </c>
      <c r="R40" s="24">
        <f t="shared" si="28"/>
        <v>8</v>
      </c>
      <c r="S40" s="24">
        <f t="shared" si="29"/>
        <v>21</v>
      </c>
      <c r="T40" s="24">
        <f t="shared" si="30"/>
        <v>12</v>
      </c>
      <c r="U40" s="24">
        <f t="shared" si="31"/>
        <v>5</v>
      </c>
      <c r="V40" s="24">
        <f t="shared" si="32"/>
        <v>12</v>
      </c>
      <c r="W40" s="24">
        <f t="shared" si="33"/>
        <v>4</v>
      </c>
      <c r="X40" s="28">
        <f t="shared" si="34"/>
        <v>5</v>
      </c>
      <c r="Y40" s="26">
        <v>0.0</v>
      </c>
      <c r="Z40" s="27">
        <f t="shared" si="5"/>
        <v>1.517241379</v>
      </c>
      <c r="AA40" s="24">
        <f t="shared" si="35"/>
        <v>20</v>
      </c>
      <c r="AB40" s="2">
        <f t="shared" si="36"/>
        <v>14</v>
      </c>
      <c r="AC40" s="24">
        <f t="shared" si="37"/>
        <v>5</v>
      </c>
      <c r="AD40" s="24">
        <f t="shared" si="38"/>
        <v>25</v>
      </c>
      <c r="AE40" s="24">
        <f t="shared" si="39"/>
        <v>14</v>
      </c>
      <c r="AF40" s="24">
        <f t="shared" si="40"/>
        <v>4</v>
      </c>
      <c r="AG40" s="24">
        <f t="shared" si="41"/>
        <v>11</v>
      </c>
      <c r="AH40" s="24">
        <f t="shared" si="42"/>
        <v>9</v>
      </c>
      <c r="AI40" s="28">
        <f t="shared" si="43"/>
        <v>5</v>
      </c>
      <c r="AJ40" s="24">
        <v>0.0</v>
      </c>
      <c r="AK40" s="27">
        <f t="shared" si="6"/>
        <v>1.586206897</v>
      </c>
      <c r="AL40" s="24">
        <f t="shared" si="44"/>
        <v>18</v>
      </c>
      <c r="AM40" s="2">
        <f t="shared" si="45"/>
        <v>12</v>
      </c>
      <c r="AN40" s="24">
        <f t="shared" si="46"/>
        <v>5</v>
      </c>
      <c r="AO40" s="24">
        <f t="shared" si="47"/>
        <v>20</v>
      </c>
      <c r="AP40" s="24">
        <f t="shared" si="48"/>
        <v>15</v>
      </c>
      <c r="AQ40" s="24">
        <f t="shared" si="49"/>
        <v>6</v>
      </c>
      <c r="AR40" s="24">
        <f t="shared" si="50"/>
        <v>8</v>
      </c>
      <c r="AS40" s="24">
        <f t="shared" si="51"/>
        <v>10</v>
      </c>
      <c r="AT40" s="28">
        <f t="shared" si="52"/>
        <v>2</v>
      </c>
      <c r="AU40" s="24"/>
      <c r="AV40" s="27">
        <f t="shared" si="7"/>
        <v>1.421052632</v>
      </c>
      <c r="AW40" s="24">
        <f t="shared" si="53"/>
        <v>12</v>
      </c>
      <c r="AX40" s="2">
        <f t="shared" si="54"/>
        <v>7</v>
      </c>
      <c r="AY40" s="24">
        <f t="shared" si="55"/>
        <v>3</v>
      </c>
      <c r="AZ40" s="24">
        <f t="shared" si="56"/>
        <v>14</v>
      </c>
      <c r="BA40" s="24">
        <f t="shared" si="57"/>
        <v>8</v>
      </c>
      <c r="BB40" s="24">
        <f t="shared" si="58"/>
        <v>14</v>
      </c>
      <c r="BC40" s="24">
        <f t="shared" si="59"/>
        <v>7</v>
      </c>
      <c r="BD40" s="24">
        <f t="shared" si="60"/>
        <v>5</v>
      </c>
      <c r="BE40" s="24">
        <f t="shared" si="61"/>
        <v>2</v>
      </c>
      <c r="BF40" s="29">
        <f t="shared" ref="BF40:BO40" si="114">+(AK40+Z40+O40+D40)/4</f>
        <v>1.568965517</v>
      </c>
      <c r="BG40" s="24">
        <f t="shared" si="114"/>
        <v>18.75</v>
      </c>
      <c r="BH40" s="24">
        <f t="shared" si="114"/>
        <v>11.75</v>
      </c>
      <c r="BI40" s="24">
        <f t="shared" si="114"/>
        <v>5.75</v>
      </c>
      <c r="BJ40" s="24">
        <f t="shared" si="114"/>
        <v>22.75</v>
      </c>
      <c r="BK40" s="24">
        <f t="shared" si="114"/>
        <v>13.5</v>
      </c>
      <c r="BL40" s="24">
        <f t="shared" si="114"/>
        <v>4.5</v>
      </c>
      <c r="BM40" s="24">
        <f t="shared" si="114"/>
        <v>11</v>
      </c>
      <c r="BN40" s="24">
        <f t="shared" si="114"/>
        <v>7.75</v>
      </c>
      <c r="BO40" s="24">
        <f t="shared" si="114"/>
        <v>4</v>
      </c>
      <c r="BP40" s="30">
        <f t="shared" si="9"/>
        <v>-0.1479128857</v>
      </c>
      <c r="BQ40" s="31">
        <f t="shared" si="10"/>
        <v>0.1379310345</v>
      </c>
      <c r="BR40" s="31">
        <f t="shared" si="11"/>
        <v>0.2413793103</v>
      </c>
      <c r="BS40" s="31">
        <f t="shared" si="12"/>
        <v>0.1724137931</v>
      </c>
      <c r="BT40" s="31">
        <f t="shared" si="13"/>
        <v>0.06896551724</v>
      </c>
      <c r="BU40" s="31">
        <f t="shared" si="14"/>
        <v>0.03448275862</v>
      </c>
      <c r="BV40" s="31">
        <f t="shared" si="15"/>
        <v>0.8620689655</v>
      </c>
      <c r="BW40" s="31">
        <f t="shared" ref="BW40:BX40" si="115">+BR40+BS40+BT40</f>
        <v>0.4827586207</v>
      </c>
      <c r="BX40" s="32">
        <f t="shared" si="115"/>
        <v>0.275862069</v>
      </c>
    </row>
    <row r="41" ht="15.75" customHeight="1">
      <c r="A41" s="2"/>
      <c r="B41" s="42">
        <v>30.0</v>
      </c>
      <c r="C41" s="43">
        <v>2.0</v>
      </c>
      <c r="D41" s="3">
        <f t="shared" si="3"/>
        <v>1.566666667</v>
      </c>
      <c r="E41" s="43">
        <f t="shared" si="17"/>
        <v>22</v>
      </c>
      <c r="F41" s="2">
        <f t="shared" si="18"/>
        <v>13</v>
      </c>
      <c r="G41" s="43">
        <f t="shared" si="19"/>
        <v>5</v>
      </c>
      <c r="H41" s="43">
        <f t="shared" si="20"/>
        <v>26</v>
      </c>
      <c r="I41" s="43">
        <f t="shared" si="21"/>
        <v>14</v>
      </c>
      <c r="J41" s="43">
        <f t="shared" si="22"/>
        <v>3</v>
      </c>
      <c r="K41" s="43">
        <f t="shared" si="23"/>
        <v>13</v>
      </c>
      <c r="L41" s="43">
        <f t="shared" si="24"/>
        <v>9</v>
      </c>
      <c r="M41" s="44">
        <f t="shared" si="25"/>
        <v>4</v>
      </c>
      <c r="N41" s="45">
        <v>0.0</v>
      </c>
      <c r="O41" s="3">
        <f t="shared" si="4"/>
        <v>1.566666667</v>
      </c>
      <c r="P41" s="43">
        <f t="shared" si="26"/>
        <v>16</v>
      </c>
      <c r="Q41" s="2">
        <f t="shared" si="27"/>
        <v>9</v>
      </c>
      <c r="R41" s="43">
        <f t="shared" si="28"/>
        <v>8</v>
      </c>
      <c r="S41" s="43">
        <f t="shared" si="29"/>
        <v>21</v>
      </c>
      <c r="T41" s="43">
        <f t="shared" si="30"/>
        <v>12</v>
      </c>
      <c r="U41" s="43">
        <f t="shared" si="31"/>
        <v>6</v>
      </c>
      <c r="V41" s="43">
        <f t="shared" si="32"/>
        <v>12</v>
      </c>
      <c r="W41" s="43">
        <f t="shared" si="33"/>
        <v>4</v>
      </c>
      <c r="X41" s="44">
        <f t="shared" si="34"/>
        <v>5</v>
      </c>
      <c r="Y41" s="43">
        <v>0.0</v>
      </c>
      <c r="Z41" s="3">
        <f t="shared" si="5"/>
        <v>1.466666667</v>
      </c>
      <c r="AA41" s="43">
        <f t="shared" si="35"/>
        <v>20</v>
      </c>
      <c r="AB41" s="2">
        <f t="shared" si="36"/>
        <v>14</v>
      </c>
      <c r="AC41" s="43">
        <f t="shared" si="37"/>
        <v>5</v>
      </c>
      <c r="AD41" s="43">
        <f t="shared" si="38"/>
        <v>25</v>
      </c>
      <c r="AE41" s="43">
        <f t="shared" si="39"/>
        <v>14</v>
      </c>
      <c r="AF41" s="43">
        <f t="shared" si="40"/>
        <v>5</v>
      </c>
      <c r="AG41" s="43">
        <f t="shared" si="41"/>
        <v>11</v>
      </c>
      <c r="AH41" s="43">
        <f t="shared" si="42"/>
        <v>9</v>
      </c>
      <c r="AI41" s="44">
        <f t="shared" si="43"/>
        <v>5</v>
      </c>
      <c r="AJ41" s="45">
        <v>1.0</v>
      </c>
      <c r="AK41" s="3">
        <f t="shared" si="6"/>
        <v>1.566666667</v>
      </c>
      <c r="AL41" s="43">
        <f t="shared" si="44"/>
        <v>19</v>
      </c>
      <c r="AM41" s="2">
        <f t="shared" si="45"/>
        <v>12</v>
      </c>
      <c r="AN41" s="43">
        <f t="shared" si="46"/>
        <v>5</v>
      </c>
      <c r="AO41" s="43">
        <f t="shared" si="47"/>
        <v>21</v>
      </c>
      <c r="AP41" s="43">
        <f t="shared" si="48"/>
        <v>15</v>
      </c>
      <c r="AQ41" s="43">
        <f t="shared" si="49"/>
        <v>6</v>
      </c>
      <c r="AR41" s="43">
        <f t="shared" si="50"/>
        <v>9</v>
      </c>
      <c r="AS41" s="43">
        <f t="shared" si="51"/>
        <v>10</v>
      </c>
      <c r="AT41" s="44">
        <f t="shared" si="52"/>
        <v>2</v>
      </c>
      <c r="AU41" s="43"/>
      <c r="AV41" s="3">
        <f t="shared" si="7"/>
        <v>1.421052632</v>
      </c>
      <c r="AW41" s="43">
        <f t="shared" si="53"/>
        <v>12</v>
      </c>
      <c r="AX41" s="2">
        <f t="shared" si="54"/>
        <v>7</v>
      </c>
      <c r="AY41" s="43">
        <f t="shared" si="55"/>
        <v>3</v>
      </c>
      <c r="AZ41" s="43">
        <f t="shared" si="56"/>
        <v>14</v>
      </c>
      <c r="BA41" s="43">
        <f t="shared" si="57"/>
        <v>8</v>
      </c>
      <c r="BB41" s="43">
        <f t="shared" si="58"/>
        <v>15</v>
      </c>
      <c r="BC41" s="43">
        <f t="shared" si="59"/>
        <v>7</v>
      </c>
      <c r="BD41" s="43">
        <f t="shared" si="60"/>
        <v>5</v>
      </c>
      <c r="BE41" s="43">
        <f t="shared" si="61"/>
        <v>2</v>
      </c>
      <c r="BF41" s="46">
        <f t="shared" ref="BF41:BO41" si="116">+(AK41+Z41+O41+D41)/4</f>
        <v>1.541666667</v>
      </c>
      <c r="BG41" s="43">
        <f t="shared" si="116"/>
        <v>19.25</v>
      </c>
      <c r="BH41" s="43">
        <f t="shared" si="116"/>
        <v>12</v>
      </c>
      <c r="BI41" s="43">
        <f t="shared" si="116"/>
        <v>5.75</v>
      </c>
      <c r="BJ41" s="43">
        <f t="shared" si="116"/>
        <v>23.25</v>
      </c>
      <c r="BK41" s="43">
        <f t="shared" si="116"/>
        <v>13.75</v>
      </c>
      <c r="BL41" s="43">
        <f t="shared" si="116"/>
        <v>5</v>
      </c>
      <c r="BM41" s="43">
        <f t="shared" si="116"/>
        <v>11.25</v>
      </c>
      <c r="BN41" s="43">
        <f t="shared" si="116"/>
        <v>8</v>
      </c>
      <c r="BO41" s="43">
        <f t="shared" si="116"/>
        <v>4</v>
      </c>
      <c r="BP41" s="37">
        <f t="shared" si="9"/>
        <v>-0.1206140351</v>
      </c>
      <c r="BQ41" s="38">
        <f t="shared" si="10"/>
        <v>0.1333333333</v>
      </c>
      <c r="BR41" s="38">
        <f t="shared" si="11"/>
        <v>0.2333333333</v>
      </c>
      <c r="BS41" s="38">
        <f t="shared" si="12"/>
        <v>0.1666666667</v>
      </c>
      <c r="BT41" s="38">
        <f t="shared" si="13"/>
        <v>0.06666666667</v>
      </c>
      <c r="BU41" s="38">
        <f t="shared" si="14"/>
        <v>0.03333333333</v>
      </c>
      <c r="BV41" s="38">
        <f t="shared" si="15"/>
        <v>0.8666666667</v>
      </c>
      <c r="BW41" s="38">
        <f t="shared" ref="BW41:BX41" si="117">+BR41+BS41+BT41</f>
        <v>0.4666666667</v>
      </c>
      <c r="BX41" s="39">
        <f t="shared" si="117"/>
        <v>0.2666666667</v>
      </c>
    </row>
    <row r="42" ht="15.75" customHeight="1">
      <c r="A42" s="24"/>
      <c r="B42" s="40">
        <v>31.0</v>
      </c>
      <c r="C42" s="26">
        <v>0.0</v>
      </c>
      <c r="D42" s="27">
        <f t="shared" si="3"/>
        <v>1.516129032</v>
      </c>
      <c r="E42" s="24">
        <f t="shared" si="17"/>
        <v>22</v>
      </c>
      <c r="F42" s="2">
        <f t="shared" si="18"/>
        <v>13</v>
      </c>
      <c r="G42" s="24">
        <f t="shared" si="19"/>
        <v>5</v>
      </c>
      <c r="H42" s="24">
        <f t="shared" si="20"/>
        <v>26</v>
      </c>
      <c r="I42" s="24">
        <f t="shared" si="21"/>
        <v>14</v>
      </c>
      <c r="J42" s="24">
        <f t="shared" si="22"/>
        <v>4</v>
      </c>
      <c r="K42" s="24">
        <f t="shared" si="23"/>
        <v>13</v>
      </c>
      <c r="L42" s="24">
        <f t="shared" si="24"/>
        <v>9</v>
      </c>
      <c r="M42" s="28">
        <f t="shared" si="25"/>
        <v>4</v>
      </c>
      <c r="N42" s="24">
        <v>0.0</v>
      </c>
      <c r="O42" s="27">
        <f t="shared" si="4"/>
        <v>1.516129032</v>
      </c>
      <c r="P42" s="24">
        <f t="shared" si="26"/>
        <v>16</v>
      </c>
      <c r="Q42" s="2">
        <f t="shared" si="27"/>
        <v>9</v>
      </c>
      <c r="R42" s="24">
        <f t="shared" si="28"/>
        <v>8</v>
      </c>
      <c r="S42" s="24">
        <f t="shared" si="29"/>
        <v>21</v>
      </c>
      <c r="T42" s="24">
        <f t="shared" si="30"/>
        <v>12</v>
      </c>
      <c r="U42" s="24">
        <f t="shared" si="31"/>
        <v>7</v>
      </c>
      <c r="V42" s="24">
        <f t="shared" si="32"/>
        <v>12</v>
      </c>
      <c r="W42" s="24">
        <f t="shared" si="33"/>
        <v>4</v>
      </c>
      <c r="X42" s="28">
        <f t="shared" si="34"/>
        <v>5</v>
      </c>
      <c r="Y42" s="26">
        <v>0.0</v>
      </c>
      <c r="Z42" s="27">
        <f t="shared" si="5"/>
        <v>1.419354839</v>
      </c>
      <c r="AA42" s="24">
        <f t="shared" si="35"/>
        <v>20</v>
      </c>
      <c r="AB42" s="2">
        <f t="shared" si="36"/>
        <v>14</v>
      </c>
      <c r="AC42" s="24">
        <f t="shared" si="37"/>
        <v>5</v>
      </c>
      <c r="AD42" s="24">
        <f t="shared" si="38"/>
        <v>25</v>
      </c>
      <c r="AE42" s="24">
        <f t="shared" si="39"/>
        <v>14</v>
      </c>
      <c r="AF42" s="24">
        <f t="shared" si="40"/>
        <v>6</v>
      </c>
      <c r="AG42" s="24">
        <f t="shared" si="41"/>
        <v>11</v>
      </c>
      <c r="AH42" s="24">
        <f t="shared" si="42"/>
        <v>9</v>
      </c>
      <c r="AI42" s="28">
        <f t="shared" si="43"/>
        <v>5</v>
      </c>
      <c r="AJ42" s="24">
        <v>1.0</v>
      </c>
      <c r="AK42" s="27">
        <f t="shared" si="6"/>
        <v>1.548387097</v>
      </c>
      <c r="AL42" s="24">
        <f t="shared" si="44"/>
        <v>20</v>
      </c>
      <c r="AM42" s="2">
        <f t="shared" si="45"/>
        <v>12</v>
      </c>
      <c r="AN42" s="24">
        <f t="shared" si="46"/>
        <v>5</v>
      </c>
      <c r="AO42" s="24">
        <f t="shared" si="47"/>
        <v>22</v>
      </c>
      <c r="AP42" s="24">
        <f t="shared" si="48"/>
        <v>15</v>
      </c>
      <c r="AQ42" s="24">
        <f t="shared" si="49"/>
        <v>6</v>
      </c>
      <c r="AR42" s="24">
        <f t="shared" si="50"/>
        <v>10</v>
      </c>
      <c r="AS42" s="24">
        <f t="shared" si="51"/>
        <v>10</v>
      </c>
      <c r="AT42" s="28">
        <f t="shared" si="52"/>
        <v>2</v>
      </c>
      <c r="AU42" s="24"/>
      <c r="AV42" s="27">
        <f t="shared" si="7"/>
        <v>1.421052632</v>
      </c>
      <c r="AW42" s="24">
        <f t="shared" si="53"/>
        <v>12</v>
      </c>
      <c r="AX42" s="2">
        <f t="shared" si="54"/>
        <v>7</v>
      </c>
      <c r="AY42" s="24">
        <f t="shared" si="55"/>
        <v>3</v>
      </c>
      <c r="AZ42" s="24">
        <f t="shared" si="56"/>
        <v>14</v>
      </c>
      <c r="BA42" s="24">
        <f t="shared" si="57"/>
        <v>8</v>
      </c>
      <c r="BB42" s="24">
        <f t="shared" si="58"/>
        <v>16</v>
      </c>
      <c r="BC42" s="24">
        <f t="shared" si="59"/>
        <v>7</v>
      </c>
      <c r="BD42" s="24">
        <f t="shared" si="60"/>
        <v>5</v>
      </c>
      <c r="BE42" s="24">
        <f t="shared" si="61"/>
        <v>2</v>
      </c>
      <c r="BF42" s="29">
        <f t="shared" ref="BF42:BO42" si="118">+(AK42+Z42+O42+D42)/4</f>
        <v>1.5</v>
      </c>
      <c r="BG42" s="24">
        <f t="shared" si="118"/>
        <v>19.5</v>
      </c>
      <c r="BH42" s="24">
        <f t="shared" si="118"/>
        <v>12</v>
      </c>
      <c r="BI42" s="24">
        <f t="shared" si="118"/>
        <v>5.75</v>
      </c>
      <c r="BJ42" s="24">
        <f t="shared" si="118"/>
        <v>23.5</v>
      </c>
      <c r="BK42" s="24">
        <f t="shared" si="118"/>
        <v>13.75</v>
      </c>
      <c r="BL42" s="24">
        <f t="shared" si="118"/>
        <v>5.75</v>
      </c>
      <c r="BM42" s="24">
        <f t="shared" si="118"/>
        <v>11.5</v>
      </c>
      <c r="BN42" s="24">
        <f t="shared" si="118"/>
        <v>8</v>
      </c>
      <c r="BO42" s="24">
        <f t="shared" si="118"/>
        <v>4</v>
      </c>
      <c r="BP42" s="30">
        <f t="shared" si="9"/>
        <v>-0.07894736842</v>
      </c>
      <c r="BQ42" s="31">
        <f t="shared" si="10"/>
        <v>0.1290322581</v>
      </c>
      <c r="BR42" s="31">
        <f t="shared" si="11"/>
        <v>0.2258064516</v>
      </c>
      <c r="BS42" s="31">
        <f t="shared" si="12"/>
        <v>0.1612903226</v>
      </c>
      <c r="BT42" s="31">
        <f t="shared" si="13"/>
        <v>0.06451612903</v>
      </c>
      <c r="BU42" s="31">
        <f t="shared" si="14"/>
        <v>0.03225806452</v>
      </c>
      <c r="BV42" s="31">
        <f t="shared" si="15"/>
        <v>0.8709677419</v>
      </c>
      <c r="BW42" s="31">
        <f t="shared" ref="BW42:BX42" si="119">+BR42+BS42+BT42</f>
        <v>0.4516129032</v>
      </c>
      <c r="BX42" s="32">
        <f t="shared" si="119"/>
        <v>0.2580645161</v>
      </c>
    </row>
    <row r="43" ht="15.75" customHeight="1">
      <c r="A43" s="2"/>
      <c r="B43" s="33">
        <v>32.0</v>
      </c>
      <c r="C43" s="2">
        <v>2.0</v>
      </c>
      <c r="D43" s="3">
        <f t="shared" si="3"/>
        <v>1.53125</v>
      </c>
      <c r="E43" s="2">
        <f t="shared" si="17"/>
        <v>23</v>
      </c>
      <c r="F43" s="2">
        <f t="shared" si="18"/>
        <v>14</v>
      </c>
      <c r="G43" s="2">
        <f t="shared" si="19"/>
        <v>5</v>
      </c>
      <c r="H43" s="2">
        <f t="shared" si="20"/>
        <v>27</v>
      </c>
      <c r="I43" s="2">
        <f t="shared" si="21"/>
        <v>15</v>
      </c>
      <c r="J43" s="2">
        <f t="shared" si="22"/>
        <v>4</v>
      </c>
      <c r="K43" s="2">
        <f t="shared" si="23"/>
        <v>13</v>
      </c>
      <c r="L43" s="2">
        <f t="shared" si="24"/>
        <v>10</v>
      </c>
      <c r="M43" s="34">
        <f t="shared" si="25"/>
        <v>4</v>
      </c>
      <c r="N43" s="35">
        <v>1.0</v>
      </c>
      <c r="O43" s="3">
        <f t="shared" si="4"/>
        <v>1.5</v>
      </c>
      <c r="P43" s="2">
        <f t="shared" si="26"/>
        <v>17</v>
      </c>
      <c r="Q43" s="2">
        <f t="shared" si="27"/>
        <v>9</v>
      </c>
      <c r="R43" s="2">
        <f t="shared" si="28"/>
        <v>8</v>
      </c>
      <c r="S43" s="2">
        <f t="shared" si="29"/>
        <v>22</v>
      </c>
      <c r="T43" s="2">
        <f t="shared" si="30"/>
        <v>12</v>
      </c>
      <c r="U43" s="2">
        <f t="shared" si="31"/>
        <v>7</v>
      </c>
      <c r="V43" s="2">
        <f t="shared" si="32"/>
        <v>13</v>
      </c>
      <c r="W43" s="2">
        <f t="shared" si="33"/>
        <v>4</v>
      </c>
      <c r="X43" s="34">
        <f t="shared" si="34"/>
        <v>5</v>
      </c>
      <c r="Y43" s="2">
        <v>1.0</v>
      </c>
      <c r="Z43" s="3">
        <f t="shared" si="5"/>
        <v>1.40625</v>
      </c>
      <c r="AA43" s="2">
        <f t="shared" si="35"/>
        <v>21</v>
      </c>
      <c r="AB43" s="2">
        <f t="shared" si="36"/>
        <v>14</v>
      </c>
      <c r="AC43" s="2">
        <f t="shared" si="37"/>
        <v>5</v>
      </c>
      <c r="AD43" s="2">
        <f t="shared" si="38"/>
        <v>26</v>
      </c>
      <c r="AE43" s="2">
        <f t="shared" si="39"/>
        <v>14</v>
      </c>
      <c r="AF43" s="2">
        <f t="shared" si="40"/>
        <v>6</v>
      </c>
      <c r="AG43" s="2">
        <f t="shared" si="41"/>
        <v>12</v>
      </c>
      <c r="AH43" s="2">
        <f t="shared" si="42"/>
        <v>9</v>
      </c>
      <c r="AI43" s="34">
        <f t="shared" si="43"/>
        <v>5</v>
      </c>
      <c r="AJ43" s="35">
        <v>2.0</v>
      </c>
      <c r="AK43" s="3">
        <f t="shared" si="6"/>
        <v>1.5625</v>
      </c>
      <c r="AL43" s="2">
        <f t="shared" si="44"/>
        <v>21</v>
      </c>
      <c r="AM43" s="2">
        <f t="shared" si="45"/>
        <v>13</v>
      </c>
      <c r="AN43" s="2">
        <f t="shared" si="46"/>
        <v>5</v>
      </c>
      <c r="AO43" s="2">
        <f t="shared" si="47"/>
        <v>23</v>
      </c>
      <c r="AP43" s="2">
        <f t="shared" si="48"/>
        <v>16</v>
      </c>
      <c r="AQ43" s="2">
        <f t="shared" si="49"/>
        <v>6</v>
      </c>
      <c r="AR43" s="2">
        <f t="shared" si="50"/>
        <v>10</v>
      </c>
      <c r="AS43" s="2">
        <f t="shared" si="51"/>
        <v>11</v>
      </c>
      <c r="AT43" s="34">
        <f t="shared" si="52"/>
        <v>2</v>
      </c>
      <c r="AU43" s="2"/>
      <c r="AV43" s="3">
        <f t="shared" si="7"/>
        <v>1.421052632</v>
      </c>
      <c r="AW43" s="2">
        <f t="shared" si="53"/>
        <v>12</v>
      </c>
      <c r="AX43" s="2">
        <f t="shared" si="54"/>
        <v>7</v>
      </c>
      <c r="AY43" s="2">
        <f t="shared" si="55"/>
        <v>3</v>
      </c>
      <c r="AZ43" s="2">
        <f t="shared" si="56"/>
        <v>14</v>
      </c>
      <c r="BA43" s="2">
        <f t="shared" si="57"/>
        <v>8</v>
      </c>
      <c r="BB43" s="2">
        <f t="shared" si="58"/>
        <v>17</v>
      </c>
      <c r="BC43" s="2">
        <f t="shared" si="59"/>
        <v>7</v>
      </c>
      <c r="BD43" s="2">
        <f t="shared" si="60"/>
        <v>5</v>
      </c>
      <c r="BE43" s="2">
        <f t="shared" si="61"/>
        <v>2</v>
      </c>
      <c r="BF43" s="36">
        <f t="shared" ref="BF43:BO43" si="120">+(AK43+Z43+O43+D43)/4</f>
        <v>1.5</v>
      </c>
      <c r="BG43" s="2">
        <f t="shared" si="120"/>
        <v>20.5</v>
      </c>
      <c r="BH43" s="2">
        <f t="shared" si="120"/>
        <v>12.5</v>
      </c>
      <c r="BI43" s="2">
        <f t="shared" si="120"/>
        <v>5.75</v>
      </c>
      <c r="BJ43" s="2">
        <f t="shared" si="120"/>
        <v>24.5</v>
      </c>
      <c r="BK43" s="2">
        <f t="shared" si="120"/>
        <v>14.25</v>
      </c>
      <c r="BL43" s="2">
        <f t="shared" si="120"/>
        <v>5.75</v>
      </c>
      <c r="BM43" s="2">
        <f t="shared" si="120"/>
        <v>12</v>
      </c>
      <c r="BN43" s="2">
        <f t="shared" si="120"/>
        <v>8.5</v>
      </c>
      <c r="BO43" s="2">
        <f t="shared" si="120"/>
        <v>4</v>
      </c>
      <c r="BP43" s="37">
        <f t="shared" si="9"/>
        <v>-0.07894736842</v>
      </c>
      <c r="BQ43" s="38">
        <f t="shared" si="10"/>
        <v>0.125</v>
      </c>
      <c r="BR43" s="38">
        <f t="shared" si="11"/>
        <v>0.21875</v>
      </c>
      <c r="BS43" s="38">
        <f t="shared" si="12"/>
        <v>0.15625</v>
      </c>
      <c r="BT43" s="38">
        <f t="shared" si="13"/>
        <v>0.0625</v>
      </c>
      <c r="BU43" s="38">
        <f t="shared" si="14"/>
        <v>0.03125</v>
      </c>
      <c r="BV43" s="38">
        <f t="shared" si="15"/>
        <v>0.875</v>
      </c>
      <c r="BW43" s="38">
        <f t="shared" ref="BW43:BX43" si="121">+BR43+BS43+BT43</f>
        <v>0.4375</v>
      </c>
      <c r="BX43" s="39">
        <f t="shared" si="121"/>
        <v>0.25</v>
      </c>
    </row>
    <row r="44" ht="15.75" customHeight="1">
      <c r="A44" s="24"/>
      <c r="B44" s="40">
        <v>33.0</v>
      </c>
      <c r="C44" s="26">
        <v>1.0</v>
      </c>
      <c r="D44" s="27">
        <f t="shared" si="3"/>
        <v>1.515151515</v>
      </c>
      <c r="E44" s="24">
        <f t="shared" si="17"/>
        <v>24</v>
      </c>
      <c r="F44" s="2">
        <f t="shared" si="18"/>
        <v>14</v>
      </c>
      <c r="G44" s="24">
        <f t="shared" si="19"/>
        <v>5</v>
      </c>
      <c r="H44" s="24">
        <f t="shared" si="20"/>
        <v>28</v>
      </c>
      <c r="I44" s="24">
        <f t="shared" si="21"/>
        <v>15</v>
      </c>
      <c r="J44" s="24">
        <f t="shared" si="22"/>
        <v>4</v>
      </c>
      <c r="K44" s="24">
        <f t="shared" si="23"/>
        <v>14</v>
      </c>
      <c r="L44" s="24">
        <f t="shared" si="24"/>
        <v>10</v>
      </c>
      <c r="M44" s="28">
        <f t="shared" si="25"/>
        <v>4</v>
      </c>
      <c r="N44" s="24">
        <v>2.0</v>
      </c>
      <c r="O44" s="27">
        <f t="shared" si="4"/>
        <v>1.515151515</v>
      </c>
      <c r="P44" s="24">
        <f t="shared" si="26"/>
        <v>18</v>
      </c>
      <c r="Q44" s="2">
        <f t="shared" si="27"/>
        <v>10</v>
      </c>
      <c r="R44" s="24">
        <f t="shared" si="28"/>
        <v>8</v>
      </c>
      <c r="S44" s="24">
        <f t="shared" si="29"/>
        <v>23</v>
      </c>
      <c r="T44" s="24">
        <f t="shared" si="30"/>
        <v>13</v>
      </c>
      <c r="U44" s="24">
        <f t="shared" si="31"/>
        <v>7</v>
      </c>
      <c r="V44" s="24">
        <f t="shared" si="32"/>
        <v>13</v>
      </c>
      <c r="W44" s="24">
        <f t="shared" si="33"/>
        <v>5</v>
      </c>
      <c r="X44" s="28">
        <f t="shared" si="34"/>
        <v>5</v>
      </c>
      <c r="Y44" s="26">
        <v>2.0</v>
      </c>
      <c r="Z44" s="27">
        <f t="shared" si="5"/>
        <v>1.424242424</v>
      </c>
      <c r="AA44" s="24">
        <f t="shared" si="35"/>
        <v>22</v>
      </c>
      <c r="AB44" s="2">
        <f t="shared" si="36"/>
        <v>15</v>
      </c>
      <c r="AC44" s="24">
        <f t="shared" si="37"/>
        <v>5</v>
      </c>
      <c r="AD44" s="24">
        <f t="shared" si="38"/>
        <v>27</v>
      </c>
      <c r="AE44" s="24">
        <f t="shared" si="39"/>
        <v>15</v>
      </c>
      <c r="AF44" s="24">
        <f t="shared" si="40"/>
        <v>6</v>
      </c>
      <c r="AG44" s="24">
        <f t="shared" si="41"/>
        <v>12</v>
      </c>
      <c r="AH44" s="24">
        <f t="shared" si="42"/>
        <v>10</v>
      </c>
      <c r="AI44" s="28">
        <f t="shared" si="43"/>
        <v>5</v>
      </c>
      <c r="AJ44" s="24">
        <v>0.0</v>
      </c>
      <c r="AK44" s="27">
        <f t="shared" si="6"/>
        <v>1.515151515</v>
      </c>
      <c r="AL44" s="24">
        <f t="shared" si="44"/>
        <v>21</v>
      </c>
      <c r="AM44" s="2">
        <f t="shared" si="45"/>
        <v>13</v>
      </c>
      <c r="AN44" s="24">
        <f t="shared" si="46"/>
        <v>5</v>
      </c>
      <c r="AO44" s="24">
        <f t="shared" si="47"/>
        <v>23</v>
      </c>
      <c r="AP44" s="24">
        <f t="shared" si="48"/>
        <v>16</v>
      </c>
      <c r="AQ44" s="24">
        <f t="shared" si="49"/>
        <v>7</v>
      </c>
      <c r="AR44" s="24">
        <f t="shared" si="50"/>
        <v>10</v>
      </c>
      <c r="AS44" s="24">
        <f t="shared" si="51"/>
        <v>11</v>
      </c>
      <c r="AT44" s="28">
        <f t="shared" si="52"/>
        <v>2</v>
      </c>
      <c r="AU44" s="24"/>
      <c r="AV44" s="27">
        <f t="shared" si="7"/>
        <v>1.421052632</v>
      </c>
      <c r="AW44" s="24">
        <f t="shared" si="53"/>
        <v>12</v>
      </c>
      <c r="AX44" s="2">
        <f t="shared" si="54"/>
        <v>7</v>
      </c>
      <c r="AY44" s="24">
        <f t="shared" si="55"/>
        <v>3</v>
      </c>
      <c r="AZ44" s="24">
        <f t="shared" si="56"/>
        <v>14</v>
      </c>
      <c r="BA44" s="24">
        <f t="shared" si="57"/>
        <v>8</v>
      </c>
      <c r="BB44" s="24">
        <f t="shared" si="58"/>
        <v>18</v>
      </c>
      <c r="BC44" s="24">
        <f t="shared" si="59"/>
        <v>7</v>
      </c>
      <c r="BD44" s="24">
        <f t="shared" si="60"/>
        <v>5</v>
      </c>
      <c r="BE44" s="24">
        <f t="shared" si="61"/>
        <v>2</v>
      </c>
      <c r="BF44" s="29">
        <f t="shared" ref="BF44:BO44" si="122">+(AK44+Z44+O44+D44)/4</f>
        <v>1.492424242</v>
      </c>
      <c r="BG44" s="24">
        <f t="shared" si="122"/>
        <v>21.25</v>
      </c>
      <c r="BH44" s="24">
        <f t="shared" si="122"/>
        <v>13</v>
      </c>
      <c r="BI44" s="24">
        <f t="shared" si="122"/>
        <v>5.75</v>
      </c>
      <c r="BJ44" s="24">
        <f t="shared" si="122"/>
        <v>25.25</v>
      </c>
      <c r="BK44" s="24">
        <f t="shared" si="122"/>
        <v>14.75</v>
      </c>
      <c r="BL44" s="24">
        <f t="shared" si="122"/>
        <v>6</v>
      </c>
      <c r="BM44" s="24">
        <f t="shared" si="122"/>
        <v>12.25</v>
      </c>
      <c r="BN44" s="24">
        <f t="shared" si="122"/>
        <v>9</v>
      </c>
      <c r="BO44" s="24">
        <f t="shared" si="122"/>
        <v>4</v>
      </c>
      <c r="BP44" s="30">
        <f t="shared" si="9"/>
        <v>-0.07137161085</v>
      </c>
      <c r="BQ44" s="31">
        <f t="shared" si="10"/>
        <v>0.1212121212</v>
      </c>
      <c r="BR44" s="31">
        <f t="shared" si="11"/>
        <v>0.2121212121</v>
      </c>
      <c r="BS44" s="31">
        <f t="shared" si="12"/>
        <v>0.1515151515</v>
      </c>
      <c r="BT44" s="31">
        <f t="shared" si="13"/>
        <v>0.06060606061</v>
      </c>
      <c r="BU44" s="31">
        <f t="shared" si="14"/>
        <v>0.0303030303</v>
      </c>
      <c r="BV44" s="31">
        <f t="shared" si="15"/>
        <v>0.8787878788</v>
      </c>
      <c r="BW44" s="31">
        <f t="shared" ref="BW44:BX44" si="123">+BR44+BS44+BT44</f>
        <v>0.4242424242</v>
      </c>
      <c r="BX44" s="32">
        <f t="shared" si="123"/>
        <v>0.2424242424</v>
      </c>
    </row>
    <row r="45" ht="15.75" customHeight="1">
      <c r="A45" s="2"/>
      <c r="B45" s="33">
        <v>34.0</v>
      </c>
      <c r="C45" s="2">
        <v>2.0</v>
      </c>
      <c r="D45" s="3">
        <f t="shared" si="3"/>
        <v>1.529411765</v>
      </c>
      <c r="E45" s="2">
        <f t="shared" si="17"/>
        <v>25</v>
      </c>
      <c r="F45" s="2">
        <f t="shared" si="18"/>
        <v>15</v>
      </c>
      <c r="G45" s="2">
        <f t="shared" si="19"/>
        <v>5</v>
      </c>
      <c r="H45" s="2">
        <f t="shared" si="20"/>
        <v>29</v>
      </c>
      <c r="I45" s="2">
        <f t="shared" si="21"/>
        <v>16</v>
      </c>
      <c r="J45" s="2">
        <f t="shared" si="22"/>
        <v>4</v>
      </c>
      <c r="K45" s="2">
        <f t="shared" si="23"/>
        <v>14</v>
      </c>
      <c r="L45" s="2">
        <f t="shared" si="24"/>
        <v>11</v>
      </c>
      <c r="M45" s="34">
        <f t="shared" si="25"/>
        <v>4</v>
      </c>
      <c r="N45" s="35">
        <v>2.0</v>
      </c>
      <c r="O45" s="3">
        <f t="shared" si="4"/>
        <v>1.529411765</v>
      </c>
      <c r="P45" s="2">
        <f t="shared" si="26"/>
        <v>19</v>
      </c>
      <c r="Q45" s="2">
        <f t="shared" si="27"/>
        <v>11</v>
      </c>
      <c r="R45" s="2">
        <f t="shared" si="28"/>
        <v>8</v>
      </c>
      <c r="S45" s="2">
        <f t="shared" si="29"/>
        <v>24</v>
      </c>
      <c r="T45" s="2">
        <f t="shared" si="30"/>
        <v>14</v>
      </c>
      <c r="U45" s="2">
        <f t="shared" si="31"/>
        <v>7</v>
      </c>
      <c r="V45" s="2">
        <f t="shared" si="32"/>
        <v>13</v>
      </c>
      <c r="W45" s="2">
        <f t="shared" si="33"/>
        <v>6</v>
      </c>
      <c r="X45" s="34">
        <f t="shared" si="34"/>
        <v>5</v>
      </c>
      <c r="Y45" s="2">
        <v>2.0</v>
      </c>
      <c r="Z45" s="3">
        <f t="shared" si="5"/>
        <v>1.441176471</v>
      </c>
      <c r="AA45" s="2">
        <f t="shared" si="35"/>
        <v>23</v>
      </c>
      <c r="AB45" s="2">
        <f t="shared" si="36"/>
        <v>16</v>
      </c>
      <c r="AC45" s="2">
        <f t="shared" si="37"/>
        <v>5</v>
      </c>
      <c r="AD45" s="2">
        <f t="shared" si="38"/>
        <v>28</v>
      </c>
      <c r="AE45" s="2">
        <f t="shared" si="39"/>
        <v>16</v>
      </c>
      <c r="AF45" s="2">
        <f t="shared" si="40"/>
        <v>6</v>
      </c>
      <c r="AG45" s="2">
        <f t="shared" si="41"/>
        <v>12</v>
      </c>
      <c r="AH45" s="2">
        <f t="shared" si="42"/>
        <v>11</v>
      </c>
      <c r="AI45" s="34">
        <f t="shared" si="43"/>
        <v>5</v>
      </c>
      <c r="AJ45" s="35">
        <v>2.0</v>
      </c>
      <c r="AK45" s="3">
        <f t="shared" si="6"/>
        <v>1.529411765</v>
      </c>
      <c r="AL45" s="2">
        <f t="shared" si="44"/>
        <v>22</v>
      </c>
      <c r="AM45" s="2">
        <f t="shared" si="45"/>
        <v>14</v>
      </c>
      <c r="AN45" s="2">
        <f t="shared" si="46"/>
        <v>5</v>
      </c>
      <c r="AO45" s="2">
        <f t="shared" si="47"/>
        <v>24</v>
      </c>
      <c r="AP45" s="2">
        <f t="shared" si="48"/>
        <v>17</v>
      </c>
      <c r="AQ45" s="2">
        <f t="shared" si="49"/>
        <v>7</v>
      </c>
      <c r="AR45" s="2">
        <f t="shared" si="50"/>
        <v>10</v>
      </c>
      <c r="AS45" s="2">
        <f t="shared" si="51"/>
        <v>12</v>
      </c>
      <c r="AT45" s="34">
        <f t="shared" si="52"/>
        <v>2</v>
      </c>
      <c r="AU45" s="2"/>
      <c r="AV45" s="3">
        <f t="shared" si="7"/>
        <v>1.421052632</v>
      </c>
      <c r="AW45" s="2">
        <f t="shared" si="53"/>
        <v>12</v>
      </c>
      <c r="AX45" s="2">
        <f t="shared" si="54"/>
        <v>7</v>
      </c>
      <c r="AY45" s="2">
        <f t="shared" si="55"/>
        <v>3</v>
      </c>
      <c r="AZ45" s="2">
        <f t="shared" si="56"/>
        <v>14</v>
      </c>
      <c r="BA45" s="2">
        <f t="shared" si="57"/>
        <v>8</v>
      </c>
      <c r="BB45" s="2">
        <f t="shared" si="58"/>
        <v>19</v>
      </c>
      <c r="BC45" s="2">
        <f t="shared" si="59"/>
        <v>7</v>
      </c>
      <c r="BD45" s="2">
        <f t="shared" si="60"/>
        <v>5</v>
      </c>
      <c r="BE45" s="2">
        <f t="shared" si="61"/>
        <v>2</v>
      </c>
      <c r="BF45" s="36">
        <f t="shared" ref="BF45:BO45" si="124">+(AK45+Z45+O45+D45)/4</f>
        <v>1.507352941</v>
      </c>
      <c r="BG45" s="2">
        <f t="shared" si="124"/>
        <v>22.25</v>
      </c>
      <c r="BH45" s="2">
        <f t="shared" si="124"/>
        <v>14</v>
      </c>
      <c r="BI45" s="2">
        <f t="shared" si="124"/>
        <v>5.75</v>
      </c>
      <c r="BJ45" s="2">
        <f t="shared" si="124"/>
        <v>26.25</v>
      </c>
      <c r="BK45" s="2">
        <f t="shared" si="124"/>
        <v>15.75</v>
      </c>
      <c r="BL45" s="2">
        <f t="shared" si="124"/>
        <v>6</v>
      </c>
      <c r="BM45" s="2">
        <f t="shared" si="124"/>
        <v>12.25</v>
      </c>
      <c r="BN45" s="2">
        <f t="shared" si="124"/>
        <v>10</v>
      </c>
      <c r="BO45" s="2">
        <f t="shared" si="124"/>
        <v>4</v>
      </c>
      <c r="BP45" s="37">
        <f t="shared" si="9"/>
        <v>-0.0863003096</v>
      </c>
      <c r="BQ45" s="38">
        <f t="shared" si="10"/>
        <v>0.1176470588</v>
      </c>
      <c r="BR45" s="38">
        <f t="shared" si="11"/>
        <v>0.2058823529</v>
      </c>
      <c r="BS45" s="38">
        <f t="shared" si="12"/>
        <v>0.1470588235</v>
      </c>
      <c r="BT45" s="38">
        <f t="shared" si="13"/>
        <v>0.05882352941</v>
      </c>
      <c r="BU45" s="38">
        <f t="shared" si="14"/>
        <v>0.02941176471</v>
      </c>
      <c r="BV45" s="38">
        <f t="shared" si="15"/>
        <v>0.8823529412</v>
      </c>
      <c r="BW45" s="38">
        <f t="shared" ref="BW45:BX45" si="125">+BR45+BS45+BT45</f>
        <v>0.4117647059</v>
      </c>
      <c r="BX45" s="39">
        <f t="shared" si="125"/>
        <v>0.2352941176</v>
      </c>
    </row>
    <row r="46" ht="15.75" customHeight="1">
      <c r="A46" s="24"/>
      <c r="B46" s="40">
        <v>35.0</v>
      </c>
      <c r="C46" s="26">
        <v>2.0</v>
      </c>
      <c r="D46" s="27">
        <f t="shared" si="3"/>
        <v>1.542857143</v>
      </c>
      <c r="E46" s="24">
        <f t="shared" si="17"/>
        <v>26</v>
      </c>
      <c r="F46" s="2">
        <f t="shared" si="18"/>
        <v>16</v>
      </c>
      <c r="G46" s="24">
        <f t="shared" si="19"/>
        <v>5</v>
      </c>
      <c r="H46" s="24">
        <f t="shared" si="20"/>
        <v>30</v>
      </c>
      <c r="I46" s="24">
        <f t="shared" si="21"/>
        <v>17</v>
      </c>
      <c r="J46" s="24">
        <f t="shared" si="22"/>
        <v>4</v>
      </c>
      <c r="K46" s="24">
        <f t="shared" si="23"/>
        <v>14</v>
      </c>
      <c r="L46" s="24">
        <f t="shared" si="24"/>
        <v>12</v>
      </c>
      <c r="M46" s="28">
        <f t="shared" si="25"/>
        <v>4</v>
      </c>
      <c r="N46" s="24">
        <v>2.0</v>
      </c>
      <c r="O46" s="27">
        <f t="shared" si="4"/>
        <v>1.542857143</v>
      </c>
      <c r="P46" s="24">
        <f t="shared" si="26"/>
        <v>20</v>
      </c>
      <c r="Q46" s="2">
        <f t="shared" si="27"/>
        <v>12</v>
      </c>
      <c r="R46" s="24">
        <f t="shared" si="28"/>
        <v>8</v>
      </c>
      <c r="S46" s="24">
        <f t="shared" si="29"/>
        <v>25</v>
      </c>
      <c r="T46" s="24">
        <f t="shared" si="30"/>
        <v>15</v>
      </c>
      <c r="U46" s="24">
        <f t="shared" si="31"/>
        <v>7</v>
      </c>
      <c r="V46" s="24">
        <f t="shared" si="32"/>
        <v>13</v>
      </c>
      <c r="W46" s="24">
        <f t="shared" si="33"/>
        <v>7</v>
      </c>
      <c r="X46" s="28">
        <f t="shared" si="34"/>
        <v>5</v>
      </c>
      <c r="Y46" s="26">
        <v>2.0</v>
      </c>
      <c r="Z46" s="27">
        <f t="shared" si="5"/>
        <v>1.457142857</v>
      </c>
      <c r="AA46" s="24">
        <f t="shared" si="35"/>
        <v>24</v>
      </c>
      <c r="AB46" s="2">
        <f t="shared" si="36"/>
        <v>17</v>
      </c>
      <c r="AC46" s="24">
        <f t="shared" si="37"/>
        <v>5</v>
      </c>
      <c r="AD46" s="24">
        <f t="shared" si="38"/>
        <v>29</v>
      </c>
      <c r="AE46" s="24">
        <f t="shared" si="39"/>
        <v>17</v>
      </c>
      <c r="AF46" s="24">
        <f t="shared" si="40"/>
        <v>6</v>
      </c>
      <c r="AG46" s="24">
        <f t="shared" si="41"/>
        <v>12</v>
      </c>
      <c r="AH46" s="24">
        <f t="shared" si="42"/>
        <v>12</v>
      </c>
      <c r="AI46" s="28">
        <f t="shared" si="43"/>
        <v>5</v>
      </c>
      <c r="AJ46" s="24">
        <v>1.0</v>
      </c>
      <c r="AK46" s="27">
        <f t="shared" si="6"/>
        <v>1.514285714</v>
      </c>
      <c r="AL46" s="24">
        <f t="shared" si="44"/>
        <v>23</v>
      </c>
      <c r="AM46" s="2">
        <f t="shared" si="45"/>
        <v>14</v>
      </c>
      <c r="AN46" s="24">
        <f t="shared" si="46"/>
        <v>5</v>
      </c>
      <c r="AO46" s="24">
        <f t="shared" si="47"/>
        <v>25</v>
      </c>
      <c r="AP46" s="24">
        <f t="shared" si="48"/>
        <v>17</v>
      </c>
      <c r="AQ46" s="24">
        <f t="shared" si="49"/>
        <v>7</v>
      </c>
      <c r="AR46" s="24">
        <f t="shared" si="50"/>
        <v>11</v>
      </c>
      <c r="AS46" s="24">
        <f t="shared" si="51"/>
        <v>12</v>
      </c>
      <c r="AT46" s="28">
        <f t="shared" si="52"/>
        <v>2</v>
      </c>
      <c r="AU46" s="24"/>
      <c r="AV46" s="27">
        <f t="shared" si="7"/>
        <v>1.421052632</v>
      </c>
      <c r="AW46" s="24">
        <f t="shared" si="53"/>
        <v>12</v>
      </c>
      <c r="AX46" s="2">
        <f t="shared" si="54"/>
        <v>7</v>
      </c>
      <c r="AY46" s="24">
        <f t="shared" si="55"/>
        <v>3</v>
      </c>
      <c r="AZ46" s="24">
        <f t="shared" si="56"/>
        <v>14</v>
      </c>
      <c r="BA46" s="24">
        <f t="shared" si="57"/>
        <v>8</v>
      </c>
      <c r="BB46" s="24">
        <f t="shared" si="58"/>
        <v>20</v>
      </c>
      <c r="BC46" s="24">
        <f t="shared" si="59"/>
        <v>7</v>
      </c>
      <c r="BD46" s="24">
        <f t="shared" si="60"/>
        <v>5</v>
      </c>
      <c r="BE46" s="24">
        <f t="shared" si="61"/>
        <v>2</v>
      </c>
      <c r="BF46" s="29">
        <f t="shared" ref="BF46:BO46" si="126">+(AK46+Z46+O46+D46)/4</f>
        <v>1.514285714</v>
      </c>
      <c r="BG46" s="24">
        <f t="shared" si="126"/>
        <v>23.25</v>
      </c>
      <c r="BH46" s="24">
        <f t="shared" si="126"/>
        <v>14.75</v>
      </c>
      <c r="BI46" s="24">
        <f t="shared" si="126"/>
        <v>5.75</v>
      </c>
      <c r="BJ46" s="24">
        <f t="shared" si="126"/>
        <v>27.25</v>
      </c>
      <c r="BK46" s="24">
        <f t="shared" si="126"/>
        <v>16.5</v>
      </c>
      <c r="BL46" s="24">
        <f t="shared" si="126"/>
        <v>6</v>
      </c>
      <c r="BM46" s="24">
        <f t="shared" si="126"/>
        <v>12.5</v>
      </c>
      <c r="BN46" s="24">
        <f t="shared" si="126"/>
        <v>10.75</v>
      </c>
      <c r="BO46" s="24">
        <f t="shared" si="126"/>
        <v>4</v>
      </c>
      <c r="BP46" s="30">
        <f t="shared" si="9"/>
        <v>-0.09323308271</v>
      </c>
      <c r="BQ46" s="31">
        <f t="shared" si="10"/>
        <v>0.1142857143</v>
      </c>
      <c r="BR46" s="31">
        <f t="shared" si="11"/>
        <v>0.2</v>
      </c>
      <c r="BS46" s="31">
        <f t="shared" si="12"/>
        <v>0.1428571429</v>
      </c>
      <c r="BT46" s="31">
        <f t="shared" si="13"/>
        <v>0.05714285714</v>
      </c>
      <c r="BU46" s="31">
        <f t="shared" si="14"/>
        <v>0.02857142857</v>
      </c>
      <c r="BV46" s="31">
        <f t="shared" si="15"/>
        <v>0.8857142857</v>
      </c>
      <c r="BW46" s="31">
        <f t="shared" ref="BW46:BX46" si="127">+BR46+BS46+BT46</f>
        <v>0.4</v>
      </c>
      <c r="BX46" s="32">
        <f t="shared" si="127"/>
        <v>0.2285714286</v>
      </c>
    </row>
    <row r="47" ht="15.75" customHeight="1">
      <c r="A47" s="2"/>
      <c r="B47" s="33">
        <v>36.0</v>
      </c>
      <c r="C47" s="2">
        <v>1.0</v>
      </c>
      <c r="D47" s="3">
        <f t="shared" si="3"/>
        <v>1.527777778</v>
      </c>
      <c r="E47" s="2">
        <f t="shared" si="17"/>
        <v>27</v>
      </c>
      <c r="F47" s="2">
        <f t="shared" si="18"/>
        <v>16</v>
      </c>
      <c r="G47" s="2">
        <f t="shared" si="19"/>
        <v>5</v>
      </c>
      <c r="H47" s="2">
        <f t="shared" si="20"/>
        <v>31</v>
      </c>
      <c r="I47" s="2">
        <f t="shared" si="21"/>
        <v>17</v>
      </c>
      <c r="J47" s="2">
        <f t="shared" si="22"/>
        <v>4</v>
      </c>
      <c r="K47" s="2">
        <f t="shared" si="23"/>
        <v>15</v>
      </c>
      <c r="L47" s="2">
        <f t="shared" si="24"/>
        <v>12</v>
      </c>
      <c r="M47" s="34">
        <f t="shared" si="25"/>
        <v>4</v>
      </c>
      <c r="N47" s="35">
        <v>1.0</v>
      </c>
      <c r="O47" s="3">
        <f t="shared" si="4"/>
        <v>1.527777778</v>
      </c>
      <c r="P47" s="2">
        <f t="shared" si="26"/>
        <v>21</v>
      </c>
      <c r="Q47" s="2">
        <f t="shared" si="27"/>
        <v>12</v>
      </c>
      <c r="R47" s="2">
        <f t="shared" si="28"/>
        <v>8</v>
      </c>
      <c r="S47" s="2">
        <f t="shared" si="29"/>
        <v>26</v>
      </c>
      <c r="T47" s="2">
        <f t="shared" si="30"/>
        <v>15</v>
      </c>
      <c r="U47" s="2">
        <f t="shared" si="31"/>
        <v>7</v>
      </c>
      <c r="V47" s="2">
        <f t="shared" si="32"/>
        <v>14</v>
      </c>
      <c r="W47" s="2">
        <f t="shared" si="33"/>
        <v>7</v>
      </c>
      <c r="X47" s="34">
        <f t="shared" si="34"/>
        <v>5</v>
      </c>
      <c r="Y47" s="2">
        <v>1.0</v>
      </c>
      <c r="Z47" s="3">
        <f t="shared" si="5"/>
        <v>1.444444444</v>
      </c>
      <c r="AA47" s="2">
        <f t="shared" si="35"/>
        <v>25</v>
      </c>
      <c r="AB47" s="2">
        <f t="shared" si="36"/>
        <v>17</v>
      </c>
      <c r="AC47" s="2">
        <f t="shared" si="37"/>
        <v>5</v>
      </c>
      <c r="AD47" s="2">
        <f t="shared" si="38"/>
        <v>30</v>
      </c>
      <c r="AE47" s="2">
        <f t="shared" si="39"/>
        <v>17</v>
      </c>
      <c r="AF47" s="2">
        <f t="shared" si="40"/>
        <v>6</v>
      </c>
      <c r="AG47" s="2">
        <f t="shared" si="41"/>
        <v>13</v>
      </c>
      <c r="AH47" s="2">
        <f t="shared" si="42"/>
        <v>12</v>
      </c>
      <c r="AI47" s="34">
        <f t="shared" si="43"/>
        <v>5</v>
      </c>
      <c r="AJ47" s="35">
        <v>1.0</v>
      </c>
      <c r="AK47" s="3">
        <f t="shared" si="6"/>
        <v>1.5</v>
      </c>
      <c r="AL47" s="2">
        <f t="shared" si="44"/>
        <v>24</v>
      </c>
      <c r="AM47" s="2">
        <f t="shared" si="45"/>
        <v>14</v>
      </c>
      <c r="AN47" s="2">
        <f t="shared" si="46"/>
        <v>5</v>
      </c>
      <c r="AO47" s="2">
        <f t="shared" si="47"/>
        <v>26</v>
      </c>
      <c r="AP47" s="2">
        <f t="shared" si="48"/>
        <v>17</v>
      </c>
      <c r="AQ47" s="2">
        <f t="shared" si="49"/>
        <v>7</v>
      </c>
      <c r="AR47" s="2">
        <f t="shared" si="50"/>
        <v>12</v>
      </c>
      <c r="AS47" s="2">
        <f t="shared" si="51"/>
        <v>12</v>
      </c>
      <c r="AT47" s="34">
        <f t="shared" si="52"/>
        <v>2</v>
      </c>
      <c r="AU47" s="2"/>
      <c r="AV47" s="3">
        <f t="shared" si="7"/>
        <v>1.421052632</v>
      </c>
      <c r="AW47" s="2">
        <f t="shared" si="53"/>
        <v>12</v>
      </c>
      <c r="AX47" s="2">
        <f t="shared" si="54"/>
        <v>7</v>
      </c>
      <c r="AY47" s="2">
        <f t="shared" si="55"/>
        <v>3</v>
      </c>
      <c r="AZ47" s="2">
        <f t="shared" si="56"/>
        <v>14</v>
      </c>
      <c r="BA47" s="2">
        <f t="shared" si="57"/>
        <v>8</v>
      </c>
      <c r="BB47" s="2">
        <f t="shared" si="58"/>
        <v>21</v>
      </c>
      <c r="BC47" s="2">
        <f t="shared" si="59"/>
        <v>7</v>
      </c>
      <c r="BD47" s="2">
        <f t="shared" si="60"/>
        <v>5</v>
      </c>
      <c r="BE47" s="2">
        <f t="shared" si="61"/>
        <v>2</v>
      </c>
      <c r="BF47" s="36">
        <f t="shared" ref="BF47:BO47" si="128">+(AK47+Z47+O47+D47)/4</f>
        <v>1.5</v>
      </c>
      <c r="BG47" s="2">
        <f t="shared" si="128"/>
        <v>24.25</v>
      </c>
      <c r="BH47" s="2">
        <f t="shared" si="128"/>
        <v>14.75</v>
      </c>
      <c r="BI47" s="2">
        <f t="shared" si="128"/>
        <v>5.75</v>
      </c>
      <c r="BJ47" s="2">
        <f t="shared" si="128"/>
        <v>28.25</v>
      </c>
      <c r="BK47" s="2">
        <f t="shared" si="128"/>
        <v>16.5</v>
      </c>
      <c r="BL47" s="2">
        <f t="shared" si="128"/>
        <v>6</v>
      </c>
      <c r="BM47" s="2">
        <f t="shared" si="128"/>
        <v>13.5</v>
      </c>
      <c r="BN47" s="2">
        <f t="shared" si="128"/>
        <v>10.75</v>
      </c>
      <c r="BO47" s="2">
        <f t="shared" si="128"/>
        <v>4</v>
      </c>
      <c r="BP47" s="37">
        <f t="shared" si="9"/>
        <v>-0.07894736842</v>
      </c>
      <c r="BQ47" s="38">
        <f t="shared" si="10"/>
        <v>0.1111111111</v>
      </c>
      <c r="BR47" s="38">
        <f t="shared" si="11"/>
        <v>0.1944444444</v>
      </c>
      <c r="BS47" s="38">
        <f t="shared" si="12"/>
        <v>0.1388888889</v>
      </c>
      <c r="BT47" s="38">
        <f t="shared" si="13"/>
        <v>0.05555555556</v>
      </c>
      <c r="BU47" s="38">
        <f t="shared" si="14"/>
        <v>0.02777777778</v>
      </c>
      <c r="BV47" s="38">
        <f t="shared" si="15"/>
        <v>0.8888888889</v>
      </c>
      <c r="BW47" s="38">
        <f t="shared" ref="BW47:BX47" si="129">+BR47+BS47+BT47</f>
        <v>0.3888888889</v>
      </c>
      <c r="BX47" s="39">
        <f t="shared" si="129"/>
        <v>0.2222222222</v>
      </c>
    </row>
    <row r="48" ht="15.75" customHeight="1">
      <c r="A48" s="24"/>
      <c r="B48" s="40">
        <v>37.0</v>
      </c>
      <c r="C48" s="26">
        <v>2.0</v>
      </c>
      <c r="D48" s="27">
        <f t="shared" si="3"/>
        <v>1.540540541</v>
      </c>
      <c r="E48" s="24">
        <f t="shared" si="17"/>
        <v>28</v>
      </c>
      <c r="F48" s="2">
        <f t="shared" si="18"/>
        <v>17</v>
      </c>
      <c r="G48" s="24">
        <f t="shared" si="19"/>
        <v>5</v>
      </c>
      <c r="H48" s="24">
        <f t="shared" si="20"/>
        <v>32</v>
      </c>
      <c r="I48" s="24">
        <f t="shared" si="21"/>
        <v>18</v>
      </c>
      <c r="J48" s="24">
        <f t="shared" si="22"/>
        <v>4</v>
      </c>
      <c r="K48" s="24">
        <f t="shared" si="23"/>
        <v>15</v>
      </c>
      <c r="L48" s="24">
        <f t="shared" si="24"/>
        <v>13</v>
      </c>
      <c r="M48" s="28">
        <f t="shared" si="25"/>
        <v>4</v>
      </c>
      <c r="N48" s="24">
        <v>0.0</v>
      </c>
      <c r="O48" s="27">
        <f t="shared" si="4"/>
        <v>1.486486486</v>
      </c>
      <c r="P48" s="24">
        <f t="shared" si="26"/>
        <v>21</v>
      </c>
      <c r="Q48" s="2">
        <f t="shared" si="27"/>
        <v>12</v>
      </c>
      <c r="R48" s="24">
        <f t="shared" si="28"/>
        <v>8</v>
      </c>
      <c r="S48" s="24">
        <f t="shared" si="29"/>
        <v>26</v>
      </c>
      <c r="T48" s="24">
        <f t="shared" si="30"/>
        <v>15</v>
      </c>
      <c r="U48" s="24">
        <f t="shared" si="31"/>
        <v>8</v>
      </c>
      <c r="V48" s="24">
        <f t="shared" si="32"/>
        <v>14</v>
      </c>
      <c r="W48" s="24">
        <f t="shared" si="33"/>
        <v>7</v>
      </c>
      <c r="X48" s="28">
        <f t="shared" si="34"/>
        <v>5</v>
      </c>
      <c r="Y48" s="26">
        <v>0.0</v>
      </c>
      <c r="Z48" s="27">
        <f t="shared" si="5"/>
        <v>1.405405405</v>
      </c>
      <c r="AA48" s="24">
        <f t="shared" si="35"/>
        <v>25</v>
      </c>
      <c r="AB48" s="2">
        <f t="shared" si="36"/>
        <v>17</v>
      </c>
      <c r="AC48" s="24">
        <f t="shared" si="37"/>
        <v>5</v>
      </c>
      <c r="AD48" s="24">
        <f t="shared" si="38"/>
        <v>30</v>
      </c>
      <c r="AE48" s="24">
        <f t="shared" si="39"/>
        <v>17</v>
      </c>
      <c r="AF48" s="24">
        <f t="shared" si="40"/>
        <v>7</v>
      </c>
      <c r="AG48" s="24">
        <f t="shared" si="41"/>
        <v>13</v>
      </c>
      <c r="AH48" s="24">
        <f t="shared" si="42"/>
        <v>12</v>
      </c>
      <c r="AI48" s="28">
        <f t="shared" si="43"/>
        <v>5</v>
      </c>
      <c r="AJ48" s="24">
        <v>2.0</v>
      </c>
      <c r="AK48" s="27">
        <f t="shared" si="6"/>
        <v>1.513513514</v>
      </c>
      <c r="AL48" s="24">
        <f t="shared" si="44"/>
        <v>25</v>
      </c>
      <c r="AM48" s="2">
        <f t="shared" si="45"/>
        <v>15</v>
      </c>
      <c r="AN48" s="24">
        <f t="shared" si="46"/>
        <v>5</v>
      </c>
      <c r="AO48" s="24">
        <f t="shared" si="47"/>
        <v>27</v>
      </c>
      <c r="AP48" s="24">
        <f t="shared" si="48"/>
        <v>18</v>
      </c>
      <c r="AQ48" s="24">
        <f t="shared" si="49"/>
        <v>7</v>
      </c>
      <c r="AR48" s="24">
        <f t="shared" si="50"/>
        <v>12</v>
      </c>
      <c r="AS48" s="24">
        <f t="shared" si="51"/>
        <v>13</v>
      </c>
      <c r="AT48" s="28">
        <f t="shared" si="52"/>
        <v>2</v>
      </c>
      <c r="AU48" s="24"/>
      <c r="AV48" s="27">
        <f t="shared" si="7"/>
        <v>1.421052632</v>
      </c>
      <c r="AW48" s="24">
        <f t="shared" si="53"/>
        <v>12</v>
      </c>
      <c r="AX48" s="2">
        <f t="shared" si="54"/>
        <v>7</v>
      </c>
      <c r="AY48" s="24">
        <f t="shared" si="55"/>
        <v>3</v>
      </c>
      <c r="AZ48" s="24">
        <f t="shared" si="56"/>
        <v>14</v>
      </c>
      <c r="BA48" s="24">
        <f t="shared" si="57"/>
        <v>8</v>
      </c>
      <c r="BB48" s="24">
        <f t="shared" si="58"/>
        <v>22</v>
      </c>
      <c r="BC48" s="24">
        <f t="shared" si="59"/>
        <v>7</v>
      </c>
      <c r="BD48" s="24">
        <f t="shared" si="60"/>
        <v>5</v>
      </c>
      <c r="BE48" s="24">
        <f t="shared" si="61"/>
        <v>2</v>
      </c>
      <c r="BF48" s="29">
        <f t="shared" ref="BF48:BO48" si="130">+(AK48+Z48+O48+D48)/4</f>
        <v>1.486486486</v>
      </c>
      <c r="BG48" s="24">
        <f t="shared" si="130"/>
        <v>24.75</v>
      </c>
      <c r="BH48" s="24">
        <f t="shared" si="130"/>
        <v>15.25</v>
      </c>
      <c r="BI48" s="24">
        <f t="shared" si="130"/>
        <v>5.75</v>
      </c>
      <c r="BJ48" s="24">
        <f t="shared" si="130"/>
        <v>28.75</v>
      </c>
      <c r="BK48" s="24">
        <f t="shared" si="130"/>
        <v>17</v>
      </c>
      <c r="BL48" s="24">
        <f t="shared" si="130"/>
        <v>6.5</v>
      </c>
      <c r="BM48" s="24">
        <f t="shared" si="130"/>
        <v>13.5</v>
      </c>
      <c r="BN48" s="24">
        <f t="shared" si="130"/>
        <v>11.25</v>
      </c>
      <c r="BO48" s="24">
        <f t="shared" si="130"/>
        <v>4</v>
      </c>
      <c r="BP48" s="30">
        <f t="shared" si="9"/>
        <v>-0.06543385491</v>
      </c>
      <c r="BQ48" s="31">
        <f t="shared" si="10"/>
        <v>0.1081081081</v>
      </c>
      <c r="BR48" s="31">
        <f t="shared" si="11"/>
        <v>0.1891891892</v>
      </c>
      <c r="BS48" s="31">
        <f t="shared" si="12"/>
        <v>0.1351351351</v>
      </c>
      <c r="BT48" s="31">
        <f t="shared" si="13"/>
        <v>0.05405405405</v>
      </c>
      <c r="BU48" s="31">
        <f t="shared" si="14"/>
        <v>0.02702702703</v>
      </c>
      <c r="BV48" s="31">
        <f t="shared" si="15"/>
        <v>0.8918918919</v>
      </c>
      <c r="BW48" s="31">
        <f t="shared" ref="BW48:BX48" si="131">+BR48+BS48+BT48</f>
        <v>0.3783783784</v>
      </c>
      <c r="BX48" s="32">
        <f t="shared" si="131"/>
        <v>0.2162162162</v>
      </c>
    </row>
    <row r="49" ht="15.75" customHeight="1">
      <c r="A49" s="2"/>
      <c r="B49" s="42">
        <v>38.0</v>
      </c>
      <c r="C49" s="43">
        <v>0.0</v>
      </c>
      <c r="D49" s="3">
        <f t="shared" si="3"/>
        <v>1.5</v>
      </c>
      <c r="E49" s="43">
        <f t="shared" si="17"/>
        <v>28</v>
      </c>
      <c r="F49" s="2">
        <f t="shared" si="18"/>
        <v>17</v>
      </c>
      <c r="G49" s="43">
        <f t="shared" si="19"/>
        <v>5</v>
      </c>
      <c r="H49" s="43">
        <f t="shared" si="20"/>
        <v>32</v>
      </c>
      <c r="I49" s="43">
        <f t="shared" si="21"/>
        <v>18</v>
      </c>
      <c r="J49" s="43">
        <f t="shared" si="22"/>
        <v>5</v>
      </c>
      <c r="K49" s="43">
        <f t="shared" si="23"/>
        <v>15</v>
      </c>
      <c r="L49" s="43">
        <f t="shared" si="24"/>
        <v>13</v>
      </c>
      <c r="M49" s="44">
        <f t="shared" si="25"/>
        <v>4</v>
      </c>
      <c r="N49" s="45">
        <v>1.0</v>
      </c>
      <c r="O49" s="3">
        <f t="shared" si="4"/>
        <v>1.473684211</v>
      </c>
      <c r="P49" s="43">
        <f t="shared" si="26"/>
        <v>22</v>
      </c>
      <c r="Q49" s="2">
        <f t="shared" si="27"/>
        <v>12</v>
      </c>
      <c r="R49" s="43">
        <f t="shared" si="28"/>
        <v>8</v>
      </c>
      <c r="S49" s="43">
        <f t="shared" si="29"/>
        <v>27</v>
      </c>
      <c r="T49" s="43">
        <f t="shared" si="30"/>
        <v>15</v>
      </c>
      <c r="U49" s="43">
        <f t="shared" si="31"/>
        <v>8</v>
      </c>
      <c r="V49" s="43">
        <f t="shared" si="32"/>
        <v>15</v>
      </c>
      <c r="W49" s="43">
        <f t="shared" si="33"/>
        <v>7</v>
      </c>
      <c r="X49" s="44">
        <f t="shared" si="34"/>
        <v>5</v>
      </c>
      <c r="Y49" s="43">
        <v>1.0</v>
      </c>
      <c r="Z49" s="3">
        <f t="shared" si="5"/>
        <v>1.394736842</v>
      </c>
      <c r="AA49" s="43">
        <f t="shared" si="35"/>
        <v>26</v>
      </c>
      <c r="AB49" s="2">
        <f t="shared" si="36"/>
        <v>17</v>
      </c>
      <c r="AC49" s="43">
        <f t="shared" si="37"/>
        <v>5</v>
      </c>
      <c r="AD49" s="43">
        <f t="shared" si="38"/>
        <v>31</v>
      </c>
      <c r="AE49" s="43">
        <f t="shared" si="39"/>
        <v>17</v>
      </c>
      <c r="AF49" s="43">
        <f t="shared" si="40"/>
        <v>7</v>
      </c>
      <c r="AG49" s="43">
        <f t="shared" si="41"/>
        <v>14</v>
      </c>
      <c r="AH49" s="43">
        <f t="shared" si="42"/>
        <v>12</v>
      </c>
      <c r="AI49" s="44">
        <f t="shared" si="43"/>
        <v>5</v>
      </c>
      <c r="AJ49" s="45">
        <v>3.0</v>
      </c>
      <c r="AK49" s="3">
        <f t="shared" si="6"/>
        <v>1.552631579</v>
      </c>
      <c r="AL49" s="43">
        <f t="shared" si="44"/>
        <v>25</v>
      </c>
      <c r="AM49" s="2">
        <f t="shared" si="45"/>
        <v>16</v>
      </c>
      <c r="AN49" s="43">
        <f t="shared" si="46"/>
        <v>6</v>
      </c>
      <c r="AO49" s="43">
        <f t="shared" si="47"/>
        <v>28</v>
      </c>
      <c r="AP49" s="43">
        <f t="shared" si="48"/>
        <v>19</v>
      </c>
      <c r="AQ49" s="43">
        <f t="shared" si="49"/>
        <v>7</v>
      </c>
      <c r="AR49" s="43">
        <f t="shared" si="50"/>
        <v>12</v>
      </c>
      <c r="AS49" s="43">
        <f t="shared" si="51"/>
        <v>13</v>
      </c>
      <c r="AT49" s="44">
        <f t="shared" si="52"/>
        <v>3</v>
      </c>
      <c r="AU49" s="43"/>
      <c r="AV49" s="3">
        <f t="shared" si="7"/>
        <v>1.421052632</v>
      </c>
      <c r="AW49" s="43">
        <f t="shared" si="53"/>
        <v>12</v>
      </c>
      <c r="AX49" s="2">
        <f t="shared" si="54"/>
        <v>7</v>
      </c>
      <c r="AY49" s="43">
        <f t="shared" si="55"/>
        <v>3</v>
      </c>
      <c r="AZ49" s="43">
        <f t="shared" si="56"/>
        <v>14</v>
      </c>
      <c r="BA49" s="43">
        <f t="shared" si="57"/>
        <v>8</v>
      </c>
      <c r="BB49" s="43">
        <f t="shared" si="58"/>
        <v>23</v>
      </c>
      <c r="BC49" s="43">
        <f t="shared" si="59"/>
        <v>7</v>
      </c>
      <c r="BD49" s="43">
        <f t="shared" si="60"/>
        <v>5</v>
      </c>
      <c r="BE49" s="43">
        <f t="shared" si="61"/>
        <v>2</v>
      </c>
      <c r="BF49" s="46">
        <f t="shared" ref="BF49:BO49" si="132">+(AK49+Z49+O49+D49)/4</f>
        <v>1.480263158</v>
      </c>
      <c r="BG49" s="43">
        <f t="shared" si="132"/>
        <v>25.25</v>
      </c>
      <c r="BH49" s="43">
        <f t="shared" si="132"/>
        <v>15.5</v>
      </c>
      <c r="BI49" s="43">
        <f t="shared" si="132"/>
        <v>6</v>
      </c>
      <c r="BJ49" s="43">
        <f t="shared" si="132"/>
        <v>29.5</v>
      </c>
      <c r="BK49" s="43">
        <f t="shared" si="132"/>
        <v>17.25</v>
      </c>
      <c r="BL49" s="43">
        <f t="shared" si="132"/>
        <v>6.75</v>
      </c>
      <c r="BM49" s="43">
        <f t="shared" si="132"/>
        <v>14</v>
      </c>
      <c r="BN49" s="43">
        <f t="shared" si="132"/>
        <v>11.25</v>
      </c>
      <c r="BO49" s="43">
        <f t="shared" si="132"/>
        <v>4.25</v>
      </c>
      <c r="BP49" s="48">
        <f t="shared" si="9"/>
        <v>-0.05921052632</v>
      </c>
      <c r="BQ49" s="49">
        <f t="shared" si="10"/>
        <v>0.1052631579</v>
      </c>
      <c r="BR49" s="49">
        <f t="shared" si="11"/>
        <v>0.1842105263</v>
      </c>
      <c r="BS49" s="49">
        <f t="shared" si="12"/>
        <v>0.1315789474</v>
      </c>
      <c r="BT49" s="49">
        <f t="shared" si="13"/>
        <v>0.05263157895</v>
      </c>
      <c r="BU49" s="49">
        <f t="shared" si="14"/>
        <v>0.02631578947</v>
      </c>
      <c r="BV49" s="49">
        <f t="shared" si="15"/>
        <v>0.8947368421</v>
      </c>
      <c r="BW49" s="49">
        <f t="shared" ref="BW49:BX49" si="133">+BR49+BS49+BT49</f>
        <v>0.3684210526</v>
      </c>
      <c r="BX49" s="50">
        <f t="shared" si="133"/>
        <v>0.2105263158</v>
      </c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17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</row>
  </sheetData>
  <mergeCells count="7">
    <mergeCell ref="B10:M10"/>
    <mergeCell ref="N10:X10"/>
    <mergeCell ref="Y10:AI10"/>
    <mergeCell ref="AJ10:AT10"/>
    <mergeCell ref="AU10:BE10"/>
    <mergeCell ref="BF10:BO10"/>
    <mergeCell ref="BP10:BX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4" width="8.71"/>
    <col customWidth="1" min="5" max="6" width="9.43"/>
    <col customWidth="1" min="7" max="7" width="12.0"/>
    <col customWidth="1" min="8" max="8" width="9.43"/>
    <col customWidth="1" min="9" max="15" width="8.71"/>
    <col customWidth="1" min="16" max="17" width="9.43"/>
    <col customWidth="1" min="18" max="18" width="12.0"/>
    <col customWidth="1" min="19" max="19" width="9.43"/>
    <col customWidth="1" min="20" max="26" width="8.71"/>
    <col customWidth="1" min="27" max="28" width="9.43"/>
    <col customWidth="1" min="29" max="29" width="12.0"/>
    <col customWidth="1" min="30" max="30" width="9.43"/>
    <col customWidth="1" min="31" max="37" width="8.71"/>
    <col customWidth="1" min="38" max="39" width="9.43"/>
    <col customWidth="1" min="40" max="40" width="12.0"/>
    <col customWidth="1" min="41" max="41" width="9.43"/>
    <col customWidth="1" min="42" max="69" width="8.71"/>
    <col customWidth="1" min="70" max="70" width="9.14"/>
    <col customWidth="1" min="71" max="71" width="9.43"/>
    <col customWidth="1" min="72" max="72" width="7.43"/>
    <col customWidth="1" min="73" max="73" width="8.14"/>
    <col customWidth="1" min="74" max="74" width="8.86"/>
    <col customWidth="1" min="75" max="75" width="10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1"/>
      <c r="AZ9" s="2"/>
      <c r="BA9" s="3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1"/>
      <c r="BS9" s="1"/>
      <c r="BT9" s="1"/>
      <c r="BU9" s="1"/>
      <c r="BV9" s="1"/>
      <c r="BW9" s="1"/>
      <c r="BX9" s="1"/>
      <c r="BY9" s="1"/>
    </row>
    <row r="10">
      <c r="A10" s="1"/>
      <c r="B10" s="4" t="s">
        <v>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7" t="s">
        <v>1</v>
      </c>
      <c r="O10" s="5"/>
      <c r="P10" s="5"/>
      <c r="Q10" s="5"/>
      <c r="R10" s="5"/>
      <c r="S10" s="5"/>
      <c r="T10" s="5"/>
      <c r="U10" s="5"/>
      <c r="V10" s="5"/>
      <c r="W10" s="5"/>
      <c r="X10" s="6"/>
      <c r="Y10" s="8" t="s">
        <v>2</v>
      </c>
      <c r="Z10" s="5"/>
      <c r="AA10" s="5"/>
      <c r="AB10" s="5"/>
      <c r="AC10" s="5"/>
      <c r="AD10" s="5"/>
      <c r="AE10" s="5"/>
      <c r="AF10" s="5"/>
      <c r="AG10" s="5"/>
      <c r="AH10" s="5"/>
      <c r="AI10" s="6"/>
      <c r="AJ10" s="7" t="s">
        <v>3</v>
      </c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7" t="s">
        <v>4</v>
      </c>
      <c r="AV10" s="5"/>
      <c r="AW10" s="5"/>
      <c r="AX10" s="5"/>
      <c r="AY10" s="5"/>
      <c r="AZ10" s="5"/>
      <c r="BA10" s="5"/>
      <c r="BB10" s="5"/>
      <c r="BC10" s="5"/>
      <c r="BD10" s="5"/>
      <c r="BE10" s="6"/>
      <c r="BF10" s="8" t="s">
        <v>5</v>
      </c>
      <c r="BG10" s="5"/>
      <c r="BH10" s="5"/>
      <c r="BI10" s="5"/>
      <c r="BJ10" s="5"/>
      <c r="BK10" s="5"/>
      <c r="BL10" s="5"/>
      <c r="BM10" s="5"/>
      <c r="BN10" s="5"/>
      <c r="BO10" s="51"/>
      <c r="BP10" s="13" t="s">
        <v>6</v>
      </c>
      <c r="BQ10" s="14"/>
      <c r="BR10" s="14"/>
      <c r="BS10" s="14"/>
      <c r="BT10" s="14"/>
      <c r="BU10" s="14"/>
      <c r="BV10" s="14"/>
      <c r="BW10" s="14"/>
      <c r="BX10" s="15"/>
      <c r="BY10" s="1"/>
    </row>
    <row r="11" ht="35.25" customHeight="1">
      <c r="A11" s="1"/>
      <c r="B11" s="16"/>
      <c r="C11" s="17"/>
      <c r="D11" s="18" t="s">
        <v>7</v>
      </c>
      <c r="E11" s="19" t="s">
        <v>8</v>
      </c>
      <c r="F11" s="19" t="s">
        <v>9</v>
      </c>
      <c r="G11" s="19" t="s">
        <v>10</v>
      </c>
      <c r="H11" s="19" t="s">
        <v>11</v>
      </c>
      <c r="I11" s="19" t="s">
        <v>12</v>
      </c>
      <c r="J11" s="19" t="s">
        <v>13</v>
      </c>
      <c r="K11" s="19" t="s">
        <v>14</v>
      </c>
      <c r="L11" s="19" t="s">
        <v>15</v>
      </c>
      <c r="M11" s="20" t="s">
        <v>16</v>
      </c>
      <c r="N11" s="17"/>
      <c r="O11" s="18" t="s">
        <v>7</v>
      </c>
      <c r="P11" s="19" t="s">
        <v>8</v>
      </c>
      <c r="Q11" s="19" t="s">
        <v>9</v>
      </c>
      <c r="R11" s="19" t="s">
        <v>10</v>
      </c>
      <c r="S11" s="19" t="s">
        <v>11</v>
      </c>
      <c r="T11" s="19" t="s">
        <v>12</v>
      </c>
      <c r="U11" s="19" t="s">
        <v>13</v>
      </c>
      <c r="V11" s="19" t="s">
        <v>14</v>
      </c>
      <c r="W11" s="19" t="s">
        <v>15</v>
      </c>
      <c r="X11" s="20" t="s">
        <v>16</v>
      </c>
      <c r="Y11" s="17"/>
      <c r="Z11" s="18" t="s">
        <v>7</v>
      </c>
      <c r="AA11" s="19" t="s">
        <v>8</v>
      </c>
      <c r="AB11" s="19" t="s">
        <v>9</v>
      </c>
      <c r="AC11" s="19" t="s">
        <v>10</v>
      </c>
      <c r="AD11" s="19" t="s">
        <v>11</v>
      </c>
      <c r="AE11" s="19" t="s">
        <v>12</v>
      </c>
      <c r="AF11" s="19" t="s">
        <v>13</v>
      </c>
      <c r="AG11" s="19" t="s">
        <v>14</v>
      </c>
      <c r="AH11" s="19" t="s">
        <v>15</v>
      </c>
      <c r="AI11" s="20" t="s">
        <v>16</v>
      </c>
      <c r="AJ11" s="17"/>
      <c r="AK11" s="18" t="s">
        <v>7</v>
      </c>
      <c r="AL11" s="19" t="s">
        <v>8</v>
      </c>
      <c r="AM11" s="19" t="s">
        <v>9</v>
      </c>
      <c r="AN11" s="19" t="s">
        <v>10</v>
      </c>
      <c r="AO11" s="19" t="s">
        <v>11</v>
      </c>
      <c r="AP11" s="19" t="s">
        <v>12</v>
      </c>
      <c r="AQ11" s="19" t="s">
        <v>13</v>
      </c>
      <c r="AR11" s="19" t="s">
        <v>14</v>
      </c>
      <c r="AS11" s="19" t="s">
        <v>15</v>
      </c>
      <c r="AT11" s="20" t="s">
        <v>16</v>
      </c>
      <c r="AU11" s="17"/>
      <c r="AV11" s="18" t="s">
        <v>7</v>
      </c>
      <c r="AW11" s="19" t="s">
        <v>8</v>
      </c>
      <c r="AX11" s="19" t="s">
        <v>9</v>
      </c>
      <c r="AY11" s="19" t="s">
        <v>10</v>
      </c>
      <c r="AZ11" s="19" t="s">
        <v>11</v>
      </c>
      <c r="BA11" s="19" t="s">
        <v>12</v>
      </c>
      <c r="BB11" s="19" t="s">
        <v>13</v>
      </c>
      <c r="BC11" s="19" t="s">
        <v>14</v>
      </c>
      <c r="BD11" s="19" t="s">
        <v>15</v>
      </c>
      <c r="BE11" s="20" t="s">
        <v>16</v>
      </c>
      <c r="BF11" s="18" t="s">
        <v>7</v>
      </c>
      <c r="BG11" s="19" t="s">
        <v>8</v>
      </c>
      <c r="BH11" s="19" t="s">
        <v>9</v>
      </c>
      <c r="BI11" s="19" t="s">
        <v>10</v>
      </c>
      <c r="BJ11" s="19" t="s">
        <v>11</v>
      </c>
      <c r="BK11" s="19" t="s">
        <v>12</v>
      </c>
      <c r="BL11" s="19" t="s">
        <v>13</v>
      </c>
      <c r="BM11" s="19" t="s">
        <v>14</v>
      </c>
      <c r="BN11" s="19" t="s">
        <v>15</v>
      </c>
      <c r="BO11" s="19" t="s">
        <v>16</v>
      </c>
      <c r="BP11" s="21" t="s">
        <v>17</v>
      </c>
      <c r="BQ11" s="18" t="s">
        <v>18</v>
      </c>
      <c r="BR11" s="18" t="s">
        <v>19</v>
      </c>
      <c r="BS11" s="18" t="s">
        <v>20</v>
      </c>
      <c r="BT11" s="18" t="s">
        <v>21</v>
      </c>
      <c r="BU11" s="18" t="s">
        <v>22</v>
      </c>
      <c r="BV11" s="22" t="s">
        <v>23</v>
      </c>
      <c r="BW11" s="18" t="s">
        <v>24</v>
      </c>
      <c r="BX11" s="52" t="s">
        <v>25</v>
      </c>
      <c r="BY11" s="53"/>
    </row>
    <row r="12">
      <c r="A12" s="54"/>
      <c r="B12" s="25">
        <v>1.0</v>
      </c>
      <c r="C12" s="24">
        <v>4.0</v>
      </c>
      <c r="D12" s="27">
        <f t="shared" ref="D12:D49" si="3">AVERAGE($C$12:C12)</f>
        <v>4</v>
      </c>
      <c r="E12" s="24">
        <f>IF(AND(C12&gt;=1,C12&lt;=2),1,0)</f>
        <v>0</v>
      </c>
      <c r="F12" s="24">
        <f>IF(AND(C12&gt;=2,C12&lt;=3),1,0)</f>
        <v>0</v>
      </c>
      <c r="G12" s="24">
        <f>IF(AND(C12&gt;=3,C12&lt;=4),1,0)</f>
        <v>1</v>
      </c>
      <c r="H12" s="24">
        <f>IF(AND(C12&gt;=1,C12&lt;=3),1,0)</f>
        <v>0</v>
      </c>
      <c r="I12" s="24">
        <f>IF(AND(C12&gt;=2,C12&lt;=4),1,0)</f>
        <v>1</v>
      </c>
      <c r="J12" s="24">
        <f>IF((C12=0),1,0)</f>
        <v>0</v>
      </c>
      <c r="K12" s="24">
        <f>IF((C12=1),1,0)</f>
        <v>0</v>
      </c>
      <c r="L12" s="24">
        <f>IF((C12=2),1,0)</f>
        <v>0</v>
      </c>
      <c r="M12" s="28">
        <f>IF((C12=3),1,0)</f>
        <v>0</v>
      </c>
      <c r="N12" s="55">
        <v>2.0</v>
      </c>
      <c r="O12" s="27">
        <f t="shared" ref="O12:O49" si="4">AVERAGE($N$12:N12)</f>
        <v>2</v>
      </c>
      <c r="P12" s="24">
        <f>IF(AND(N12&gt;=1,N12&lt;=2),1,0)</f>
        <v>1</v>
      </c>
      <c r="Q12" s="24">
        <f>IF(AND(N12&gt;=2,N12&lt;=3),1,0)</f>
        <v>1</v>
      </c>
      <c r="R12" s="24">
        <f>IF(AND(N12&gt;=3,N12&lt;=4),1,0)</f>
        <v>0</v>
      </c>
      <c r="S12" s="24">
        <f>IF(AND(N12&gt;=1,N12&lt;=3),1,0)</f>
        <v>1</v>
      </c>
      <c r="T12" s="24">
        <f>IF(AND(N12&gt;=2,N12&lt;=4),1,0)</f>
        <v>1</v>
      </c>
      <c r="U12" s="24">
        <f>IF((N12=0),1,0)</f>
        <v>0</v>
      </c>
      <c r="V12" s="24">
        <f>IF((N12=1),1,0)</f>
        <v>0</v>
      </c>
      <c r="W12" s="24">
        <f>IF((N12=2),1,0)</f>
        <v>1</v>
      </c>
      <c r="X12" s="28">
        <f>IF((N12=3),1,0)</f>
        <v>0</v>
      </c>
      <c r="Y12" s="24">
        <v>2.0</v>
      </c>
      <c r="Z12" s="27">
        <f t="shared" ref="Z12:Z49" si="5">AVERAGE($Y$12:Y12)</f>
        <v>2</v>
      </c>
      <c r="AA12" s="24">
        <f>IF(AND(Y12&gt;=1,Y12&lt;=2),1,0)</f>
        <v>1</v>
      </c>
      <c r="AB12" s="24">
        <f>IF(AND(Y12&gt;=2,Y12&lt;=3),1,0)</f>
        <v>1</v>
      </c>
      <c r="AC12" s="24">
        <f>IF(AND(Y12&gt;=3,Y12&lt;=4),1,0)</f>
        <v>0</v>
      </c>
      <c r="AD12" s="24">
        <f>IF(AND(Y12&gt;=1,Y12&lt;=3),1,0)</f>
        <v>1</v>
      </c>
      <c r="AE12" s="24">
        <f>IF(AND(Y12&gt;=2,Y12&lt;=4),1,0)</f>
        <v>1</v>
      </c>
      <c r="AF12" s="24">
        <f>IF((Y12=0),1,0)</f>
        <v>0</v>
      </c>
      <c r="AG12" s="24">
        <f>IF((Y12=1),1,0)</f>
        <v>0</v>
      </c>
      <c r="AH12" s="24">
        <f>IF((Y12=2),1,0)</f>
        <v>1</v>
      </c>
      <c r="AI12" s="28">
        <f>IF((Y12=3),1,0)</f>
        <v>0</v>
      </c>
      <c r="AJ12" s="55">
        <v>2.0</v>
      </c>
      <c r="AK12" s="27">
        <f t="shared" ref="AK12:AK49" si="6">AVERAGE($AJ$12:AJ12)</f>
        <v>2</v>
      </c>
      <c r="AL12" s="24">
        <f>IF(AND(AJ12&gt;=1,AJ12&lt;=2),1,0)</f>
        <v>1</v>
      </c>
      <c r="AM12" s="24">
        <f>IF(AND(AJ12&gt;=2,AJ12&lt;=3),1,0)</f>
        <v>1</v>
      </c>
      <c r="AN12" s="24">
        <f>IF(AND(AJ12&gt;=3,AJ12&lt;=4),1,0)</f>
        <v>0</v>
      </c>
      <c r="AO12" s="24">
        <f>IF(AND(AJ12&gt;=1,AJ12&lt;=3),1,0)</f>
        <v>1</v>
      </c>
      <c r="AP12" s="24">
        <f>IF(AND(AJ12&gt;=2,AJ12&lt;=4),1,0)</f>
        <v>1</v>
      </c>
      <c r="AQ12" s="24">
        <f>IF((AJ12=0),1,0)</f>
        <v>0</v>
      </c>
      <c r="AR12" s="24">
        <f>IF((AJ12=1),1,0)</f>
        <v>0</v>
      </c>
      <c r="AS12" s="24">
        <f>IF((AJ12=2),1,0)</f>
        <v>1</v>
      </c>
      <c r="AT12" s="28">
        <f>IF((AJ12=3),1,0)</f>
        <v>0</v>
      </c>
      <c r="AU12" s="24">
        <v>5.0</v>
      </c>
      <c r="AV12" s="27">
        <f t="shared" ref="AV12:AV49" si="7">AVERAGE($AU$12:AU12)</f>
        <v>5</v>
      </c>
      <c r="AW12" s="24">
        <f>IF(AND(AU12&gt;=1,AU12&lt;=2),1,0)</f>
        <v>0</v>
      </c>
      <c r="AX12" s="24">
        <f>IF(AND(AU12&gt;=2,AU12&lt;=3),1,0)</f>
        <v>0</v>
      </c>
      <c r="AY12" s="24">
        <f>IF(AND(AU12&gt;=3,AU12&lt;=4),1,0)</f>
        <v>0</v>
      </c>
      <c r="AZ12" s="24">
        <f>IF(AND(AU12&gt;=1,AU12&lt;=3),1,0)</f>
        <v>0</v>
      </c>
      <c r="BA12" s="24">
        <f>IF(AND(AU12&gt;=2,AU12&lt;=4),1,0)</f>
        <v>0</v>
      </c>
      <c r="BB12" s="24">
        <f>IF((AU12=0),1,0)</f>
        <v>0</v>
      </c>
      <c r="BC12" s="24">
        <f>IF((AU12=1),1,0)</f>
        <v>0</v>
      </c>
      <c r="BD12" s="24">
        <f>IF((AU12=2),1,0)</f>
        <v>0</v>
      </c>
      <c r="BE12" s="28">
        <f>IF((AU12=3),1,0)</f>
        <v>0</v>
      </c>
      <c r="BF12" s="29">
        <f t="shared" ref="BF12:BO12" si="1">+(AK12+Z12+O12+D12)/4</f>
        <v>2.5</v>
      </c>
      <c r="BG12" s="24">
        <f t="shared" si="1"/>
        <v>0.75</v>
      </c>
      <c r="BH12" s="24">
        <f t="shared" si="1"/>
        <v>0.75</v>
      </c>
      <c r="BI12" s="24">
        <f t="shared" si="1"/>
        <v>0.25</v>
      </c>
      <c r="BJ12" s="24">
        <f t="shared" si="1"/>
        <v>0.75</v>
      </c>
      <c r="BK12" s="24">
        <f t="shared" si="1"/>
        <v>1</v>
      </c>
      <c r="BL12" s="24">
        <f t="shared" si="1"/>
        <v>0</v>
      </c>
      <c r="BM12" s="24">
        <f t="shared" si="1"/>
        <v>0</v>
      </c>
      <c r="BN12" s="24">
        <f t="shared" si="1"/>
        <v>0.75</v>
      </c>
      <c r="BO12" s="24">
        <f t="shared" si="1"/>
        <v>0</v>
      </c>
      <c r="BP12" s="30">
        <f t="shared" ref="BP12:BP49" si="9">+AV12-BF12</f>
        <v>2.5</v>
      </c>
      <c r="BQ12" s="31">
        <f t="shared" ref="BQ12:BQ49" si="10">COUNTIF($AU$12:AU12,0)/B12</f>
        <v>0</v>
      </c>
      <c r="BR12" s="31">
        <f t="shared" ref="BR12:BR49" si="11">(COUNTIF($AU$12:AU12,1))/B12</f>
        <v>0</v>
      </c>
      <c r="BS12" s="31">
        <f t="shared" ref="BS12:BS49" si="12">(COUNTIF($AU$12:AU12,2))/B12</f>
        <v>0</v>
      </c>
      <c r="BT12" s="31">
        <f t="shared" ref="BT12:BT49" si="13">(COUNTIF($AU$12:AU12,3))/B12</f>
        <v>0</v>
      </c>
      <c r="BU12" s="31">
        <f t="shared" ref="BU12:BU49" si="14">(COUNTIF($AU$12:AU12,"&gt;=4"))/B12</f>
        <v>1</v>
      </c>
      <c r="BV12" s="31">
        <f t="shared" ref="BV12:BV49" si="15">1-BQ12</f>
        <v>1</v>
      </c>
      <c r="BW12" s="31">
        <f t="shared" ref="BW12:BX12" si="2">+BR12+BS12+BT12</f>
        <v>0</v>
      </c>
      <c r="BX12" s="32">
        <f t="shared" si="2"/>
        <v>1</v>
      </c>
      <c r="BY12" s="54"/>
    </row>
    <row r="13">
      <c r="A13" s="1"/>
      <c r="B13" s="33">
        <v>2.0</v>
      </c>
      <c r="C13" s="56">
        <v>3.0</v>
      </c>
      <c r="D13" s="3">
        <f t="shared" si="3"/>
        <v>3.5</v>
      </c>
      <c r="E13" s="2">
        <f t="shared" ref="E13:E49" si="17">IF(AND(C13&gt;=1,C13&lt;=2),(E12+1),E12)</f>
        <v>0</v>
      </c>
      <c r="F13" s="2">
        <f t="shared" ref="F13:F49" si="18">IF(AND(C13&gt;=2,C13&lt;=3),(F12+1),F12)</f>
        <v>1</v>
      </c>
      <c r="G13" s="2">
        <f t="shared" ref="G13:G49" si="19">IF(AND(C13&gt;=3,C13&lt;=4),(G12+1),G12)</f>
        <v>2</v>
      </c>
      <c r="H13" s="2">
        <f t="shared" ref="H13:H49" si="20">IF(AND(C13&gt;=1,C13&lt;=3),(H12+1),H12)</f>
        <v>1</v>
      </c>
      <c r="I13" s="2">
        <f t="shared" ref="I13:I49" si="21">IF(AND(C13&gt;=2,C13&lt;=4),(I12+1),I12)</f>
        <v>2</v>
      </c>
      <c r="J13" s="2">
        <f t="shared" ref="J13:J49" si="22">IF((C13=0),(J12+1),J12)</f>
        <v>0</v>
      </c>
      <c r="K13" s="2">
        <f t="shared" ref="K13:K49" si="23">IF((C13=1),(K12+1),K12)</f>
        <v>0</v>
      </c>
      <c r="L13" s="2">
        <f t="shared" ref="L13:L49" si="24">IF((C13=2),(L12+1),L12)</f>
        <v>0</v>
      </c>
      <c r="M13" s="34">
        <f t="shared" ref="M13:M49" si="25">IF((C13=3),(M12+1),M12)</f>
        <v>1</v>
      </c>
      <c r="N13" s="2">
        <v>3.0</v>
      </c>
      <c r="O13" s="3">
        <f t="shared" si="4"/>
        <v>2.5</v>
      </c>
      <c r="P13" s="2">
        <f t="shared" ref="P13:P49" si="26">IF(AND(N13&gt;=1,N13&lt;=2),(P12+1),P12)</f>
        <v>1</v>
      </c>
      <c r="Q13" s="2">
        <f t="shared" ref="Q13:Q49" si="27">IF(AND(N13&gt;=2,N13&lt;=3),(Q12+1),Q12)</f>
        <v>2</v>
      </c>
      <c r="R13" s="2">
        <f t="shared" ref="R13:R49" si="28">IF(AND(N13&gt;=3,N13&lt;=4),(R12+1),R12)</f>
        <v>1</v>
      </c>
      <c r="S13" s="2">
        <f t="shared" ref="S13:S49" si="29">IF(AND(N13&gt;=1,N13&lt;=3),(S12+1),S12)</f>
        <v>2</v>
      </c>
      <c r="T13" s="2">
        <f t="shared" ref="T13:T49" si="30">IF(AND(N13&gt;=2,N13&lt;=4),(T12+1),T12)</f>
        <v>2</v>
      </c>
      <c r="U13" s="2">
        <f t="shared" ref="U13:U49" si="31">IF((N13=0),(U12+1),U12)</f>
        <v>0</v>
      </c>
      <c r="V13" s="2">
        <f t="shared" ref="V13:V49" si="32">IF((N13=1),(V12+1),V12)</f>
        <v>0</v>
      </c>
      <c r="W13" s="2">
        <f t="shared" ref="W13:W49" si="33">IF((N13=2),(W12+1),W12)</f>
        <v>1</v>
      </c>
      <c r="X13" s="34">
        <f t="shared" ref="X13:X49" si="34">IF((N13=3),(X12+1),X12)</f>
        <v>1</v>
      </c>
      <c r="Y13" s="56">
        <v>2.0</v>
      </c>
      <c r="Z13" s="3">
        <f t="shared" si="5"/>
        <v>2</v>
      </c>
      <c r="AA13" s="2">
        <f t="shared" ref="AA13:AA49" si="35">IF(AND(Y13&gt;=1,Y13&lt;=2),(AA12+1),AA12)</f>
        <v>2</v>
      </c>
      <c r="AB13" s="2">
        <f t="shared" ref="AB13:AB49" si="36">IF(AND(Y13&gt;=2,Y13&lt;=3),(AB12+1),AB12)</f>
        <v>2</v>
      </c>
      <c r="AC13" s="2">
        <f t="shared" ref="AC13:AC49" si="37">IF(AND(Y13&gt;=3,Y13&lt;=4),(AC12+1),AC12)</f>
        <v>0</v>
      </c>
      <c r="AD13" s="2">
        <f t="shared" ref="AD13:AD49" si="38">IF(AND(Y13&gt;=1,Y13&lt;=3),(AD12+1),AD12)</f>
        <v>2</v>
      </c>
      <c r="AE13" s="2">
        <f t="shared" ref="AE13:AE49" si="39">IF(AND(Y13&gt;=2,Y13&lt;=4),(AE12+1),AE12)</f>
        <v>2</v>
      </c>
      <c r="AF13" s="2">
        <f t="shared" ref="AF13:AF49" si="40">IF((Y13=0),(AF12+1),AF12)</f>
        <v>0</v>
      </c>
      <c r="AG13" s="2">
        <f t="shared" ref="AG13:AG49" si="41">IF((Y13=1),(AG12+1),AG12)</f>
        <v>0</v>
      </c>
      <c r="AH13" s="2">
        <f t="shared" ref="AH13:AH49" si="42">IF((Y13=2),(AH12+1),AH12)</f>
        <v>2</v>
      </c>
      <c r="AI13" s="34">
        <f t="shared" ref="AI13:AI49" si="43">IF((Y13=3),(AI12+1),AI12)</f>
        <v>0</v>
      </c>
      <c r="AJ13" s="2">
        <v>2.0</v>
      </c>
      <c r="AK13" s="3">
        <f t="shared" si="6"/>
        <v>2</v>
      </c>
      <c r="AL13" s="2">
        <f t="shared" ref="AL13:AL49" si="44">IF(AND(AJ13&gt;=1,AJ13&lt;=2),(AL12+1),AL12)</f>
        <v>2</v>
      </c>
      <c r="AM13" s="2">
        <f t="shared" ref="AM13:AM49" si="45">IF(AND(AJ13&gt;=2,AJ13&lt;=3),(AM12+1),AM12)</f>
        <v>2</v>
      </c>
      <c r="AN13" s="2">
        <f t="shared" ref="AN13:AN49" si="46">IF(AND(AJ13&gt;=3,AJ13&lt;=4),(AN12+1),AN12)</f>
        <v>0</v>
      </c>
      <c r="AO13" s="2">
        <f t="shared" ref="AO13:AO49" si="47">IF(AND(AJ13&gt;=1,AJ13&lt;=3),(AO12+1),AO12)</f>
        <v>2</v>
      </c>
      <c r="AP13" s="2">
        <f t="shared" ref="AP13:AP49" si="48">IF(AND(AJ13&gt;=2,AJ13&lt;=4),(AP12+1),AP12)</f>
        <v>2</v>
      </c>
      <c r="AQ13" s="2">
        <f t="shared" ref="AQ13:AQ49" si="49">IF((AJ13=0),(AQ12+1),AQ12)</f>
        <v>0</v>
      </c>
      <c r="AR13" s="2">
        <f t="shared" ref="AR13:AR49" si="50">IF((AJ13=1),(AR12+1),AR12)</f>
        <v>0</v>
      </c>
      <c r="AS13" s="2">
        <f t="shared" ref="AS13:AS49" si="51">IF((AJ13=2),(AS12+1),AS12)</f>
        <v>2</v>
      </c>
      <c r="AT13" s="34">
        <f t="shared" ref="AT13:AT49" si="52">IF((AJ13=3),(AT12+1),AT12)</f>
        <v>0</v>
      </c>
      <c r="AU13" s="2">
        <v>1.0</v>
      </c>
      <c r="AV13" s="3">
        <f t="shared" si="7"/>
        <v>3</v>
      </c>
      <c r="AW13" s="2">
        <f t="shared" ref="AW13:AW49" si="53">IF(AND(AU13&gt;=1,AU13&lt;=2),(AW12+1),AW12)</f>
        <v>1</v>
      </c>
      <c r="AX13" s="2">
        <f t="shared" ref="AX13:AX49" si="54">IF(AND(AU13&gt;=2,AU13&lt;=3),(AX12+1),AX12)</f>
        <v>0</v>
      </c>
      <c r="AY13" s="2">
        <f t="shared" ref="AY13:AY49" si="55">IF(AND(AU13&gt;=3,AU13&lt;=4),(AY12+1),AY12)</f>
        <v>0</v>
      </c>
      <c r="AZ13" s="2">
        <f t="shared" ref="AZ13:AZ49" si="56">IF(AND(AU13&gt;=1,AU13&lt;=3),(AZ12+1),AZ12)</f>
        <v>1</v>
      </c>
      <c r="BA13" s="2">
        <f t="shared" ref="BA13:BA49" si="57">IF(AND(AU13&gt;=2,AU13&lt;=4),(BA12+1),BA12)</f>
        <v>0</v>
      </c>
      <c r="BB13" s="2">
        <f t="shared" ref="BB13:BB49" si="58">IF((AU13=0),(BB12+1),BB12)</f>
        <v>0</v>
      </c>
      <c r="BC13" s="2">
        <f t="shared" ref="BC13:BC49" si="59">IF((AU13=1),(BC12+1),BC12)</f>
        <v>1</v>
      </c>
      <c r="BD13" s="2">
        <f t="shared" ref="BD13:BD49" si="60">IF((AU13=2),(BD12+1),BD12)</f>
        <v>0</v>
      </c>
      <c r="BE13" s="34">
        <f t="shared" ref="BE13:BE49" si="61">IF((AU13=3),(BE12+1),BE12)</f>
        <v>0</v>
      </c>
      <c r="BF13" s="36">
        <f t="shared" ref="BF13:BO13" si="8">+(AK13+Z13+O13+D13)/4</f>
        <v>2.5</v>
      </c>
      <c r="BG13" s="2">
        <f t="shared" si="8"/>
        <v>1.25</v>
      </c>
      <c r="BH13" s="2">
        <f t="shared" si="8"/>
        <v>1.75</v>
      </c>
      <c r="BI13" s="2">
        <f t="shared" si="8"/>
        <v>0.75</v>
      </c>
      <c r="BJ13" s="2">
        <f t="shared" si="8"/>
        <v>1.75</v>
      </c>
      <c r="BK13" s="2">
        <f t="shared" si="8"/>
        <v>2</v>
      </c>
      <c r="BL13" s="2">
        <f t="shared" si="8"/>
        <v>0</v>
      </c>
      <c r="BM13" s="2">
        <f t="shared" si="8"/>
        <v>0</v>
      </c>
      <c r="BN13" s="2">
        <f t="shared" si="8"/>
        <v>1.25</v>
      </c>
      <c r="BO13" s="2">
        <f t="shared" si="8"/>
        <v>0.5</v>
      </c>
      <c r="BP13" s="37">
        <f t="shared" si="9"/>
        <v>0.5</v>
      </c>
      <c r="BQ13" s="38">
        <f t="shared" si="10"/>
        <v>0</v>
      </c>
      <c r="BR13" s="38">
        <f t="shared" si="11"/>
        <v>0.5</v>
      </c>
      <c r="BS13" s="38">
        <f t="shared" si="12"/>
        <v>0</v>
      </c>
      <c r="BT13" s="38">
        <f t="shared" si="13"/>
        <v>0</v>
      </c>
      <c r="BU13" s="38">
        <f t="shared" si="14"/>
        <v>0.5</v>
      </c>
      <c r="BV13" s="38">
        <f t="shared" si="15"/>
        <v>1</v>
      </c>
      <c r="BW13" s="38">
        <f t="shared" ref="BW13:BX13" si="16">+BR13+BS13+BT13</f>
        <v>0.5</v>
      </c>
      <c r="BX13" s="39">
        <f t="shared" si="16"/>
        <v>0.5</v>
      </c>
      <c r="BY13" s="1"/>
    </row>
    <row r="14">
      <c r="A14" s="54"/>
      <c r="B14" s="40">
        <v>3.0</v>
      </c>
      <c r="C14" s="55">
        <v>2.0</v>
      </c>
      <c r="D14" s="27">
        <f t="shared" si="3"/>
        <v>3</v>
      </c>
      <c r="E14" s="24">
        <f t="shared" si="17"/>
        <v>1</v>
      </c>
      <c r="F14" s="2">
        <f t="shared" si="18"/>
        <v>2</v>
      </c>
      <c r="G14" s="24">
        <f t="shared" si="19"/>
        <v>2</v>
      </c>
      <c r="H14" s="24">
        <f t="shared" si="20"/>
        <v>2</v>
      </c>
      <c r="I14" s="24">
        <f t="shared" si="21"/>
        <v>3</v>
      </c>
      <c r="J14" s="24">
        <f t="shared" si="22"/>
        <v>0</v>
      </c>
      <c r="K14" s="24">
        <f t="shared" si="23"/>
        <v>0</v>
      </c>
      <c r="L14" s="24">
        <f t="shared" si="24"/>
        <v>1</v>
      </c>
      <c r="M14" s="28">
        <f t="shared" si="25"/>
        <v>1</v>
      </c>
      <c r="N14" s="55">
        <v>1.0</v>
      </c>
      <c r="O14" s="27">
        <f t="shared" si="4"/>
        <v>2</v>
      </c>
      <c r="P14" s="24">
        <f t="shared" si="26"/>
        <v>2</v>
      </c>
      <c r="Q14" s="2">
        <f t="shared" si="27"/>
        <v>2</v>
      </c>
      <c r="R14" s="24">
        <f t="shared" si="28"/>
        <v>1</v>
      </c>
      <c r="S14" s="24">
        <f t="shared" si="29"/>
        <v>3</v>
      </c>
      <c r="T14" s="24">
        <f t="shared" si="30"/>
        <v>2</v>
      </c>
      <c r="U14" s="24">
        <f t="shared" si="31"/>
        <v>0</v>
      </c>
      <c r="V14" s="24">
        <f t="shared" si="32"/>
        <v>1</v>
      </c>
      <c r="W14" s="24">
        <f t="shared" si="33"/>
        <v>1</v>
      </c>
      <c r="X14" s="28">
        <f t="shared" si="34"/>
        <v>1</v>
      </c>
      <c r="Y14" s="24">
        <v>4.0</v>
      </c>
      <c r="Z14" s="27">
        <f t="shared" si="5"/>
        <v>2.666666667</v>
      </c>
      <c r="AA14" s="24">
        <f t="shared" si="35"/>
        <v>2</v>
      </c>
      <c r="AB14" s="2">
        <f t="shared" si="36"/>
        <v>2</v>
      </c>
      <c r="AC14" s="24">
        <f t="shared" si="37"/>
        <v>1</v>
      </c>
      <c r="AD14" s="24">
        <f t="shared" si="38"/>
        <v>2</v>
      </c>
      <c r="AE14" s="24">
        <f t="shared" si="39"/>
        <v>3</v>
      </c>
      <c r="AF14" s="24">
        <f t="shared" si="40"/>
        <v>0</v>
      </c>
      <c r="AG14" s="24">
        <f t="shared" si="41"/>
        <v>0</v>
      </c>
      <c r="AH14" s="24">
        <f t="shared" si="42"/>
        <v>2</v>
      </c>
      <c r="AI14" s="28">
        <f t="shared" si="43"/>
        <v>0</v>
      </c>
      <c r="AJ14" s="24">
        <v>4.0</v>
      </c>
      <c r="AK14" s="27">
        <f t="shared" si="6"/>
        <v>2.666666667</v>
      </c>
      <c r="AL14" s="24">
        <f t="shared" si="44"/>
        <v>2</v>
      </c>
      <c r="AM14" s="2">
        <f t="shared" si="45"/>
        <v>2</v>
      </c>
      <c r="AN14" s="24">
        <f t="shared" si="46"/>
        <v>1</v>
      </c>
      <c r="AO14" s="24">
        <f t="shared" si="47"/>
        <v>2</v>
      </c>
      <c r="AP14" s="24">
        <f t="shared" si="48"/>
        <v>3</v>
      </c>
      <c r="AQ14" s="24">
        <f t="shared" si="49"/>
        <v>0</v>
      </c>
      <c r="AR14" s="24">
        <f t="shared" si="50"/>
        <v>0</v>
      </c>
      <c r="AS14" s="24">
        <f t="shared" si="51"/>
        <v>2</v>
      </c>
      <c r="AT14" s="28">
        <f t="shared" si="52"/>
        <v>0</v>
      </c>
      <c r="AU14" s="26">
        <v>3.0</v>
      </c>
      <c r="AV14" s="27">
        <f t="shared" si="7"/>
        <v>3</v>
      </c>
      <c r="AW14" s="24">
        <f t="shared" si="53"/>
        <v>1</v>
      </c>
      <c r="AX14" s="2">
        <f t="shared" si="54"/>
        <v>1</v>
      </c>
      <c r="AY14" s="24">
        <f t="shared" si="55"/>
        <v>1</v>
      </c>
      <c r="AZ14" s="24">
        <f t="shared" si="56"/>
        <v>2</v>
      </c>
      <c r="BA14" s="24">
        <f t="shared" si="57"/>
        <v>1</v>
      </c>
      <c r="BB14" s="24">
        <f t="shared" si="58"/>
        <v>0</v>
      </c>
      <c r="BC14" s="24">
        <f t="shared" si="59"/>
        <v>1</v>
      </c>
      <c r="BD14" s="24">
        <f t="shared" si="60"/>
        <v>0</v>
      </c>
      <c r="BE14" s="28">
        <f t="shared" si="61"/>
        <v>1</v>
      </c>
      <c r="BF14" s="29">
        <f t="shared" ref="BF14:BO14" si="62">+(AK14+Z14+O14+D14)/4</f>
        <v>2.583333333</v>
      </c>
      <c r="BG14" s="24">
        <f t="shared" si="62"/>
        <v>1.75</v>
      </c>
      <c r="BH14" s="24">
        <f t="shared" si="62"/>
        <v>2</v>
      </c>
      <c r="BI14" s="24">
        <f t="shared" si="62"/>
        <v>1.25</v>
      </c>
      <c r="BJ14" s="24">
        <f t="shared" si="62"/>
        <v>2.25</v>
      </c>
      <c r="BK14" s="24">
        <f t="shared" si="62"/>
        <v>2.75</v>
      </c>
      <c r="BL14" s="24">
        <f t="shared" si="62"/>
        <v>0</v>
      </c>
      <c r="BM14" s="24">
        <f t="shared" si="62"/>
        <v>0.25</v>
      </c>
      <c r="BN14" s="24">
        <f t="shared" si="62"/>
        <v>1.5</v>
      </c>
      <c r="BO14" s="24">
        <f t="shared" si="62"/>
        <v>0.5</v>
      </c>
      <c r="BP14" s="30">
        <f t="shared" si="9"/>
        <v>0.4166666667</v>
      </c>
      <c r="BQ14" s="31">
        <f t="shared" si="10"/>
        <v>0</v>
      </c>
      <c r="BR14" s="31">
        <f t="shared" si="11"/>
        <v>0.3333333333</v>
      </c>
      <c r="BS14" s="31">
        <f t="shared" si="12"/>
        <v>0</v>
      </c>
      <c r="BT14" s="31">
        <f t="shared" si="13"/>
        <v>0.3333333333</v>
      </c>
      <c r="BU14" s="31">
        <f t="shared" si="14"/>
        <v>0.3333333333</v>
      </c>
      <c r="BV14" s="31">
        <f t="shared" si="15"/>
        <v>1</v>
      </c>
      <c r="BW14" s="31">
        <f t="shared" ref="BW14:BX14" si="63">+BR14+BS14+BT14</f>
        <v>0.6666666667</v>
      </c>
      <c r="BX14" s="32">
        <f t="shared" si="63"/>
        <v>0.6666666667</v>
      </c>
      <c r="BY14" s="54"/>
    </row>
    <row r="15">
      <c r="A15" s="1"/>
      <c r="B15" s="33">
        <v>4.0</v>
      </c>
      <c r="C15" s="2">
        <v>6.0</v>
      </c>
      <c r="D15" s="3">
        <f t="shared" si="3"/>
        <v>3.75</v>
      </c>
      <c r="E15" s="2">
        <f t="shared" si="17"/>
        <v>1</v>
      </c>
      <c r="F15" s="2">
        <f t="shared" si="18"/>
        <v>2</v>
      </c>
      <c r="G15" s="2">
        <f t="shared" si="19"/>
        <v>2</v>
      </c>
      <c r="H15" s="2">
        <f t="shared" si="20"/>
        <v>2</v>
      </c>
      <c r="I15" s="2">
        <f t="shared" si="21"/>
        <v>3</v>
      </c>
      <c r="J15" s="2">
        <f t="shared" si="22"/>
        <v>0</v>
      </c>
      <c r="K15" s="2">
        <f t="shared" si="23"/>
        <v>0</v>
      </c>
      <c r="L15" s="2">
        <f t="shared" si="24"/>
        <v>1</v>
      </c>
      <c r="M15" s="34">
        <f t="shared" si="25"/>
        <v>1</v>
      </c>
      <c r="N15" s="2">
        <v>3.0</v>
      </c>
      <c r="O15" s="3">
        <f t="shared" si="4"/>
        <v>2.25</v>
      </c>
      <c r="P15" s="2">
        <f t="shared" si="26"/>
        <v>2</v>
      </c>
      <c r="Q15" s="2">
        <f t="shared" si="27"/>
        <v>3</v>
      </c>
      <c r="R15" s="2">
        <f t="shared" si="28"/>
        <v>2</v>
      </c>
      <c r="S15" s="2">
        <f t="shared" si="29"/>
        <v>4</v>
      </c>
      <c r="T15" s="2">
        <f t="shared" si="30"/>
        <v>3</v>
      </c>
      <c r="U15" s="2">
        <f t="shared" si="31"/>
        <v>0</v>
      </c>
      <c r="V15" s="2">
        <f t="shared" si="32"/>
        <v>1</v>
      </c>
      <c r="W15" s="2">
        <f t="shared" si="33"/>
        <v>1</v>
      </c>
      <c r="X15" s="34">
        <f t="shared" si="34"/>
        <v>2</v>
      </c>
      <c r="Y15" s="2">
        <v>5.0</v>
      </c>
      <c r="Z15" s="3">
        <f t="shared" si="5"/>
        <v>3.25</v>
      </c>
      <c r="AA15" s="2">
        <f t="shared" si="35"/>
        <v>2</v>
      </c>
      <c r="AB15" s="2">
        <f t="shared" si="36"/>
        <v>2</v>
      </c>
      <c r="AC15" s="2">
        <f t="shared" si="37"/>
        <v>1</v>
      </c>
      <c r="AD15" s="2">
        <f t="shared" si="38"/>
        <v>2</v>
      </c>
      <c r="AE15" s="2">
        <f t="shared" si="39"/>
        <v>3</v>
      </c>
      <c r="AF15" s="2">
        <f t="shared" si="40"/>
        <v>0</v>
      </c>
      <c r="AG15" s="2">
        <f t="shared" si="41"/>
        <v>0</v>
      </c>
      <c r="AH15" s="2">
        <f t="shared" si="42"/>
        <v>2</v>
      </c>
      <c r="AI15" s="34">
        <f t="shared" si="43"/>
        <v>0</v>
      </c>
      <c r="AJ15" s="56">
        <v>1.0</v>
      </c>
      <c r="AK15" s="3">
        <f t="shared" si="6"/>
        <v>2.25</v>
      </c>
      <c r="AL15" s="2">
        <f t="shared" si="44"/>
        <v>3</v>
      </c>
      <c r="AM15" s="2">
        <f t="shared" si="45"/>
        <v>2</v>
      </c>
      <c r="AN15" s="2">
        <f t="shared" si="46"/>
        <v>1</v>
      </c>
      <c r="AO15" s="2">
        <f t="shared" si="47"/>
        <v>3</v>
      </c>
      <c r="AP15" s="2">
        <f t="shared" si="48"/>
        <v>3</v>
      </c>
      <c r="AQ15" s="2">
        <f t="shared" si="49"/>
        <v>0</v>
      </c>
      <c r="AR15" s="2">
        <f t="shared" si="50"/>
        <v>1</v>
      </c>
      <c r="AS15" s="2">
        <f t="shared" si="51"/>
        <v>2</v>
      </c>
      <c r="AT15" s="34">
        <f t="shared" si="52"/>
        <v>0</v>
      </c>
      <c r="AU15" s="2">
        <v>2.0</v>
      </c>
      <c r="AV15" s="3">
        <f t="shared" si="7"/>
        <v>2.75</v>
      </c>
      <c r="AW15" s="2">
        <f t="shared" si="53"/>
        <v>2</v>
      </c>
      <c r="AX15" s="2">
        <f t="shared" si="54"/>
        <v>2</v>
      </c>
      <c r="AY15" s="2">
        <f t="shared" si="55"/>
        <v>1</v>
      </c>
      <c r="AZ15" s="2">
        <f t="shared" si="56"/>
        <v>3</v>
      </c>
      <c r="BA15" s="2">
        <f t="shared" si="57"/>
        <v>2</v>
      </c>
      <c r="BB15" s="2">
        <f t="shared" si="58"/>
        <v>0</v>
      </c>
      <c r="BC15" s="2">
        <f t="shared" si="59"/>
        <v>1</v>
      </c>
      <c r="BD15" s="2">
        <f t="shared" si="60"/>
        <v>1</v>
      </c>
      <c r="BE15" s="34">
        <f t="shared" si="61"/>
        <v>1</v>
      </c>
      <c r="BF15" s="36">
        <f t="shared" ref="BF15:BO15" si="64">+(AK15+Z15+O15+D15)/4</f>
        <v>2.875</v>
      </c>
      <c r="BG15" s="2">
        <f t="shared" si="64"/>
        <v>2</v>
      </c>
      <c r="BH15" s="2">
        <f t="shared" si="64"/>
        <v>2.25</v>
      </c>
      <c r="BI15" s="2">
        <f t="shared" si="64"/>
        <v>1.5</v>
      </c>
      <c r="BJ15" s="2">
        <f t="shared" si="64"/>
        <v>2.75</v>
      </c>
      <c r="BK15" s="2">
        <f t="shared" si="64"/>
        <v>3</v>
      </c>
      <c r="BL15" s="2">
        <f t="shared" si="64"/>
        <v>0</v>
      </c>
      <c r="BM15" s="2">
        <f t="shared" si="64"/>
        <v>0.5</v>
      </c>
      <c r="BN15" s="2">
        <f t="shared" si="64"/>
        <v>1.5</v>
      </c>
      <c r="BO15" s="2">
        <f t="shared" si="64"/>
        <v>0.75</v>
      </c>
      <c r="BP15" s="37">
        <f t="shared" si="9"/>
        <v>-0.125</v>
      </c>
      <c r="BQ15" s="38">
        <f t="shared" si="10"/>
        <v>0</v>
      </c>
      <c r="BR15" s="38">
        <f t="shared" si="11"/>
        <v>0.25</v>
      </c>
      <c r="BS15" s="38">
        <f t="shared" si="12"/>
        <v>0.25</v>
      </c>
      <c r="BT15" s="38">
        <f t="shared" si="13"/>
        <v>0.25</v>
      </c>
      <c r="BU15" s="38">
        <f t="shared" si="14"/>
        <v>0.25</v>
      </c>
      <c r="BV15" s="38">
        <f t="shared" si="15"/>
        <v>1</v>
      </c>
      <c r="BW15" s="38">
        <f t="shared" ref="BW15:BX15" si="65">+BR15+BS15+BT15</f>
        <v>0.75</v>
      </c>
      <c r="BX15" s="39">
        <f t="shared" si="65"/>
        <v>0.75</v>
      </c>
      <c r="BY15" s="1"/>
    </row>
    <row r="16">
      <c r="A16" s="54"/>
      <c r="B16" s="40">
        <v>5.0</v>
      </c>
      <c r="C16" s="55">
        <v>3.0</v>
      </c>
      <c r="D16" s="27">
        <f t="shared" si="3"/>
        <v>3.6</v>
      </c>
      <c r="E16" s="24">
        <f t="shared" si="17"/>
        <v>1</v>
      </c>
      <c r="F16" s="2">
        <f t="shared" si="18"/>
        <v>3</v>
      </c>
      <c r="G16" s="24">
        <f t="shared" si="19"/>
        <v>3</v>
      </c>
      <c r="H16" s="24">
        <f t="shared" si="20"/>
        <v>3</v>
      </c>
      <c r="I16" s="24">
        <f t="shared" si="21"/>
        <v>4</v>
      </c>
      <c r="J16" s="24">
        <f t="shared" si="22"/>
        <v>0</v>
      </c>
      <c r="K16" s="24">
        <f t="shared" si="23"/>
        <v>0</v>
      </c>
      <c r="L16" s="24">
        <f t="shared" si="24"/>
        <v>1</v>
      </c>
      <c r="M16" s="28">
        <f t="shared" si="25"/>
        <v>2</v>
      </c>
      <c r="N16" s="55">
        <v>2.0</v>
      </c>
      <c r="O16" s="27">
        <f t="shared" si="4"/>
        <v>2.2</v>
      </c>
      <c r="P16" s="24">
        <f t="shared" si="26"/>
        <v>3</v>
      </c>
      <c r="Q16" s="2">
        <f t="shared" si="27"/>
        <v>4</v>
      </c>
      <c r="R16" s="24">
        <f t="shared" si="28"/>
        <v>2</v>
      </c>
      <c r="S16" s="24">
        <f t="shared" si="29"/>
        <v>5</v>
      </c>
      <c r="T16" s="24">
        <f t="shared" si="30"/>
        <v>4</v>
      </c>
      <c r="U16" s="24">
        <f t="shared" si="31"/>
        <v>0</v>
      </c>
      <c r="V16" s="24">
        <f t="shared" si="32"/>
        <v>1</v>
      </c>
      <c r="W16" s="24">
        <f t="shared" si="33"/>
        <v>2</v>
      </c>
      <c r="X16" s="28">
        <f t="shared" si="34"/>
        <v>2</v>
      </c>
      <c r="Y16" s="55">
        <v>1.0</v>
      </c>
      <c r="Z16" s="27">
        <f t="shared" si="5"/>
        <v>2.8</v>
      </c>
      <c r="AA16" s="24">
        <f t="shared" si="35"/>
        <v>3</v>
      </c>
      <c r="AB16" s="2">
        <f t="shared" si="36"/>
        <v>2</v>
      </c>
      <c r="AC16" s="24">
        <f t="shared" si="37"/>
        <v>1</v>
      </c>
      <c r="AD16" s="24">
        <f t="shared" si="38"/>
        <v>3</v>
      </c>
      <c r="AE16" s="24">
        <f t="shared" si="39"/>
        <v>3</v>
      </c>
      <c r="AF16" s="24">
        <f t="shared" si="40"/>
        <v>0</v>
      </c>
      <c r="AG16" s="24">
        <f t="shared" si="41"/>
        <v>1</v>
      </c>
      <c r="AH16" s="24">
        <f t="shared" si="42"/>
        <v>2</v>
      </c>
      <c r="AI16" s="28">
        <f t="shared" si="43"/>
        <v>0</v>
      </c>
      <c r="AJ16" s="24">
        <v>1.0</v>
      </c>
      <c r="AK16" s="27">
        <f t="shared" si="6"/>
        <v>2</v>
      </c>
      <c r="AL16" s="24">
        <f t="shared" si="44"/>
        <v>4</v>
      </c>
      <c r="AM16" s="2">
        <f t="shared" si="45"/>
        <v>2</v>
      </c>
      <c r="AN16" s="24">
        <f t="shared" si="46"/>
        <v>1</v>
      </c>
      <c r="AO16" s="24">
        <f t="shared" si="47"/>
        <v>4</v>
      </c>
      <c r="AP16" s="24">
        <f t="shared" si="48"/>
        <v>3</v>
      </c>
      <c r="AQ16" s="24">
        <f t="shared" si="49"/>
        <v>0</v>
      </c>
      <c r="AR16" s="24">
        <f t="shared" si="50"/>
        <v>2</v>
      </c>
      <c r="AS16" s="24">
        <f t="shared" si="51"/>
        <v>2</v>
      </c>
      <c r="AT16" s="28">
        <f t="shared" si="52"/>
        <v>0</v>
      </c>
      <c r="AU16" s="26">
        <v>2.0</v>
      </c>
      <c r="AV16" s="27">
        <f t="shared" si="7"/>
        <v>2.6</v>
      </c>
      <c r="AW16" s="24">
        <f t="shared" si="53"/>
        <v>3</v>
      </c>
      <c r="AX16" s="2">
        <f t="shared" si="54"/>
        <v>3</v>
      </c>
      <c r="AY16" s="24">
        <f t="shared" si="55"/>
        <v>1</v>
      </c>
      <c r="AZ16" s="24">
        <f t="shared" si="56"/>
        <v>4</v>
      </c>
      <c r="BA16" s="24">
        <f t="shared" si="57"/>
        <v>3</v>
      </c>
      <c r="BB16" s="24">
        <f t="shared" si="58"/>
        <v>0</v>
      </c>
      <c r="BC16" s="24">
        <f t="shared" si="59"/>
        <v>1</v>
      </c>
      <c r="BD16" s="24">
        <f t="shared" si="60"/>
        <v>2</v>
      </c>
      <c r="BE16" s="28">
        <f t="shared" si="61"/>
        <v>1</v>
      </c>
      <c r="BF16" s="29">
        <f t="shared" ref="BF16:BO16" si="66">+(AK16+Z16+O16+D16)/4</f>
        <v>2.65</v>
      </c>
      <c r="BG16" s="24">
        <f t="shared" si="66"/>
        <v>2.75</v>
      </c>
      <c r="BH16" s="24">
        <f t="shared" si="66"/>
        <v>2.75</v>
      </c>
      <c r="BI16" s="24">
        <f t="shared" si="66"/>
        <v>1.75</v>
      </c>
      <c r="BJ16" s="24">
        <f t="shared" si="66"/>
        <v>3.75</v>
      </c>
      <c r="BK16" s="24">
        <f t="shared" si="66"/>
        <v>3.5</v>
      </c>
      <c r="BL16" s="24">
        <f t="shared" si="66"/>
        <v>0</v>
      </c>
      <c r="BM16" s="24">
        <f t="shared" si="66"/>
        <v>1</v>
      </c>
      <c r="BN16" s="24">
        <f t="shared" si="66"/>
        <v>1.75</v>
      </c>
      <c r="BO16" s="24">
        <f t="shared" si="66"/>
        <v>1</v>
      </c>
      <c r="BP16" s="30">
        <f t="shared" si="9"/>
        <v>-0.05</v>
      </c>
      <c r="BQ16" s="31">
        <f t="shared" si="10"/>
        <v>0</v>
      </c>
      <c r="BR16" s="31">
        <f t="shared" si="11"/>
        <v>0.2</v>
      </c>
      <c r="BS16" s="31">
        <f t="shared" si="12"/>
        <v>0.4</v>
      </c>
      <c r="BT16" s="31">
        <f t="shared" si="13"/>
        <v>0.2</v>
      </c>
      <c r="BU16" s="31">
        <f t="shared" si="14"/>
        <v>0.2</v>
      </c>
      <c r="BV16" s="31">
        <f t="shared" si="15"/>
        <v>1</v>
      </c>
      <c r="BW16" s="31">
        <f t="shared" ref="BW16:BX16" si="67">+BR16+BS16+BT16</f>
        <v>0.8</v>
      </c>
      <c r="BX16" s="32">
        <f t="shared" si="67"/>
        <v>0.8</v>
      </c>
      <c r="BY16" s="54"/>
    </row>
    <row r="17">
      <c r="A17" s="1"/>
      <c r="B17" s="33">
        <v>6.0</v>
      </c>
      <c r="C17" s="2">
        <v>2.0</v>
      </c>
      <c r="D17" s="3">
        <f t="shared" si="3"/>
        <v>3.333333333</v>
      </c>
      <c r="E17" s="2">
        <f t="shared" si="17"/>
        <v>2</v>
      </c>
      <c r="F17" s="2">
        <f t="shared" si="18"/>
        <v>4</v>
      </c>
      <c r="G17" s="2">
        <f t="shared" si="19"/>
        <v>3</v>
      </c>
      <c r="H17" s="2">
        <f t="shared" si="20"/>
        <v>4</v>
      </c>
      <c r="I17" s="2">
        <f t="shared" si="21"/>
        <v>5</v>
      </c>
      <c r="J17" s="2">
        <f t="shared" si="22"/>
        <v>0</v>
      </c>
      <c r="K17" s="2">
        <f t="shared" si="23"/>
        <v>0</v>
      </c>
      <c r="L17" s="2">
        <f t="shared" si="24"/>
        <v>2</v>
      </c>
      <c r="M17" s="34">
        <f t="shared" si="25"/>
        <v>2</v>
      </c>
      <c r="N17" s="2">
        <v>1.0</v>
      </c>
      <c r="O17" s="3">
        <f t="shared" si="4"/>
        <v>2</v>
      </c>
      <c r="P17" s="2">
        <f t="shared" si="26"/>
        <v>4</v>
      </c>
      <c r="Q17" s="2">
        <f t="shared" si="27"/>
        <v>4</v>
      </c>
      <c r="R17" s="2">
        <f t="shared" si="28"/>
        <v>2</v>
      </c>
      <c r="S17" s="2">
        <f t="shared" si="29"/>
        <v>6</v>
      </c>
      <c r="T17" s="2">
        <f t="shared" si="30"/>
        <v>4</v>
      </c>
      <c r="U17" s="2">
        <f t="shared" si="31"/>
        <v>0</v>
      </c>
      <c r="V17" s="2">
        <f t="shared" si="32"/>
        <v>2</v>
      </c>
      <c r="W17" s="2">
        <f t="shared" si="33"/>
        <v>2</v>
      </c>
      <c r="X17" s="34">
        <f t="shared" si="34"/>
        <v>2</v>
      </c>
      <c r="Y17" s="2">
        <v>1.0</v>
      </c>
      <c r="Z17" s="3">
        <f t="shared" si="5"/>
        <v>2.5</v>
      </c>
      <c r="AA17" s="2">
        <f t="shared" si="35"/>
        <v>4</v>
      </c>
      <c r="AB17" s="2">
        <f t="shared" si="36"/>
        <v>2</v>
      </c>
      <c r="AC17" s="2">
        <f t="shared" si="37"/>
        <v>1</v>
      </c>
      <c r="AD17" s="2">
        <f t="shared" si="38"/>
        <v>4</v>
      </c>
      <c r="AE17" s="2">
        <f t="shared" si="39"/>
        <v>3</v>
      </c>
      <c r="AF17" s="2">
        <f t="shared" si="40"/>
        <v>0</v>
      </c>
      <c r="AG17" s="2">
        <f t="shared" si="41"/>
        <v>2</v>
      </c>
      <c r="AH17" s="2">
        <f t="shared" si="42"/>
        <v>2</v>
      </c>
      <c r="AI17" s="34">
        <f t="shared" si="43"/>
        <v>0</v>
      </c>
      <c r="AJ17" s="56">
        <v>3.0</v>
      </c>
      <c r="AK17" s="3">
        <f t="shared" si="6"/>
        <v>2.166666667</v>
      </c>
      <c r="AL17" s="2">
        <f t="shared" si="44"/>
        <v>4</v>
      </c>
      <c r="AM17" s="2">
        <f t="shared" si="45"/>
        <v>3</v>
      </c>
      <c r="AN17" s="2">
        <f t="shared" si="46"/>
        <v>2</v>
      </c>
      <c r="AO17" s="2">
        <f t="shared" si="47"/>
        <v>5</v>
      </c>
      <c r="AP17" s="2">
        <f t="shared" si="48"/>
        <v>4</v>
      </c>
      <c r="AQ17" s="2">
        <f t="shared" si="49"/>
        <v>0</v>
      </c>
      <c r="AR17" s="2">
        <f t="shared" si="50"/>
        <v>2</v>
      </c>
      <c r="AS17" s="2">
        <f t="shared" si="51"/>
        <v>2</v>
      </c>
      <c r="AT17" s="34">
        <f t="shared" si="52"/>
        <v>1</v>
      </c>
      <c r="AU17" s="2">
        <v>4.0</v>
      </c>
      <c r="AV17" s="3">
        <f t="shared" si="7"/>
        <v>2.833333333</v>
      </c>
      <c r="AW17" s="2">
        <f t="shared" si="53"/>
        <v>3</v>
      </c>
      <c r="AX17" s="2">
        <f t="shared" si="54"/>
        <v>3</v>
      </c>
      <c r="AY17" s="2">
        <f t="shared" si="55"/>
        <v>2</v>
      </c>
      <c r="AZ17" s="2">
        <f t="shared" si="56"/>
        <v>4</v>
      </c>
      <c r="BA17" s="2">
        <f t="shared" si="57"/>
        <v>4</v>
      </c>
      <c r="BB17" s="2">
        <f t="shared" si="58"/>
        <v>0</v>
      </c>
      <c r="BC17" s="2">
        <f t="shared" si="59"/>
        <v>1</v>
      </c>
      <c r="BD17" s="2">
        <f t="shared" si="60"/>
        <v>2</v>
      </c>
      <c r="BE17" s="34">
        <f t="shared" si="61"/>
        <v>1</v>
      </c>
      <c r="BF17" s="36">
        <f t="shared" ref="BF17:BO17" si="68">+(AK17+Z17+O17+D17)/4</f>
        <v>2.5</v>
      </c>
      <c r="BG17" s="2">
        <f t="shared" si="68"/>
        <v>3.5</v>
      </c>
      <c r="BH17" s="2">
        <f t="shared" si="68"/>
        <v>3.25</v>
      </c>
      <c r="BI17" s="2">
        <f t="shared" si="68"/>
        <v>2</v>
      </c>
      <c r="BJ17" s="2">
        <f t="shared" si="68"/>
        <v>4.75</v>
      </c>
      <c r="BK17" s="2">
        <f t="shared" si="68"/>
        <v>4</v>
      </c>
      <c r="BL17" s="2">
        <f t="shared" si="68"/>
        <v>0</v>
      </c>
      <c r="BM17" s="2">
        <f t="shared" si="68"/>
        <v>1.5</v>
      </c>
      <c r="BN17" s="2">
        <f t="shared" si="68"/>
        <v>2</v>
      </c>
      <c r="BO17" s="2">
        <f t="shared" si="68"/>
        <v>1.25</v>
      </c>
      <c r="BP17" s="37">
        <f t="shared" si="9"/>
        <v>0.3333333333</v>
      </c>
      <c r="BQ17" s="38">
        <f t="shared" si="10"/>
        <v>0</v>
      </c>
      <c r="BR17" s="38">
        <f t="shared" si="11"/>
        <v>0.1666666667</v>
      </c>
      <c r="BS17" s="38">
        <f t="shared" si="12"/>
        <v>0.3333333333</v>
      </c>
      <c r="BT17" s="38">
        <f t="shared" si="13"/>
        <v>0.1666666667</v>
      </c>
      <c r="BU17" s="38">
        <f t="shared" si="14"/>
        <v>0.3333333333</v>
      </c>
      <c r="BV17" s="38">
        <f t="shared" si="15"/>
        <v>1</v>
      </c>
      <c r="BW17" s="38">
        <f t="shared" ref="BW17:BX17" si="69">+BR17+BS17+BT17</f>
        <v>0.6666666667</v>
      </c>
      <c r="BX17" s="39">
        <f t="shared" si="69"/>
        <v>0.8333333333</v>
      </c>
      <c r="BY17" s="1"/>
    </row>
    <row r="18">
      <c r="A18" s="54"/>
      <c r="B18" s="40">
        <v>7.0</v>
      </c>
      <c r="C18" s="55">
        <v>2.0</v>
      </c>
      <c r="D18" s="27">
        <f t="shared" si="3"/>
        <v>3.142857143</v>
      </c>
      <c r="E18" s="24">
        <f t="shared" si="17"/>
        <v>3</v>
      </c>
      <c r="F18" s="2">
        <f t="shared" si="18"/>
        <v>5</v>
      </c>
      <c r="G18" s="24">
        <f t="shared" si="19"/>
        <v>3</v>
      </c>
      <c r="H18" s="24">
        <f t="shared" si="20"/>
        <v>5</v>
      </c>
      <c r="I18" s="24">
        <f t="shared" si="21"/>
        <v>6</v>
      </c>
      <c r="J18" s="24">
        <f t="shared" si="22"/>
        <v>0</v>
      </c>
      <c r="K18" s="24">
        <f t="shared" si="23"/>
        <v>0</v>
      </c>
      <c r="L18" s="24">
        <f t="shared" si="24"/>
        <v>3</v>
      </c>
      <c r="M18" s="28">
        <f t="shared" si="25"/>
        <v>2</v>
      </c>
      <c r="N18" s="55">
        <v>1.0</v>
      </c>
      <c r="O18" s="27">
        <f t="shared" si="4"/>
        <v>1.857142857</v>
      </c>
      <c r="P18" s="24">
        <f t="shared" si="26"/>
        <v>5</v>
      </c>
      <c r="Q18" s="2">
        <f t="shared" si="27"/>
        <v>4</v>
      </c>
      <c r="R18" s="24">
        <f t="shared" si="28"/>
        <v>2</v>
      </c>
      <c r="S18" s="24">
        <f t="shared" si="29"/>
        <v>7</v>
      </c>
      <c r="T18" s="24">
        <f t="shared" si="30"/>
        <v>4</v>
      </c>
      <c r="U18" s="24">
        <f t="shared" si="31"/>
        <v>0</v>
      </c>
      <c r="V18" s="24">
        <f t="shared" si="32"/>
        <v>3</v>
      </c>
      <c r="W18" s="24">
        <f t="shared" si="33"/>
        <v>2</v>
      </c>
      <c r="X18" s="28">
        <f t="shared" si="34"/>
        <v>2</v>
      </c>
      <c r="Y18" s="55">
        <v>4.0</v>
      </c>
      <c r="Z18" s="27">
        <f t="shared" si="5"/>
        <v>2.714285714</v>
      </c>
      <c r="AA18" s="24">
        <f t="shared" si="35"/>
        <v>4</v>
      </c>
      <c r="AB18" s="2">
        <f t="shared" si="36"/>
        <v>2</v>
      </c>
      <c r="AC18" s="24">
        <f t="shared" si="37"/>
        <v>2</v>
      </c>
      <c r="AD18" s="24">
        <f t="shared" si="38"/>
        <v>4</v>
      </c>
      <c r="AE18" s="24">
        <f t="shared" si="39"/>
        <v>4</v>
      </c>
      <c r="AF18" s="24">
        <f t="shared" si="40"/>
        <v>0</v>
      </c>
      <c r="AG18" s="24">
        <f t="shared" si="41"/>
        <v>2</v>
      </c>
      <c r="AH18" s="24">
        <f t="shared" si="42"/>
        <v>2</v>
      </c>
      <c r="AI18" s="28">
        <f t="shared" si="43"/>
        <v>0</v>
      </c>
      <c r="AJ18" s="24">
        <v>3.0</v>
      </c>
      <c r="AK18" s="27">
        <f t="shared" si="6"/>
        <v>2.285714286</v>
      </c>
      <c r="AL18" s="24">
        <f t="shared" si="44"/>
        <v>4</v>
      </c>
      <c r="AM18" s="2">
        <f t="shared" si="45"/>
        <v>4</v>
      </c>
      <c r="AN18" s="24">
        <f t="shared" si="46"/>
        <v>3</v>
      </c>
      <c r="AO18" s="24">
        <f t="shared" si="47"/>
        <v>6</v>
      </c>
      <c r="AP18" s="24">
        <f t="shared" si="48"/>
        <v>5</v>
      </c>
      <c r="AQ18" s="24">
        <f t="shared" si="49"/>
        <v>0</v>
      </c>
      <c r="AR18" s="24">
        <f t="shared" si="50"/>
        <v>2</v>
      </c>
      <c r="AS18" s="24">
        <f t="shared" si="51"/>
        <v>2</v>
      </c>
      <c r="AT18" s="28">
        <f t="shared" si="52"/>
        <v>2</v>
      </c>
      <c r="AU18" s="26">
        <v>1.0</v>
      </c>
      <c r="AV18" s="27">
        <f t="shared" si="7"/>
        <v>2.571428571</v>
      </c>
      <c r="AW18" s="24">
        <f t="shared" si="53"/>
        <v>4</v>
      </c>
      <c r="AX18" s="2">
        <f t="shared" si="54"/>
        <v>3</v>
      </c>
      <c r="AY18" s="24">
        <f t="shared" si="55"/>
        <v>2</v>
      </c>
      <c r="AZ18" s="24">
        <f t="shared" si="56"/>
        <v>5</v>
      </c>
      <c r="BA18" s="24">
        <f t="shared" si="57"/>
        <v>4</v>
      </c>
      <c r="BB18" s="24">
        <f t="shared" si="58"/>
        <v>0</v>
      </c>
      <c r="BC18" s="24">
        <f t="shared" si="59"/>
        <v>2</v>
      </c>
      <c r="BD18" s="24">
        <f t="shared" si="60"/>
        <v>2</v>
      </c>
      <c r="BE18" s="28">
        <f t="shared" si="61"/>
        <v>1</v>
      </c>
      <c r="BF18" s="29">
        <f t="shared" ref="BF18:BO18" si="70">+(AK18+Z18+O18+D18)/4</f>
        <v>2.5</v>
      </c>
      <c r="BG18" s="24">
        <f t="shared" si="70"/>
        <v>4</v>
      </c>
      <c r="BH18" s="24">
        <f t="shared" si="70"/>
        <v>3.75</v>
      </c>
      <c r="BI18" s="24">
        <f t="shared" si="70"/>
        <v>2.5</v>
      </c>
      <c r="BJ18" s="24">
        <f t="shared" si="70"/>
        <v>5.5</v>
      </c>
      <c r="BK18" s="24">
        <f t="shared" si="70"/>
        <v>4.75</v>
      </c>
      <c r="BL18" s="24">
        <f t="shared" si="70"/>
        <v>0</v>
      </c>
      <c r="BM18" s="24">
        <f t="shared" si="70"/>
        <v>1.75</v>
      </c>
      <c r="BN18" s="24">
        <f t="shared" si="70"/>
        <v>2.25</v>
      </c>
      <c r="BO18" s="24">
        <f t="shared" si="70"/>
        <v>1.5</v>
      </c>
      <c r="BP18" s="30">
        <f t="shared" si="9"/>
        <v>0.07142857143</v>
      </c>
      <c r="BQ18" s="31">
        <f t="shared" si="10"/>
        <v>0</v>
      </c>
      <c r="BR18" s="31">
        <f t="shared" si="11"/>
        <v>0.2857142857</v>
      </c>
      <c r="BS18" s="31">
        <f t="shared" si="12"/>
        <v>0.2857142857</v>
      </c>
      <c r="BT18" s="31">
        <f t="shared" si="13"/>
        <v>0.1428571429</v>
      </c>
      <c r="BU18" s="31">
        <f t="shared" si="14"/>
        <v>0.2857142857</v>
      </c>
      <c r="BV18" s="31">
        <f t="shared" si="15"/>
        <v>1</v>
      </c>
      <c r="BW18" s="31">
        <f t="shared" ref="BW18:BX18" si="71">+BR18+BS18+BT18</f>
        <v>0.7142857143</v>
      </c>
      <c r="BX18" s="32">
        <f t="shared" si="71"/>
        <v>0.7142857143</v>
      </c>
      <c r="BY18" s="54"/>
    </row>
    <row r="19">
      <c r="A19" s="1"/>
      <c r="B19" s="33">
        <v>8.0</v>
      </c>
      <c r="C19" s="56">
        <v>1.0</v>
      </c>
      <c r="D19" s="3">
        <f t="shared" si="3"/>
        <v>2.875</v>
      </c>
      <c r="E19" s="2">
        <f t="shared" si="17"/>
        <v>4</v>
      </c>
      <c r="F19" s="2">
        <f t="shared" si="18"/>
        <v>5</v>
      </c>
      <c r="G19" s="2">
        <f t="shared" si="19"/>
        <v>3</v>
      </c>
      <c r="H19" s="2">
        <f t="shared" si="20"/>
        <v>6</v>
      </c>
      <c r="I19" s="2">
        <f t="shared" si="21"/>
        <v>6</v>
      </c>
      <c r="J19" s="2">
        <f t="shared" si="22"/>
        <v>0</v>
      </c>
      <c r="K19" s="2">
        <f t="shared" si="23"/>
        <v>1</v>
      </c>
      <c r="L19" s="2">
        <f t="shared" si="24"/>
        <v>3</v>
      </c>
      <c r="M19" s="34">
        <f t="shared" si="25"/>
        <v>2</v>
      </c>
      <c r="N19" s="2">
        <v>1.0</v>
      </c>
      <c r="O19" s="3">
        <f t="shared" si="4"/>
        <v>1.75</v>
      </c>
      <c r="P19" s="2">
        <f t="shared" si="26"/>
        <v>6</v>
      </c>
      <c r="Q19" s="2">
        <f t="shared" si="27"/>
        <v>4</v>
      </c>
      <c r="R19" s="2">
        <f t="shared" si="28"/>
        <v>2</v>
      </c>
      <c r="S19" s="2">
        <f t="shared" si="29"/>
        <v>8</v>
      </c>
      <c r="T19" s="2">
        <f t="shared" si="30"/>
        <v>4</v>
      </c>
      <c r="U19" s="2">
        <f t="shared" si="31"/>
        <v>0</v>
      </c>
      <c r="V19" s="2">
        <f t="shared" si="32"/>
        <v>4</v>
      </c>
      <c r="W19" s="2">
        <f t="shared" si="33"/>
        <v>2</v>
      </c>
      <c r="X19" s="34">
        <f t="shared" si="34"/>
        <v>2</v>
      </c>
      <c r="Y19" s="2">
        <v>2.0</v>
      </c>
      <c r="Z19" s="3">
        <f t="shared" si="5"/>
        <v>2.625</v>
      </c>
      <c r="AA19" s="2">
        <f t="shared" si="35"/>
        <v>5</v>
      </c>
      <c r="AB19" s="2">
        <f t="shared" si="36"/>
        <v>3</v>
      </c>
      <c r="AC19" s="2">
        <f t="shared" si="37"/>
        <v>2</v>
      </c>
      <c r="AD19" s="2">
        <f t="shared" si="38"/>
        <v>5</v>
      </c>
      <c r="AE19" s="2">
        <f t="shared" si="39"/>
        <v>5</v>
      </c>
      <c r="AF19" s="2">
        <f t="shared" si="40"/>
        <v>0</v>
      </c>
      <c r="AG19" s="2">
        <f t="shared" si="41"/>
        <v>2</v>
      </c>
      <c r="AH19" s="2">
        <f t="shared" si="42"/>
        <v>3</v>
      </c>
      <c r="AI19" s="34">
        <f t="shared" si="43"/>
        <v>0</v>
      </c>
      <c r="AJ19" s="56">
        <v>1.0</v>
      </c>
      <c r="AK19" s="3">
        <f t="shared" si="6"/>
        <v>2.125</v>
      </c>
      <c r="AL19" s="2">
        <f t="shared" si="44"/>
        <v>5</v>
      </c>
      <c r="AM19" s="2">
        <f t="shared" si="45"/>
        <v>4</v>
      </c>
      <c r="AN19" s="2">
        <f t="shared" si="46"/>
        <v>3</v>
      </c>
      <c r="AO19" s="2">
        <f t="shared" si="47"/>
        <v>7</v>
      </c>
      <c r="AP19" s="2">
        <f t="shared" si="48"/>
        <v>5</v>
      </c>
      <c r="AQ19" s="2">
        <f t="shared" si="49"/>
        <v>0</v>
      </c>
      <c r="AR19" s="2">
        <f t="shared" si="50"/>
        <v>3</v>
      </c>
      <c r="AS19" s="2">
        <f t="shared" si="51"/>
        <v>2</v>
      </c>
      <c r="AT19" s="34">
        <f t="shared" si="52"/>
        <v>2</v>
      </c>
      <c r="AU19" s="35">
        <v>1.0</v>
      </c>
      <c r="AV19" s="3">
        <f t="shared" si="7"/>
        <v>2.375</v>
      </c>
      <c r="AW19" s="2">
        <f t="shared" si="53"/>
        <v>5</v>
      </c>
      <c r="AX19" s="2">
        <f t="shared" si="54"/>
        <v>3</v>
      </c>
      <c r="AY19" s="2">
        <f t="shared" si="55"/>
        <v>2</v>
      </c>
      <c r="AZ19" s="2">
        <f t="shared" si="56"/>
        <v>6</v>
      </c>
      <c r="BA19" s="2">
        <f t="shared" si="57"/>
        <v>4</v>
      </c>
      <c r="BB19" s="2">
        <f t="shared" si="58"/>
        <v>0</v>
      </c>
      <c r="BC19" s="2">
        <f t="shared" si="59"/>
        <v>3</v>
      </c>
      <c r="BD19" s="2">
        <f t="shared" si="60"/>
        <v>2</v>
      </c>
      <c r="BE19" s="34">
        <f t="shared" si="61"/>
        <v>1</v>
      </c>
      <c r="BF19" s="36">
        <f t="shared" ref="BF19:BO19" si="72">+(AK19+Z19+O19+D19)/4</f>
        <v>2.34375</v>
      </c>
      <c r="BG19" s="2">
        <f t="shared" si="72"/>
        <v>5</v>
      </c>
      <c r="BH19" s="2">
        <f t="shared" si="72"/>
        <v>4</v>
      </c>
      <c r="BI19" s="2">
        <f t="shared" si="72"/>
        <v>2.5</v>
      </c>
      <c r="BJ19" s="2">
        <f t="shared" si="72"/>
        <v>6.5</v>
      </c>
      <c r="BK19" s="2">
        <f t="shared" si="72"/>
        <v>5</v>
      </c>
      <c r="BL19" s="2">
        <f t="shared" si="72"/>
        <v>0</v>
      </c>
      <c r="BM19" s="2">
        <f t="shared" si="72"/>
        <v>2.5</v>
      </c>
      <c r="BN19" s="2">
        <f t="shared" si="72"/>
        <v>2.5</v>
      </c>
      <c r="BO19" s="2">
        <f t="shared" si="72"/>
        <v>1.5</v>
      </c>
      <c r="BP19" s="37">
        <f t="shared" si="9"/>
        <v>0.03125</v>
      </c>
      <c r="BQ19" s="38">
        <f t="shared" si="10"/>
        <v>0</v>
      </c>
      <c r="BR19" s="38">
        <f t="shared" si="11"/>
        <v>0.375</v>
      </c>
      <c r="BS19" s="38">
        <f t="shared" si="12"/>
        <v>0.25</v>
      </c>
      <c r="BT19" s="38">
        <f t="shared" si="13"/>
        <v>0.125</v>
      </c>
      <c r="BU19" s="38">
        <f t="shared" si="14"/>
        <v>0.25</v>
      </c>
      <c r="BV19" s="38">
        <f t="shared" si="15"/>
        <v>1</v>
      </c>
      <c r="BW19" s="38">
        <f t="shared" ref="BW19:BX19" si="73">+BR19+BS19+BT19</f>
        <v>0.75</v>
      </c>
      <c r="BX19" s="39">
        <f t="shared" si="73"/>
        <v>0.625</v>
      </c>
      <c r="BY19" s="1"/>
    </row>
    <row r="20">
      <c r="A20" s="54"/>
      <c r="B20" s="40">
        <v>9.0</v>
      </c>
      <c r="C20" s="24">
        <v>1.0</v>
      </c>
      <c r="D20" s="27">
        <f t="shared" si="3"/>
        <v>2.666666667</v>
      </c>
      <c r="E20" s="24">
        <f t="shared" si="17"/>
        <v>5</v>
      </c>
      <c r="F20" s="2">
        <f t="shared" si="18"/>
        <v>5</v>
      </c>
      <c r="G20" s="24">
        <f t="shared" si="19"/>
        <v>3</v>
      </c>
      <c r="H20" s="24">
        <f t="shared" si="20"/>
        <v>7</v>
      </c>
      <c r="I20" s="24">
        <f t="shared" si="21"/>
        <v>6</v>
      </c>
      <c r="J20" s="24">
        <f t="shared" si="22"/>
        <v>0</v>
      </c>
      <c r="K20" s="24">
        <f t="shared" si="23"/>
        <v>2</v>
      </c>
      <c r="L20" s="24">
        <f t="shared" si="24"/>
        <v>3</v>
      </c>
      <c r="M20" s="28">
        <f t="shared" si="25"/>
        <v>2</v>
      </c>
      <c r="N20" s="55">
        <v>2.0</v>
      </c>
      <c r="O20" s="27">
        <f t="shared" si="4"/>
        <v>1.777777778</v>
      </c>
      <c r="P20" s="24">
        <f t="shared" si="26"/>
        <v>7</v>
      </c>
      <c r="Q20" s="2">
        <f t="shared" si="27"/>
        <v>5</v>
      </c>
      <c r="R20" s="24">
        <f t="shared" si="28"/>
        <v>2</v>
      </c>
      <c r="S20" s="24">
        <f t="shared" si="29"/>
        <v>9</v>
      </c>
      <c r="T20" s="24">
        <f t="shared" si="30"/>
        <v>5</v>
      </c>
      <c r="U20" s="24">
        <f t="shared" si="31"/>
        <v>0</v>
      </c>
      <c r="V20" s="24">
        <f t="shared" si="32"/>
        <v>4</v>
      </c>
      <c r="W20" s="24">
        <f t="shared" si="33"/>
        <v>3</v>
      </c>
      <c r="X20" s="28">
        <f t="shared" si="34"/>
        <v>2</v>
      </c>
      <c r="Y20" s="55">
        <v>3.0</v>
      </c>
      <c r="Z20" s="27">
        <f t="shared" si="5"/>
        <v>2.666666667</v>
      </c>
      <c r="AA20" s="24">
        <f t="shared" si="35"/>
        <v>5</v>
      </c>
      <c r="AB20" s="2">
        <f t="shared" si="36"/>
        <v>4</v>
      </c>
      <c r="AC20" s="24">
        <f t="shared" si="37"/>
        <v>3</v>
      </c>
      <c r="AD20" s="24">
        <f t="shared" si="38"/>
        <v>6</v>
      </c>
      <c r="AE20" s="24">
        <f t="shared" si="39"/>
        <v>6</v>
      </c>
      <c r="AF20" s="24">
        <f t="shared" si="40"/>
        <v>0</v>
      </c>
      <c r="AG20" s="24">
        <f t="shared" si="41"/>
        <v>2</v>
      </c>
      <c r="AH20" s="24">
        <f t="shared" si="42"/>
        <v>3</v>
      </c>
      <c r="AI20" s="28">
        <f t="shared" si="43"/>
        <v>1</v>
      </c>
      <c r="AJ20" s="24">
        <v>4.0</v>
      </c>
      <c r="AK20" s="27">
        <f t="shared" si="6"/>
        <v>2.333333333</v>
      </c>
      <c r="AL20" s="24">
        <f t="shared" si="44"/>
        <v>5</v>
      </c>
      <c r="AM20" s="2">
        <f t="shared" si="45"/>
        <v>4</v>
      </c>
      <c r="AN20" s="24">
        <f t="shared" si="46"/>
        <v>4</v>
      </c>
      <c r="AO20" s="24">
        <f t="shared" si="47"/>
        <v>7</v>
      </c>
      <c r="AP20" s="24">
        <f t="shared" si="48"/>
        <v>6</v>
      </c>
      <c r="AQ20" s="24">
        <f t="shared" si="49"/>
        <v>0</v>
      </c>
      <c r="AR20" s="24">
        <f t="shared" si="50"/>
        <v>3</v>
      </c>
      <c r="AS20" s="24">
        <f t="shared" si="51"/>
        <v>2</v>
      </c>
      <c r="AT20" s="28">
        <f t="shared" si="52"/>
        <v>2</v>
      </c>
      <c r="AU20" s="24">
        <v>3.0</v>
      </c>
      <c r="AV20" s="27">
        <f t="shared" si="7"/>
        <v>2.444444444</v>
      </c>
      <c r="AW20" s="24">
        <f t="shared" si="53"/>
        <v>5</v>
      </c>
      <c r="AX20" s="2">
        <f t="shared" si="54"/>
        <v>4</v>
      </c>
      <c r="AY20" s="24">
        <f t="shared" si="55"/>
        <v>3</v>
      </c>
      <c r="AZ20" s="24">
        <f t="shared" si="56"/>
        <v>7</v>
      </c>
      <c r="BA20" s="24">
        <f t="shared" si="57"/>
        <v>5</v>
      </c>
      <c r="BB20" s="24">
        <f t="shared" si="58"/>
        <v>0</v>
      </c>
      <c r="BC20" s="24">
        <f t="shared" si="59"/>
        <v>3</v>
      </c>
      <c r="BD20" s="24">
        <f t="shared" si="60"/>
        <v>2</v>
      </c>
      <c r="BE20" s="28">
        <f t="shared" si="61"/>
        <v>2</v>
      </c>
      <c r="BF20" s="29">
        <f t="shared" ref="BF20:BO20" si="74">+(AK20+Z20+O20+D20)/4</f>
        <v>2.361111111</v>
      </c>
      <c r="BG20" s="24">
        <f t="shared" si="74"/>
        <v>5.5</v>
      </c>
      <c r="BH20" s="24">
        <f t="shared" si="74"/>
        <v>4.5</v>
      </c>
      <c r="BI20" s="24">
        <f t="shared" si="74"/>
        <v>3</v>
      </c>
      <c r="BJ20" s="24">
        <f t="shared" si="74"/>
        <v>7.25</v>
      </c>
      <c r="BK20" s="24">
        <f t="shared" si="74"/>
        <v>5.75</v>
      </c>
      <c r="BL20" s="24">
        <f t="shared" si="74"/>
        <v>0</v>
      </c>
      <c r="BM20" s="24">
        <f t="shared" si="74"/>
        <v>2.75</v>
      </c>
      <c r="BN20" s="24">
        <f t="shared" si="74"/>
        <v>2.75</v>
      </c>
      <c r="BO20" s="24">
        <f t="shared" si="74"/>
        <v>1.75</v>
      </c>
      <c r="BP20" s="30">
        <f t="shared" si="9"/>
        <v>0.08333333333</v>
      </c>
      <c r="BQ20" s="31">
        <f t="shared" si="10"/>
        <v>0</v>
      </c>
      <c r="BR20" s="31">
        <f t="shared" si="11"/>
        <v>0.3333333333</v>
      </c>
      <c r="BS20" s="31">
        <f t="shared" si="12"/>
        <v>0.2222222222</v>
      </c>
      <c r="BT20" s="31">
        <f t="shared" si="13"/>
        <v>0.2222222222</v>
      </c>
      <c r="BU20" s="31">
        <f t="shared" si="14"/>
        <v>0.2222222222</v>
      </c>
      <c r="BV20" s="31">
        <f t="shared" si="15"/>
        <v>1</v>
      </c>
      <c r="BW20" s="31">
        <f t="shared" ref="BW20:BX20" si="75">+BR20+BS20+BT20</f>
        <v>0.7777777778</v>
      </c>
      <c r="BX20" s="32">
        <f t="shared" si="75"/>
        <v>0.6666666667</v>
      </c>
      <c r="BY20" s="54"/>
    </row>
    <row r="21">
      <c r="A21" s="1"/>
      <c r="B21" s="42">
        <v>10.0</v>
      </c>
      <c r="C21" s="57">
        <v>2.0</v>
      </c>
      <c r="D21" s="3">
        <f t="shared" si="3"/>
        <v>2.6</v>
      </c>
      <c r="E21" s="43">
        <f t="shared" si="17"/>
        <v>6</v>
      </c>
      <c r="F21" s="2">
        <f t="shared" si="18"/>
        <v>6</v>
      </c>
      <c r="G21" s="43">
        <f t="shared" si="19"/>
        <v>3</v>
      </c>
      <c r="H21" s="43">
        <f t="shared" si="20"/>
        <v>8</v>
      </c>
      <c r="I21" s="43">
        <f t="shared" si="21"/>
        <v>7</v>
      </c>
      <c r="J21" s="43">
        <f t="shared" si="22"/>
        <v>0</v>
      </c>
      <c r="K21" s="43">
        <f t="shared" si="23"/>
        <v>2</v>
      </c>
      <c r="L21" s="43">
        <f t="shared" si="24"/>
        <v>4</v>
      </c>
      <c r="M21" s="44">
        <f t="shared" si="25"/>
        <v>2</v>
      </c>
      <c r="N21" s="43">
        <v>2.0</v>
      </c>
      <c r="O21" s="3">
        <f t="shared" si="4"/>
        <v>1.8</v>
      </c>
      <c r="P21" s="43">
        <f t="shared" si="26"/>
        <v>8</v>
      </c>
      <c r="Q21" s="2">
        <f t="shared" si="27"/>
        <v>6</v>
      </c>
      <c r="R21" s="43">
        <f t="shared" si="28"/>
        <v>2</v>
      </c>
      <c r="S21" s="43">
        <f t="shared" si="29"/>
        <v>10</v>
      </c>
      <c r="T21" s="43">
        <f t="shared" si="30"/>
        <v>6</v>
      </c>
      <c r="U21" s="43">
        <f t="shared" si="31"/>
        <v>0</v>
      </c>
      <c r="V21" s="43">
        <f t="shared" si="32"/>
        <v>4</v>
      </c>
      <c r="W21" s="43">
        <f t="shared" si="33"/>
        <v>4</v>
      </c>
      <c r="X21" s="44">
        <f t="shared" si="34"/>
        <v>2</v>
      </c>
      <c r="Y21" s="43">
        <v>1.0</v>
      </c>
      <c r="Z21" s="3">
        <f t="shared" si="5"/>
        <v>2.5</v>
      </c>
      <c r="AA21" s="43">
        <f t="shared" si="35"/>
        <v>6</v>
      </c>
      <c r="AB21" s="2">
        <f t="shared" si="36"/>
        <v>4</v>
      </c>
      <c r="AC21" s="43">
        <f t="shared" si="37"/>
        <v>3</v>
      </c>
      <c r="AD21" s="43">
        <f t="shared" si="38"/>
        <v>7</v>
      </c>
      <c r="AE21" s="43">
        <f t="shared" si="39"/>
        <v>6</v>
      </c>
      <c r="AF21" s="43">
        <f t="shared" si="40"/>
        <v>0</v>
      </c>
      <c r="AG21" s="43">
        <f t="shared" si="41"/>
        <v>3</v>
      </c>
      <c r="AH21" s="43">
        <f t="shared" si="42"/>
        <v>3</v>
      </c>
      <c r="AI21" s="44">
        <f t="shared" si="43"/>
        <v>1</v>
      </c>
      <c r="AJ21" s="57">
        <v>3.0</v>
      </c>
      <c r="AK21" s="3">
        <f t="shared" si="6"/>
        <v>2.4</v>
      </c>
      <c r="AL21" s="43">
        <f t="shared" si="44"/>
        <v>5</v>
      </c>
      <c r="AM21" s="2">
        <f t="shared" si="45"/>
        <v>5</v>
      </c>
      <c r="AN21" s="43">
        <f t="shared" si="46"/>
        <v>5</v>
      </c>
      <c r="AO21" s="43">
        <f t="shared" si="47"/>
        <v>8</v>
      </c>
      <c r="AP21" s="43">
        <f t="shared" si="48"/>
        <v>7</v>
      </c>
      <c r="AQ21" s="43">
        <f t="shared" si="49"/>
        <v>0</v>
      </c>
      <c r="AR21" s="43">
        <f t="shared" si="50"/>
        <v>3</v>
      </c>
      <c r="AS21" s="43">
        <f t="shared" si="51"/>
        <v>2</v>
      </c>
      <c r="AT21" s="44">
        <f t="shared" si="52"/>
        <v>3</v>
      </c>
      <c r="AU21" s="45">
        <v>2.0</v>
      </c>
      <c r="AV21" s="3">
        <f t="shared" si="7"/>
        <v>2.4</v>
      </c>
      <c r="AW21" s="43">
        <f t="shared" si="53"/>
        <v>6</v>
      </c>
      <c r="AX21" s="2">
        <f t="shared" si="54"/>
        <v>5</v>
      </c>
      <c r="AY21" s="43">
        <f t="shared" si="55"/>
        <v>3</v>
      </c>
      <c r="AZ21" s="43">
        <f t="shared" si="56"/>
        <v>8</v>
      </c>
      <c r="BA21" s="43">
        <f t="shared" si="57"/>
        <v>6</v>
      </c>
      <c r="BB21" s="43">
        <f t="shared" si="58"/>
        <v>0</v>
      </c>
      <c r="BC21" s="43">
        <f t="shared" si="59"/>
        <v>3</v>
      </c>
      <c r="BD21" s="43">
        <f t="shared" si="60"/>
        <v>3</v>
      </c>
      <c r="BE21" s="44">
        <f t="shared" si="61"/>
        <v>2</v>
      </c>
      <c r="BF21" s="46">
        <f t="shared" ref="BF21:BO21" si="76">+(AK21+Z21+O21+D21)/4</f>
        <v>2.325</v>
      </c>
      <c r="BG21" s="43">
        <f t="shared" si="76"/>
        <v>6.25</v>
      </c>
      <c r="BH21" s="43">
        <f t="shared" si="76"/>
        <v>5.25</v>
      </c>
      <c r="BI21" s="43">
        <f t="shared" si="76"/>
        <v>3.25</v>
      </c>
      <c r="BJ21" s="43">
        <f t="shared" si="76"/>
        <v>8.25</v>
      </c>
      <c r="BK21" s="43">
        <f t="shared" si="76"/>
        <v>6.5</v>
      </c>
      <c r="BL21" s="43">
        <f t="shared" si="76"/>
        <v>0</v>
      </c>
      <c r="BM21" s="43">
        <f t="shared" si="76"/>
        <v>3</v>
      </c>
      <c r="BN21" s="43">
        <f t="shared" si="76"/>
        <v>3.25</v>
      </c>
      <c r="BO21" s="43">
        <f t="shared" si="76"/>
        <v>2</v>
      </c>
      <c r="BP21" s="37">
        <f t="shared" si="9"/>
        <v>0.075</v>
      </c>
      <c r="BQ21" s="38">
        <f t="shared" si="10"/>
        <v>0</v>
      </c>
      <c r="BR21" s="38">
        <f t="shared" si="11"/>
        <v>0.3</v>
      </c>
      <c r="BS21" s="38">
        <f t="shared" si="12"/>
        <v>0.3</v>
      </c>
      <c r="BT21" s="38">
        <f t="shared" si="13"/>
        <v>0.2</v>
      </c>
      <c r="BU21" s="38">
        <f t="shared" si="14"/>
        <v>0.2</v>
      </c>
      <c r="BV21" s="38">
        <f t="shared" si="15"/>
        <v>1</v>
      </c>
      <c r="BW21" s="38">
        <f t="shared" ref="BW21:BX21" si="77">+BR21+BS21+BT21</f>
        <v>0.8</v>
      </c>
      <c r="BX21" s="39">
        <f t="shared" si="77"/>
        <v>0.7</v>
      </c>
      <c r="BY21" s="1"/>
    </row>
    <row r="22">
      <c r="A22" s="54"/>
      <c r="B22" s="40">
        <v>11.0</v>
      </c>
      <c r="C22" s="24">
        <v>2.0</v>
      </c>
      <c r="D22" s="27">
        <f t="shared" si="3"/>
        <v>2.545454545</v>
      </c>
      <c r="E22" s="24">
        <f t="shared" si="17"/>
        <v>7</v>
      </c>
      <c r="F22" s="2">
        <f t="shared" si="18"/>
        <v>7</v>
      </c>
      <c r="G22" s="24">
        <f t="shared" si="19"/>
        <v>3</v>
      </c>
      <c r="H22" s="24">
        <f t="shared" si="20"/>
        <v>9</v>
      </c>
      <c r="I22" s="24">
        <f t="shared" si="21"/>
        <v>8</v>
      </c>
      <c r="J22" s="24">
        <f t="shared" si="22"/>
        <v>0</v>
      </c>
      <c r="K22" s="24">
        <f t="shared" si="23"/>
        <v>2</v>
      </c>
      <c r="L22" s="24">
        <f t="shared" si="24"/>
        <v>5</v>
      </c>
      <c r="M22" s="28">
        <f t="shared" si="25"/>
        <v>2</v>
      </c>
      <c r="N22" s="55">
        <v>4.0</v>
      </c>
      <c r="O22" s="27">
        <f t="shared" si="4"/>
        <v>2</v>
      </c>
      <c r="P22" s="24">
        <f t="shared" si="26"/>
        <v>8</v>
      </c>
      <c r="Q22" s="2">
        <f t="shared" si="27"/>
        <v>6</v>
      </c>
      <c r="R22" s="24">
        <f t="shared" si="28"/>
        <v>3</v>
      </c>
      <c r="S22" s="24">
        <f t="shared" si="29"/>
        <v>10</v>
      </c>
      <c r="T22" s="24">
        <f t="shared" si="30"/>
        <v>7</v>
      </c>
      <c r="U22" s="24">
        <f t="shared" si="31"/>
        <v>0</v>
      </c>
      <c r="V22" s="24">
        <f t="shared" si="32"/>
        <v>4</v>
      </c>
      <c r="W22" s="24">
        <f t="shared" si="33"/>
        <v>4</v>
      </c>
      <c r="X22" s="28">
        <f t="shared" si="34"/>
        <v>2</v>
      </c>
      <c r="Y22" s="55">
        <v>2.0</v>
      </c>
      <c r="Z22" s="27">
        <f t="shared" si="5"/>
        <v>2.454545455</v>
      </c>
      <c r="AA22" s="24">
        <f t="shared" si="35"/>
        <v>7</v>
      </c>
      <c r="AB22" s="2">
        <f t="shared" si="36"/>
        <v>5</v>
      </c>
      <c r="AC22" s="24">
        <f t="shared" si="37"/>
        <v>3</v>
      </c>
      <c r="AD22" s="24">
        <f t="shared" si="38"/>
        <v>8</v>
      </c>
      <c r="AE22" s="24">
        <f t="shared" si="39"/>
        <v>7</v>
      </c>
      <c r="AF22" s="24">
        <f t="shared" si="40"/>
        <v>0</v>
      </c>
      <c r="AG22" s="24">
        <f t="shared" si="41"/>
        <v>3</v>
      </c>
      <c r="AH22" s="24">
        <f t="shared" si="42"/>
        <v>4</v>
      </c>
      <c r="AI22" s="28">
        <f t="shared" si="43"/>
        <v>1</v>
      </c>
      <c r="AJ22" s="24">
        <v>1.0</v>
      </c>
      <c r="AK22" s="27">
        <f t="shared" si="6"/>
        <v>2.272727273</v>
      </c>
      <c r="AL22" s="24">
        <f t="shared" si="44"/>
        <v>6</v>
      </c>
      <c r="AM22" s="2">
        <f t="shared" si="45"/>
        <v>5</v>
      </c>
      <c r="AN22" s="24">
        <f t="shared" si="46"/>
        <v>5</v>
      </c>
      <c r="AO22" s="24">
        <f t="shared" si="47"/>
        <v>9</v>
      </c>
      <c r="AP22" s="24">
        <f t="shared" si="48"/>
        <v>7</v>
      </c>
      <c r="AQ22" s="24">
        <f t="shared" si="49"/>
        <v>0</v>
      </c>
      <c r="AR22" s="24">
        <f t="shared" si="50"/>
        <v>4</v>
      </c>
      <c r="AS22" s="24">
        <f t="shared" si="51"/>
        <v>2</v>
      </c>
      <c r="AT22" s="28">
        <f t="shared" si="52"/>
        <v>3</v>
      </c>
      <c r="AU22" s="24">
        <v>2.0</v>
      </c>
      <c r="AV22" s="27">
        <f t="shared" si="7"/>
        <v>2.363636364</v>
      </c>
      <c r="AW22" s="24">
        <f t="shared" si="53"/>
        <v>7</v>
      </c>
      <c r="AX22" s="2">
        <f t="shared" si="54"/>
        <v>6</v>
      </c>
      <c r="AY22" s="24">
        <f t="shared" si="55"/>
        <v>3</v>
      </c>
      <c r="AZ22" s="24">
        <f t="shared" si="56"/>
        <v>9</v>
      </c>
      <c r="BA22" s="24">
        <f t="shared" si="57"/>
        <v>7</v>
      </c>
      <c r="BB22" s="24">
        <f t="shared" si="58"/>
        <v>0</v>
      </c>
      <c r="BC22" s="24">
        <f t="shared" si="59"/>
        <v>3</v>
      </c>
      <c r="BD22" s="24">
        <f t="shared" si="60"/>
        <v>4</v>
      </c>
      <c r="BE22" s="28">
        <f t="shared" si="61"/>
        <v>2</v>
      </c>
      <c r="BF22" s="29">
        <f t="shared" ref="BF22:BO22" si="78">+(AK22+Z22+O22+D22)/4</f>
        <v>2.318181818</v>
      </c>
      <c r="BG22" s="24">
        <f t="shared" si="78"/>
        <v>7</v>
      </c>
      <c r="BH22" s="24">
        <f t="shared" si="78"/>
        <v>5.75</v>
      </c>
      <c r="BI22" s="24">
        <f t="shared" si="78"/>
        <v>3.5</v>
      </c>
      <c r="BJ22" s="24">
        <f t="shared" si="78"/>
        <v>9</v>
      </c>
      <c r="BK22" s="24">
        <f t="shared" si="78"/>
        <v>7.25</v>
      </c>
      <c r="BL22" s="24">
        <f t="shared" si="78"/>
        <v>0</v>
      </c>
      <c r="BM22" s="24">
        <f t="shared" si="78"/>
        <v>3.25</v>
      </c>
      <c r="BN22" s="24">
        <f t="shared" si="78"/>
        <v>3.75</v>
      </c>
      <c r="BO22" s="24">
        <f t="shared" si="78"/>
        <v>2</v>
      </c>
      <c r="BP22" s="30">
        <f t="shared" si="9"/>
        <v>0.04545454545</v>
      </c>
      <c r="BQ22" s="31">
        <f t="shared" si="10"/>
        <v>0</v>
      </c>
      <c r="BR22" s="31">
        <f t="shared" si="11"/>
        <v>0.2727272727</v>
      </c>
      <c r="BS22" s="31">
        <f t="shared" si="12"/>
        <v>0.3636363636</v>
      </c>
      <c r="BT22" s="31">
        <f t="shared" si="13"/>
        <v>0.1818181818</v>
      </c>
      <c r="BU22" s="31">
        <f t="shared" si="14"/>
        <v>0.1818181818</v>
      </c>
      <c r="BV22" s="31">
        <f t="shared" si="15"/>
        <v>1</v>
      </c>
      <c r="BW22" s="31">
        <f t="shared" ref="BW22:BX22" si="79">+BR22+BS22+BT22</f>
        <v>0.8181818182</v>
      </c>
      <c r="BX22" s="32">
        <f t="shared" si="79"/>
        <v>0.7272727273</v>
      </c>
      <c r="BY22" s="54"/>
    </row>
    <row r="23">
      <c r="A23" s="1"/>
      <c r="B23" s="33">
        <v>12.0</v>
      </c>
      <c r="C23" s="56">
        <v>1.0</v>
      </c>
      <c r="D23" s="3">
        <f t="shared" si="3"/>
        <v>2.416666667</v>
      </c>
      <c r="E23" s="2">
        <f t="shared" si="17"/>
        <v>8</v>
      </c>
      <c r="F23" s="2">
        <f t="shared" si="18"/>
        <v>7</v>
      </c>
      <c r="G23" s="2">
        <f t="shared" si="19"/>
        <v>3</v>
      </c>
      <c r="H23" s="2">
        <f t="shared" si="20"/>
        <v>10</v>
      </c>
      <c r="I23" s="2">
        <f t="shared" si="21"/>
        <v>8</v>
      </c>
      <c r="J23" s="2">
        <f t="shared" si="22"/>
        <v>0</v>
      </c>
      <c r="K23" s="2">
        <f t="shared" si="23"/>
        <v>3</v>
      </c>
      <c r="L23" s="2">
        <f t="shared" si="24"/>
        <v>5</v>
      </c>
      <c r="M23" s="34">
        <f t="shared" si="25"/>
        <v>2</v>
      </c>
      <c r="N23" s="2">
        <v>3.0</v>
      </c>
      <c r="O23" s="3">
        <f t="shared" si="4"/>
        <v>2.083333333</v>
      </c>
      <c r="P23" s="2">
        <f t="shared" si="26"/>
        <v>8</v>
      </c>
      <c r="Q23" s="2">
        <f t="shared" si="27"/>
        <v>7</v>
      </c>
      <c r="R23" s="2">
        <f t="shared" si="28"/>
        <v>4</v>
      </c>
      <c r="S23" s="2">
        <f t="shared" si="29"/>
        <v>11</v>
      </c>
      <c r="T23" s="2">
        <f t="shared" si="30"/>
        <v>8</v>
      </c>
      <c r="U23" s="2">
        <f t="shared" si="31"/>
        <v>0</v>
      </c>
      <c r="V23" s="2">
        <f t="shared" si="32"/>
        <v>4</v>
      </c>
      <c r="W23" s="2">
        <f t="shared" si="33"/>
        <v>4</v>
      </c>
      <c r="X23" s="34">
        <f t="shared" si="34"/>
        <v>3</v>
      </c>
      <c r="Y23" s="2">
        <v>2.0</v>
      </c>
      <c r="Z23" s="3">
        <f t="shared" si="5"/>
        <v>2.416666667</v>
      </c>
      <c r="AA23" s="2">
        <f t="shared" si="35"/>
        <v>8</v>
      </c>
      <c r="AB23" s="2">
        <f t="shared" si="36"/>
        <v>6</v>
      </c>
      <c r="AC23" s="2">
        <f t="shared" si="37"/>
        <v>3</v>
      </c>
      <c r="AD23" s="2">
        <f t="shared" si="38"/>
        <v>9</v>
      </c>
      <c r="AE23" s="2">
        <f t="shared" si="39"/>
        <v>8</v>
      </c>
      <c r="AF23" s="2">
        <f t="shared" si="40"/>
        <v>0</v>
      </c>
      <c r="AG23" s="2">
        <f t="shared" si="41"/>
        <v>3</v>
      </c>
      <c r="AH23" s="2">
        <f t="shared" si="42"/>
        <v>5</v>
      </c>
      <c r="AI23" s="34">
        <f t="shared" si="43"/>
        <v>1</v>
      </c>
      <c r="AJ23" s="2">
        <v>1.0</v>
      </c>
      <c r="AK23" s="3">
        <f t="shared" si="6"/>
        <v>2.166666667</v>
      </c>
      <c r="AL23" s="2">
        <f t="shared" si="44"/>
        <v>7</v>
      </c>
      <c r="AM23" s="2">
        <f t="shared" si="45"/>
        <v>5</v>
      </c>
      <c r="AN23" s="2">
        <f t="shared" si="46"/>
        <v>5</v>
      </c>
      <c r="AO23" s="2">
        <f t="shared" si="47"/>
        <v>10</v>
      </c>
      <c r="AP23" s="2">
        <f t="shared" si="48"/>
        <v>7</v>
      </c>
      <c r="AQ23" s="2">
        <f t="shared" si="49"/>
        <v>0</v>
      </c>
      <c r="AR23" s="2">
        <f t="shared" si="50"/>
        <v>5</v>
      </c>
      <c r="AS23" s="2">
        <f t="shared" si="51"/>
        <v>2</v>
      </c>
      <c r="AT23" s="34">
        <f t="shared" si="52"/>
        <v>3</v>
      </c>
      <c r="AU23" s="2">
        <v>0.0</v>
      </c>
      <c r="AV23" s="3">
        <f t="shared" si="7"/>
        <v>2.166666667</v>
      </c>
      <c r="AW23" s="2">
        <f t="shared" si="53"/>
        <v>7</v>
      </c>
      <c r="AX23" s="2">
        <f t="shared" si="54"/>
        <v>6</v>
      </c>
      <c r="AY23" s="2">
        <f t="shared" si="55"/>
        <v>3</v>
      </c>
      <c r="AZ23" s="2">
        <f t="shared" si="56"/>
        <v>9</v>
      </c>
      <c r="BA23" s="2">
        <f t="shared" si="57"/>
        <v>7</v>
      </c>
      <c r="BB23" s="2">
        <f t="shared" si="58"/>
        <v>1</v>
      </c>
      <c r="BC23" s="2">
        <f t="shared" si="59"/>
        <v>3</v>
      </c>
      <c r="BD23" s="2">
        <f t="shared" si="60"/>
        <v>4</v>
      </c>
      <c r="BE23" s="34">
        <f t="shared" si="61"/>
        <v>2</v>
      </c>
      <c r="BF23" s="36">
        <f t="shared" ref="BF23:BO23" si="80">+(AK23+Z23+O23+D23)/4</f>
        <v>2.270833333</v>
      </c>
      <c r="BG23" s="2">
        <f t="shared" si="80"/>
        <v>7.75</v>
      </c>
      <c r="BH23" s="2">
        <f t="shared" si="80"/>
        <v>6.25</v>
      </c>
      <c r="BI23" s="2">
        <f t="shared" si="80"/>
        <v>3.75</v>
      </c>
      <c r="BJ23" s="2">
        <f t="shared" si="80"/>
        <v>10</v>
      </c>
      <c r="BK23" s="2">
        <f t="shared" si="80"/>
        <v>7.75</v>
      </c>
      <c r="BL23" s="2">
        <f t="shared" si="80"/>
        <v>0</v>
      </c>
      <c r="BM23" s="2">
        <f t="shared" si="80"/>
        <v>3.75</v>
      </c>
      <c r="BN23" s="2">
        <f t="shared" si="80"/>
        <v>4</v>
      </c>
      <c r="BO23" s="2">
        <f t="shared" si="80"/>
        <v>2.25</v>
      </c>
      <c r="BP23" s="37">
        <f t="shared" si="9"/>
        <v>-0.1041666667</v>
      </c>
      <c r="BQ23" s="38">
        <f t="shared" si="10"/>
        <v>0.08333333333</v>
      </c>
      <c r="BR23" s="38">
        <f t="shared" si="11"/>
        <v>0.25</v>
      </c>
      <c r="BS23" s="38">
        <f t="shared" si="12"/>
        <v>0.3333333333</v>
      </c>
      <c r="BT23" s="38">
        <f t="shared" si="13"/>
        <v>0.1666666667</v>
      </c>
      <c r="BU23" s="38">
        <f t="shared" si="14"/>
        <v>0.1666666667</v>
      </c>
      <c r="BV23" s="38">
        <f t="shared" si="15"/>
        <v>0.9166666667</v>
      </c>
      <c r="BW23" s="38">
        <f t="shared" ref="BW23:BX23" si="81">+BR23+BS23+BT23</f>
        <v>0.75</v>
      </c>
      <c r="BX23" s="39">
        <f t="shared" si="81"/>
        <v>0.6666666667</v>
      </c>
      <c r="BY23" s="1"/>
    </row>
    <row r="24">
      <c r="A24" s="54"/>
      <c r="B24" s="40">
        <v>13.0</v>
      </c>
      <c r="C24" s="24">
        <v>3.0</v>
      </c>
      <c r="D24" s="27">
        <f t="shared" si="3"/>
        <v>2.461538462</v>
      </c>
      <c r="E24" s="24">
        <f t="shared" si="17"/>
        <v>8</v>
      </c>
      <c r="F24" s="2">
        <f t="shared" si="18"/>
        <v>8</v>
      </c>
      <c r="G24" s="24">
        <f t="shared" si="19"/>
        <v>4</v>
      </c>
      <c r="H24" s="24">
        <f t="shared" si="20"/>
        <v>11</v>
      </c>
      <c r="I24" s="24">
        <f t="shared" si="21"/>
        <v>9</v>
      </c>
      <c r="J24" s="24">
        <f t="shared" si="22"/>
        <v>0</v>
      </c>
      <c r="K24" s="24">
        <f t="shared" si="23"/>
        <v>3</v>
      </c>
      <c r="L24" s="24">
        <f t="shared" si="24"/>
        <v>5</v>
      </c>
      <c r="M24" s="28">
        <f t="shared" si="25"/>
        <v>3</v>
      </c>
      <c r="N24" s="55">
        <v>0.0</v>
      </c>
      <c r="O24" s="27">
        <f t="shared" si="4"/>
        <v>1.923076923</v>
      </c>
      <c r="P24" s="24">
        <f t="shared" si="26"/>
        <v>8</v>
      </c>
      <c r="Q24" s="2">
        <f t="shared" si="27"/>
        <v>7</v>
      </c>
      <c r="R24" s="24">
        <f t="shared" si="28"/>
        <v>4</v>
      </c>
      <c r="S24" s="24">
        <f t="shared" si="29"/>
        <v>11</v>
      </c>
      <c r="T24" s="24">
        <f t="shared" si="30"/>
        <v>8</v>
      </c>
      <c r="U24" s="24">
        <f t="shared" si="31"/>
        <v>1</v>
      </c>
      <c r="V24" s="24">
        <f t="shared" si="32"/>
        <v>4</v>
      </c>
      <c r="W24" s="24">
        <f t="shared" si="33"/>
        <v>4</v>
      </c>
      <c r="X24" s="28">
        <f t="shared" si="34"/>
        <v>3</v>
      </c>
      <c r="Y24" s="55">
        <v>1.0</v>
      </c>
      <c r="Z24" s="27">
        <f t="shared" si="5"/>
        <v>2.307692308</v>
      </c>
      <c r="AA24" s="24">
        <f t="shared" si="35"/>
        <v>9</v>
      </c>
      <c r="AB24" s="2">
        <f t="shared" si="36"/>
        <v>6</v>
      </c>
      <c r="AC24" s="24">
        <f t="shared" si="37"/>
        <v>3</v>
      </c>
      <c r="AD24" s="24">
        <f t="shared" si="38"/>
        <v>10</v>
      </c>
      <c r="AE24" s="24">
        <f t="shared" si="39"/>
        <v>8</v>
      </c>
      <c r="AF24" s="24">
        <f t="shared" si="40"/>
        <v>0</v>
      </c>
      <c r="AG24" s="24">
        <f t="shared" si="41"/>
        <v>4</v>
      </c>
      <c r="AH24" s="24">
        <f t="shared" si="42"/>
        <v>5</v>
      </c>
      <c r="AI24" s="28">
        <f t="shared" si="43"/>
        <v>1</v>
      </c>
      <c r="AJ24" s="55">
        <v>5.0</v>
      </c>
      <c r="AK24" s="27">
        <f t="shared" si="6"/>
        <v>2.384615385</v>
      </c>
      <c r="AL24" s="24">
        <f t="shared" si="44"/>
        <v>7</v>
      </c>
      <c r="AM24" s="2">
        <f t="shared" si="45"/>
        <v>5</v>
      </c>
      <c r="AN24" s="24">
        <f t="shared" si="46"/>
        <v>5</v>
      </c>
      <c r="AO24" s="24">
        <f t="shared" si="47"/>
        <v>10</v>
      </c>
      <c r="AP24" s="24">
        <f t="shared" si="48"/>
        <v>7</v>
      </c>
      <c r="AQ24" s="24">
        <f t="shared" si="49"/>
        <v>0</v>
      </c>
      <c r="AR24" s="24">
        <f t="shared" si="50"/>
        <v>5</v>
      </c>
      <c r="AS24" s="24">
        <f t="shared" si="51"/>
        <v>2</v>
      </c>
      <c r="AT24" s="28">
        <f t="shared" si="52"/>
        <v>3</v>
      </c>
      <c r="AU24" s="26">
        <v>2.0</v>
      </c>
      <c r="AV24" s="27">
        <f t="shared" si="7"/>
        <v>2.153846154</v>
      </c>
      <c r="AW24" s="24">
        <f t="shared" si="53"/>
        <v>8</v>
      </c>
      <c r="AX24" s="2">
        <f t="shared" si="54"/>
        <v>7</v>
      </c>
      <c r="AY24" s="24">
        <f t="shared" si="55"/>
        <v>3</v>
      </c>
      <c r="AZ24" s="24">
        <f t="shared" si="56"/>
        <v>10</v>
      </c>
      <c r="BA24" s="24">
        <f t="shared" si="57"/>
        <v>8</v>
      </c>
      <c r="BB24" s="24">
        <f t="shared" si="58"/>
        <v>1</v>
      </c>
      <c r="BC24" s="24">
        <f t="shared" si="59"/>
        <v>3</v>
      </c>
      <c r="BD24" s="24">
        <f t="shared" si="60"/>
        <v>5</v>
      </c>
      <c r="BE24" s="28">
        <f t="shared" si="61"/>
        <v>2</v>
      </c>
      <c r="BF24" s="29">
        <f t="shared" ref="BF24:BO24" si="82">+(AK24+Z24+O24+D24)/4</f>
        <v>2.269230769</v>
      </c>
      <c r="BG24" s="24">
        <f t="shared" si="82"/>
        <v>8</v>
      </c>
      <c r="BH24" s="24">
        <f t="shared" si="82"/>
        <v>6.5</v>
      </c>
      <c r="BI24" s="24">
        <f t="shared" si="82"/>
        <v>4</v>
      </c>
      <c r="BJ24" s="24">
        <f t="shared" si="82"/>
        <v>10.5</v>
      </c>
      <c r="BK24" s="24">
        <f t="shared" si="82"/>
        <v>8</v>
      </c>
      <c r="BL24" s="24">
        <f t="shared" si="82"/>
        <v>0.25</v>
      </c>
      <c r="BM24" s="24">
        <f t="shared" si="82"/>
        <v>4</v>
      </c>
      <c r="BN24" s="24">
        <f t="shared" si="82"/>
        <v>4</v>
      </c>
      <c r="BO24" s="24">
        <f t="shared" si="82"/>
        <v>2.5</v>
      </c>
      <c r="BP24" s="30">
        <f t="shared" si="9"/>
        <v>-0.1153846154</v>
      </c>
      <c r="BQ24" s="31">
        <f t="shared" si="10"/>
        <v>0.07692307692</v>
      </c>
      <c r="BR24" s="31">
        <f t="shared" si="11"/>
        <v>0.2307692308</v>
      </c>
      <c r="BS24" s="31">
        <f t="shared" si="12"/>
        <v>0.3846153846</v>
      </c>
      <c r="BT24" s="31">
        <f t="shared" si="13"/>
        <v>0.1538461538</v>
      </c>
      <c r="BU24" s="31">
        <f t="shared" si="14"/>
        <v>0.1538461538</v>
      </c>
      <c r="BV24" s="31">
        <f t="shared" si="15"/>
        <v>0.9230769231</v>
      </c>
      <c r="BW24" s="31">
        <f t="shared" ref="BW24:BX24" si="83">+BR24+BS24+BT24</f>
        <v>0.7692307692</v>
      </c>
      <c r="BX24" s="32">
        <f t="shared" si="83"/>
        <v>0.6923076923</v>
      </c>
      <c r="BY24" s="54"/>
    </row>
    <row r="25">
      <c r="A25" s="1"/>
      <c r="B25" s="33">
        <v>14.0</v>
      </c>
      <c r="C25" s="56">
        <v>2.0</v>
      </c>
      <c r="D25" s="3">
        <f t="shared" si="3"/>
        <v>2.428571429</v>
      </c>
      <c r="E25" s="2">
        <f t="shared" si="17"/>
        <v>9</v>
      </c>
      <c r="F25" s="2">
        <f t="shared" si="18"/>
        <v>9</v>
      </c>
      <c r="G25" s="2">
        <f t="shared" si="19"/>
        <v>4</v>
      </c>
      <c r="H25" s="2">
        <f t="shared" si="20"/>
        <v>12</v>
      </c>
      <c r="I25" s="2">
        <f t="shared" si="21"/>
        <v>10</v>
      </c>
      <c r="J25" s="2">
        <f t="shared" si="22"/>
        <v>0</v>
      </c>
      <c r="K25" s="2">
        <f t="shared" si="23"/>
        <v>3</v>
      </c>
      <c r="L25" s="2">
        <f t="shared" si="24"/>
        <v>6</v>
      </c>
      <c r="M25" s="34">
        <f t="shared" si="25"/>
        <v>3</v>
      </c>
      <c r="N25" s="2">
        <v>6.0</v>
      </c>
      <c r="O25" s="3">
        <f t="shared" si="4"/>
        <v>2.214285714</v>
      </c>
      <c r="P25" s="2">
        <f t="shared" si="26"/>
        <v>8</v>
      </c>
      <c r="Q25" s="2">
        <f t="shared" si="27"/>
        <v>7</v>
      </c>
      <c r="R25" s="2">
        <f t="shared" si="28"/>
        <v>4</v>
      </c>
      <c r="S25" s="2">
        <f t="shared" si="29"/>
        <v>11</v>
      </c>
      <c r="T25" s="2">
        <f t="shared" si="30"/>
        <v>8</v>
      </c>
      <c r="U25" s="2">
        <f t="shared" si="31"/>
        <v>1</v>
      </c>
      <c r="V25" s="2">
        <f t="shared" si="32"/>
        <v>4</v>
      </c>
      <c r="W25" s="2">
        <f t="shared" si="33"/>
        <v>4</v>
      </c>
      <c r="X25" s="34">
        <f t="shared" si="34"/>
        <v>3</v>
      </c>
      <c r="Y25" s="56">
        <v>3.0</v>
      </c>
      <c r="Z25" s="3">
        <f t="shared" si="5"/>
        <v>2.357142857</v>
      </c>
      <c r="AA25" s="2">
        <f t="shared" si="35"/>
        <v>9</v>
      </c>
      <c r="AB25" s="2">
        <f t="shared" si="36"/>
        <v>7</v>
      </c>
      <c r="AC25" s="2">
        <f t="shared" si="37"/>
        <v>4</v>
      </c>
      <c r="AD25" s="2">
        <f t="shared" si="38"/>
        <v>11</v>
      </c>
      <c r="AE25" s="2">
        <f t="shared" si="39"/>
        <v>9</v>
      </c>
      <c r="AF25" s="2">
        <f t="shared" si="40"/>
        <v>0</v>
      </c>
      <c r="AG25" s="2">
        <f t="shared" si="41"/>
        <v>4</v>
      </c>
      <c r="AH25" s="2">
        <f t="shared" si="42"/>
        <v>5</v>
      </c>
      <c r="AI25" s="34">
        <f t="shared" si="43"/>
        <v>2</v>
      </c>
      <c r="AJ25" s="56">
        <v>3.0</v>
      </c>
      <c r="AK25" s="3">
        <f t="shared" si="6"/>
        <v>2.428571429</v>
      </c>
      <c r="AL25" s="2">
        <f t="shared" si="44"/>
        <v>7</v>
      </c>
      <c r="AM25" s="2">
        <f t="shared" si="45"/>
        <v>6</v>
      </c>
      <c r="AN25" s="2">
        <f t="shared" si="46"/>
        <v>6</v>
      </c>
      <c r="AO25" s="2">
        <f t="shared" si="47"/>
        <v>11</v>
      </c>
      <c r="AP25" s="2">
        <f t="shared" si="48"/>
        <v>8</v>
      </c>
      <c r="AQ25" s="2">
        <f t="shared" si="49"/>
        <v>0</v>
      </c>
      <c r="AR25" s="2">
        <f t="shared" si="50"/>
        <v>5</v>
      </c>
      <c r="AS25" s="2">
        <f t="shared" si="51"/>
        <v>2</v>
      </c>
      <c r="AT25" s="34">
        <f t="shared" si="52"/>
        <v>4</v>
      </c>
      <c r="AU25" s="2">
        <v>4.0</v>
      </c>
      <c r="AV25" s="3">
        <f t="shared" si="7"/>
        <v>2.285714286</v>
      </c>
      <c r="AW25" s="2">
        <f t="shared" si="53"/>
        <v>8</v>
      </c>
      <c r="AX25" s="2">
        <f t="shared" si="54"/>
        <v>7</v>
      </c>
      <c r="AY25" s="2">
        <f t="shared" si="55"/>
        <v>4</v>
      </c>
      <c r="AZ25" s="2">
        <f t="shared" si="56"/>
        <v>10</v>
      </c>
      <c r="BA25" s="2">
        <f t="shared" si="57"/>
        <v>9</v>
      </c>
      <c r="BB25" s="2">
        <f t="shared" si="58"/>
        <v>1</v>
      </c>
      <c r="BC25" s="2">
        <f t="shared" si="59"/>
        <v>3</v>
      </c>
      <c r="BD25" s="2">
        <f t="shared" si="60"/>
        <v>5</v>
      </c>
      <c r="BE25" s="34">
        <f t="shared" si="61"/>
        <v>2</v>
      </c>
      <c r="BF25" s="36">
        <f t="shared" ref="BF25:BO25" si="84">+(AK25+Z25+O25+D25)/4</f>
        <v>2.357142857</v>
      </c>
      <c r="BG25" s="2">
        <f t="shared" si="84"/>
        <v>8.25</v>
      </c>
      <c r="BH25" s="2">
        <f t="shared" si="84"/>
        <v>7.25</v>
      </c>
      <c r="BI25" s="2">
        <f t="shared" si="84"/>
        <v>4.5</v>
      </c>
      <c r="BJ25" s="2">
        <f t="shared" si="84"/>
        <v>11.25</v>
      </c>
      <c r="BK25" s="2">
        <f t="shared" si="84"/>
        <v>8.75</v>
      </c>
      <c r="BL25" s="2">
        <f t="shared" si="84"/>
        <v>0.25</v>
      </c>
      <c r="BM25" s="2">
        <f t="shared" si="84"/>
        <v>4</v>
      </c>
      <c r="BN25" s="2">
        <f t="shared" si="84"/>
        <v>4.25</v>
      </c>
      <c r="BO25" s="2">
        <f t="shared" si="84"/>
        <v>3</v>
      </c>
      <c r="BP25" s="37">
        <f t="shared" si="9"/>
        <v>-0.07142857143</v>
      </c>
      <c r="BQ25" s="38">
        <f t="shared" si="10"/>
        <v>0.07142857143</v>
      </c>
      <c r="BR25" s="38">
        <f t="shared" si="11"/>
        <v>0.2142857143</v>
      </c>
      <c r="BS25" s="38">
        <f t="shared" si="12"/>
        <v>0.3571428571</v>
      </c>
      <c r="BT25" s="38">
        <f t="shared" si="13"/>
        <v>0.1428571429</v>
      </c>
      <c r="BU25" s="38">
        <f t="shared" si="14"/>
        <v>0.2142857143</v>
      </c>
      <c r="BV25" s="38">
        <f t="shared" si="15"/>
        <v>0.9285714286</v>
      </c>
      <c r="BW25" s="38">
        <f t="shared" ref="BW25:BX25" si="85">+BR25+BS25+BT25</f>
        <v>0.7142857143</v>
      </c>
      <c r="BX25" s="39">
        <f t="shared" si="85"/>
        <v>0.7142857143</v>
      </c>
      <c r="BY25" s="1"/>
    </row>
    <row r="26">
      <c r="A26" s="54"/>
      <c r="B26" s="40">
        <v>15.0</v>
      </c>
      <c r="C26" s="24">
        <v>2.0</v>
      </c>
      <c r="D26" s="27">
        <f t="shared" si="3"/>
        <v>2.4</v>
      </c>
      <c r="E26" s="24">
        <f t="shared" si="17"/>
        <v>10</v>
      </c>
      <c r="F26" s="2">
        <f t="shared" si="18"/>
        <v>10</v>
      </c>
      <c r="G26" s="24">
        <f t="shared" si="19"/>
        <v>4</v>
      </c>
      <c r="H26" s="24">
        <f t="shared" si="20"/>
        <v>13</v>
      </c>
      <c r="I26" s="24">
        <f t="shared" si="21"/>
        <v>11</v>
      </c>
      <c r="J26" s="24">
        <f t="shared" si="22"/>
        <v>0</v>
      </c>
      <c r="K26" s="24">
        <f t="shared" si="23"/>
        <v>3</v>
      </c>
      <c r="L26" s="24">
        <f t="shared" si="24"/>
        <v>7</v>
      </c>
      <c r="M26" s="28">
        <f t="shared" si="25"/>
        <v>3</v>
      </c>
      <c r="N26" s="55">
        <v>3.0</v>
      </c>
      <c r="O26" s="27">
        <f t="shared" si="4"/>
        <v>2.266666667</v>
      </c>
      <c r="P26" s="24">
        <f t="shared" si="26"/>
        <v>8</v>
      </c>
      <c r="Q26" s="2">
        <f t="shared" si="27"/>
        <v>8</v>
      </c>
      <c r="R26" s="24">
        <f t="shared" si="28"/>
        <v>5</v>
      </c>
      <c r="S26" s="24">
        <f t="shared" si="29"/>
        <v>12</v>
      </c>
      <c r="T26" s="24">
        <f t="shared" si="30"/>
        <v>9</v>
      </c>
      <c r="U26" s="24">
        <f t="shared" si="31"/>
        <v>1</v>
      </c>
      <c r="V26" s="24">
        <f t="shared" si="32"/>
        <v>4</v>
      </c>
      <c r="W26" s="24">
        <f t="shared" si="33"/>
        <v>4</v>
      </c>
      <c r="X26" s="28">
        <f t="shared" si="34"/>
        <v>4</v>
      </c>
      <c r="Y26" s="24">
        <v>4.0</v>
      </c>
      <c r="Z26" s="27">
        <f t="shared" si="5"/>
        <v>2.466666667</v>
      </c>
      <c r="AA26" s="24">
        <f t="shared" si="35"/>
        <v>9</v>
      </c>
      <c r="AB26" s="2">
        <f t="shared" si="36"/>
        <v>7</v>
      </c>
      <c r="AC26" s="24">
        <f t="shared" si="37"/>
        <v>5</v>
      </c>
      <c r="AD26" s="24">
        <f t="shared" si="38"/>
        <v>11</v>
      </c>
      <c r="AE26" s="24">
        <f t="shared" si="39"/>
        <v>10</v>
      </c>
      <c r="AF26" s="24">
        <f t="shared" si="40"/>
        <v>0</v>
      </c>
      <c r="AG26" s="24">
        <f t="shared" si="41"/>
        <v>4</v>
      </c>
      <c r="AH26" s="24">
        <f t="shared" si="42"/>
        <v>5</v>
      </c>
      <c r="AI26" s="28">
        <f t="shared" si="43"/>
        <v>2</v>
      </c>
      <c r="AJ26" s="24">
        <v>6.0</v>
      </c>
      <c r="AK26" s="27">
        <f t="shared" si="6"/>
        <v>2.666666667</v>
      </c>
      <c r="AL26" s="24">
        <f t="shared" si="44"/>
        <v>7</v>
      </c>
      <c r="AM26" s="2">
        <f t="shared" si="45"/>
        <v>6</v>
      </c>
      <c r="AN26" s="24">
        <f t="shared" si="46"/>
        <v>6</v>
      </c>
      <c r="AO26" s="24">
        <f t="shared" si="47"/>
        <v>11</v>
      </c>
      <c r="AP26" s="24">
        <f t="shared" si="48"/>
        <v>8</v>
      </c>
      <c r="AQ26" s="24">
        <f t="shared" si="49"/>
        <v>0</v>
      </c>
      <c r="AR26" s="24">
        <f t="shared" si="50"/>
        <v>5</v>
      </c>
      <c r="AS26" s="24">
        <f t="shared" si="51"/>
        <v>2</v>
      </c>
      <c r="AT26" s="28">
        <f t="shared" si="52"/>
        <v>4</v>
      </c>
      <c r="AU26" s="26">
        <v>2.0</v>
      </c>
      <c r="AV26" s="27">
        <f t="shared" si="7"/>
        <v>2.266666667</v>
      </c>
      <c r="AW26" s="24">
        <f t="shared" si="53"/>
        <v>9</v>
      </c>
      <c r="AX26" s="2">
        <f t="shared" si="54"/>
        <v>8</v>
      </c>
      <c r="AY26" s="24">
        <f t="shared" si="55"/>
        <v>4</v>
      </c>
      <c r="AZ26" s="24">
        <f t="shared" si="56"/>
        <v>11</v>
      </c>
      <c r="BA26" s="24">
        <f t="shared" si="57"/>
        <v>10</v>
      </c>
      <c r="BB26" s="24">
        <f t="shared" si="58"/>
        <v>1</v>
      </c>
      <c r="BC26" s="24">
        <f t="shared" si="59"/>
        <v>3</v>
      </c>
      <c r="BD26" s="24">
        <f t="shared" si="60"/>
        <v>6</v>
      </c>
      <c r="BE26" s="28">
        <f t="shared" si="61"/>
        <v>2</v>
      </c>
      <c r="BF26" s="29">
        <f t="shared" ref="BF26:BO26" si="86">+(AK26+Z26+O26+D26)/4</f>
        <v>2.45</v>
      </c>
      <c r="BG26" s="24">
        <f t="shared" si="86"/>
        <v>8.5</v>
      </c>
      <c r="BH26" s="24">
        <f t="shared" si="86"/>
        <v>7.75</v>
      </c>
      <c r="BI26" s="24">
        <f t="shared" si="86"/>
        <v>5</v>
      </c>
      <c r="BJ26" s="24">
        <f t="shared" si="86"/>
        <v>11.75</v>
      </c>
      <c r="BK26" s="24">
        <f t="shared" si="86"/>
        <v>9.5</v>
      </c>
      <c r="BL26" s="24">
        <f t="shared" si="86"/>
        <v>0.25</v>
      </c>
      <c r="BM26" s="24">
        <f t="shared" si="86"/>
        <v>4</v>
      </c>
      <c r="BN26" s="24">
        <f t="shared" si="86"/>
        <v>4.5</v>
      </c>
      <c r="BO26" s="24">
        <f t="shared" si="86"/>
        <v>3.25</v>
      </c>
      <c r="BP26" s="30">
        <f t="shared" si="9"/>
        <v>-0.1833333333</v>
      </c>
      <c r="BQ26" s="31">
        <f t="shared" si="10"/>
        <v>0.06666666667</v>
      </c>
      <c r="BR26" s="31">
        <f t="shared" si="11"/>
        <v>0.2</v>
      </c>
      <c r="BS26" s="31">
        <f t="shared" si="12"/>
        <v>0.4</v>
      </c>
      <c r="BT26" s="31">
        <f t="shared" si="13"/>
        <v>0.1333333333</v>
      </c>
      <c r="BU26" s="31">
        <f t="shared" si="14"/>
        <v>0.2</v>
      </c>
      <c r="BV26" s="31">
        <f t="shared" si="15"/>
        <v>0.9333333333</v>
      </c>
      <c r="BW26" s="31">
        <f t="shared" ref="BW26:BX26" si="87">+BR26+BS26+BT26</f>
        <v>0.7333333333</v>
      </c>
      <c r="BX26" s="32">
        <f t="shared" si="87"/>
        <v>0.7333333333</v>
      </c>
      <c r="BY26" s="54"/>
    </row>
    <row r="27">
      <c r="A27" s="1"/>
      <c r="B27" s="33">
        <v>16.0</v>
      </c>
      <c r="C27" s="56">
        <v>3.0</v>
      </c>
      <c r="D27" s="3">
        <f t="shared" si="3"/>
        <v>2.4375</v>
      </c>
      <c r="E27" s="2">
        <f t="shared" si="17"/>
        <v>10</v>
      </c>
      <c r="F27" s="2">
        <f t="shared" si="18"/>
        <v>11</v>
      </c>
      <c r="G27" s="2">
        <f t="shared" si="19"/>
        <v>5</v>
      </c>
      <c r="H27" s="2">
        <f t="shared" si="20"/>
        <v>14</v>
      </c>
      <c r="I27" s="2">
        <f t="shared" si="21"/>
        <v>12</v>
      </c>
      <c r="J27" s="2">
        <f t="shared" si="22"/>
        <v>0</v>
      </c>
      <c r="K27" s="2">
        <f t="shared" si="23"/>
        <v>3</v>
      </c>
      <c r="L27" s="2">
        <f t="shared" si="24"/>
        <v>7</v>
      </c>
      <c r="M27" s="34">
        <f t="shared" si="25"/>
        <v>4</v>
      </c>
      <c r="N27" s="2">
        <v>1.0</v>
      </c>
      <c r="O27" s="3">
        <f t="shared" si="4"/>
        <v>2.1875</v>
      </c>
      <c r="P27" s="2">
        <f t="shared" si="26"/>
        <v>9</v>
      </c>
      <c r="Q27" s="2">
        <f t="shared" si="27"/>
        <v>8</v>
      </c>
      <c r="R27" s="2">
        <f t="shared" si="28"/>
        <v>5</v>
      </c>
      <c r="S27" s="2">
        <f t="shared" si="29"/>
        <v>13</v>
      </c>
      <c r="T27" s="2">
        <f t="shared" si="30"/>
        <v>9</v>
      </c>
      <c r="U27" s="2">
        <f t="shared" si="31"/>
        <v>1</v>
      </c>
      <c r="V27" s="2">
        <f t="shared" si="32"/>
        <v>5</v>
      </c>
      <c r="W27" s="2">
        <f t="shared" si="33"/>
        <v>4</v>
      </c>
      <c r="X27" s="34">
        <f t="shared" si="34"/>
        <v>4</v>
      </c>
      <c r="Y27" s="56">
        <v>2.0</v>
      </c>
      <c r="Z27" s="3">
        <f t="shared" si="5"/>
        <v>2.4375</v>
      </c>
      <c r="AA27" s="2">
        <f t="shared" si="35"/>
        <v>10</v>
      </c>
      <c r="AB27" s="2">
        <f t="shared" si="36"/>
        <v>8</v>
      </c>
      <c r="AC27" s="2">
        <f t="shared" si="37"/>
        <v>5</v>
      </c>
      <c r="AD27" s="2">
        <f t="shared" si="38"/>
        <v>12</v>
      </c>
      <c r="AE27" s="2">
        <f t="shared" si="39"/>
        <v>11</v>
      </c>
      <c r="AF27" s="2">
        <f t="shared" si="40"/>
        <v>0</v>
      </c>
      <c r="AG27" s="2">
        <f t="shared" si="41"/>
        <v>4</v>
      </c>
      <c r="AH27" s="2">
        <f t="shared" si="42"/>
        <v>6</v>
      </c>
      <c r="AI27" s="34">
        <f t="shared" si="43"/>
        <v>2</v>
      </c>
      <c r="AJ27" s="56">
        <v>2.0</v>
      </c>
      <c r="AK27" s="3">
        <f t="shared" si="6"/>
        <v>2.625</v>
      </c>
      <c r="AL27" s="2">
        <f t="shared" si="44"/>
        <v>8</v>
      </c>
      <c r="AM27" s="2">
        <f t="shared" si="45"/>
        <v>7</v>
      </c>
      <c r="AN27" s="2">
        <f t="shared" si="46"/>
        <v>6</v>
      </c>
      <c r="AO27" s="2">
        <f t="shared" si="47"/>
        <v>12</v>
      </c>
      <c r="AP27" s="2">
        <f t="shared" si="48"/>
        <v>9</v>
      </c>
      <c r="AQ27" s="2">
        <f t="shared" si="49"/>
        <v>0</v>
      </c>
      <c r="AR27" s="2">
        <f t="shared" si="50"/>
        <v>5</v>
      </c>
      <c r="AS27" s="2">
        <f t="shared" si="51"/>
        <v>3</v>
      </c>
      <c r="AT27" s="34">
        <f t="shared" si="52"/>
        <v>4</v>
      </c>
      <c r="AU27" s="47">
        <v>1.0</v>
      </c>
      <c r="AV27" s="3">
        <f t="shared" si="7"/>
        <v>2.1875</v>
      </c>
      <c r="AW27" s="2">
        <f t="shared" si="53"/>
        <v>10</v>
      </c>
      <c r="AX27" s="2">
        <f t="shared" si="54"/>
        <v>8</v>
      </c>
      <c r="AY27" s="2">
        <f t="shared" si="55"/>
        <v>4</v>
      </c>
      <c r="AZ27" s="2">
        <f t="shared" si="56"/>
        <v>12</v>
      </c>
      <c r="BA27" s="2">
        <f t="shared" si="57"/>
        <v>10</v>
      </c>
      <c r="BB27" s="2">
        <f t="shared" si="58"/>
        <v>1</v>
      </c>
      <c r="BC27" s="2">
        <f t="shared" si="59"/>
        <v>4</v>
      </c>
      <c r="BD27" s="2">
        <f t="shared" si="60"/>
        <v>6</v>
      </c>
      <c r="BE27" s="34">
        <f t="shared" si="61"/>
        <v>2</v>
      </c>
      <c r="BF27" s="36">
        <f t="shared" ref="BF27:BO27" si="88">+(AK27+Z27+O27+D27)/4</f>
        <v>2.421875</v>
      </c>
      <c r="BG27" s="2">
        <f t="shared" si="88"/>
        <v>9.25</v>
      </c>
      <c r="BH27" s="2">
        <f t="shared" si="88"/>
        <v>8.5</v>
      </c>
      <c r="BI27" s="2">
        <f t="shared" si="88"/>
        <v>5.25</v>
      </c>
      <c r="BJ27" s="2">
        <f t="shared" si="88"/>
        <v>12.75</v>
      </c>
      <c r="BK27" s="2">
        <f t="shared" si="88"/>
        <v>10.25</v>
      </c>
      <c r="BL27" s="2">
        <f t="shared" si="88"/>
        <v>0.25</v>
      </c>
      <c r="BM27" s="2">
        <f t="shared" si="88"/>
        <v>4.25</v>
      </c>
      <c r="BN27" s="2">
        <f t="shared" si="88"/>
        <v>5</v>
      </c>
      <c r="BO27" s="2">
        <f t="shared" si="88"/>
        <v>3.5</v>
      </c>
      <c r="BP27" s="37">
        <f t="shared" si="9"/>
        <v>-0.234375</v>
      </c>
      <c r="BQ27" s="38">
        <f t="shared" si="10"/>
        <v>0.0625</v>
      </c>
      <c r="BR27" s="38">
        <f t="shared" si="11"/>
        <v>0.25</v>
      </c>
      <c r="BS27" s="38">
        <f t="shared" si="12"/>
        <v>0.375</v>
      </c>
      <c r="BT27" s="38">
        <f t="shared" si="13"/>
        <v>0.125</v>
      </c>
      <c r="BU27" s="38">
        <f t="shared" si="14"/>
        <v>0.1875</v>
      </c>
      <c r="BV27" s="38">
        <f t="shared" si="15"/>
        <v>0.9375</v>
      </c>
      <c r="BW27" s="38">
        <f t="shared" ref="BW27:BX27" si="89">+BR27+BS27+BT27</f>
        <v>0.75</v>
      </c>
      <c r="BX27" s="39">
        <f t="shared" si="89"/>
        <v>0.6875</v>
      </c>
      <c r="BY27" s="1"/>
    </row>
    <row r="28" ht="15.75" customHeight="1">
      <c r="A28" s="54"/>
      <c r="B28" s="40">
        <v>17.0</v>
      </c>
      <c r="C28" s="24">
        <v>4.0</v>
      </c>
      <c r="D28" s="27">
        <f t="shared" si="3"/>
        <v>2.529411765</v>
      </c>
      <c r="E28" s="24">
        <f t="shared" si="17"/>
        <v>10</v>
      </c>
      <c r="F28" s="2">
        <f t="shared" si="18"/>
        <v>11</v>
      </c>
      <c r="G28" s="24">
        <f t="shared" si="19"/>
        <v>6</v>
      </c>
      <c r="H28" s="24">
        <f t="shared" si="20"/>
        <v>14</v>
      </c>
      <c r="I28" s="24">
        <f t="shared" si="21"/>
        <v>13</v>
      </c>
      <c r="J28" s="24">
        <f t="shared" si="22"/>
        <v>0</v>
      </c>
      <c r="K28" s="24">
        <f t="shared" si="23"/>
        <v>3</v>
      </c>
      <c r="L28" s="24">
        <f t="shared" si="24"/>
        <v>7</v>
      </c>
      <c r="M28" s="28">
        <f t="shared" si="25"/>
        <v>4</v>
      </c>
      <c r="N28" s="55">
        <v>2.0</v>
      </c>
      <c r="O28" s="27">
        <f t="shared" si="4"/>
        <v>2.176470588</v>
      </c>
      <c r="P28" s="24">
        <f t="shared" si="26"/>
        <v>10</v>
      </c>
      <c r="Q28" s="2">
        <f t="shared" si="27"/>
        <v>9</v>
      </c>
      <c r="R28" s="24">
        <f t="shared" si="28"/>
        <v>5</v>
      </c>
      <c r="S28" s="24">
        <f t="shared" si="29"/>
        <v>14</v>
      </c>
      <c r="T28" s="24">
        <f t="shared" si="30"/>
        <v>10</v>
      </c>
      <c r="U28" s="24">
        <f t="shared" si="31"/>
        <v>1</v>
      </c>
      <c r="V28" s="24">
        <f t="shared" si="32"/>
        <v>5</v>
      </c>
      <c r="W28" s="24">
        <f t="shared" si="33"/>
        <v>5</v>
      </c>
      <c r="X28" s="28">
        <f t="shared" si="34"/>
        <v>4</v>
      </c>
      <c r="Y28" s="24">
        <v>2.0</v>
      </c>
      <c r="Z28" s="27">
        <f t="shared" si="5"/>
        <v>2.411764706</v>
      </c>
      <c r="AA28" s="24">
        <f t="shared" si="35"/>
        <v>11</v>
      </c>
      <c r="AB28" s="2">
        <f t="shared" si="36"/>
        <v>9</v>
      </c>
      <c r="AC28" s="24">
        <f t="shared" si="37"/>
        <v>5</v>
      </c>
      <c r="AD28" s="24">
        <f t="shared" si="38"/>
        <v>13</v>
      </c>
      <c r="AE28" s="24">
        <f t="shared" si="39"/>
        <v>12</v>
      </c>
      <c r="AF28" s="24">
        <f t="shared" si="40"/>
        <v>0</v>
      </c>
      <c r="AG28" s="24">
        <f t="shared" si="41"/>
        <v>4</v>
      </c>
      <c r="AH28" s="24">
        <f t="shared" si="42"/>
        <v>7</v>
      </c>
      <c r="AI28" s="28">
        <f t="shared" si="43"/>
        <v>2</v>
      </c>
      <c r="AJ28" s="24">
        <v>3.0</v>
      </c>
      <c r="AK28" s="27">
        <f t="shared" si="6"/>
        <v>2.647058824</v>
      </c>
      <c r="AL28" s="24">
        <f t="shared" si="44"/>
        <v>8</v>
      </c>
      <c r="AM28" s="2">
        <f t="shared" si="45"/>
        <v>8</v>
      </c>
      <c r="AN28" s="24">
        <f t="shared" si="46"/>
        <v>7</v>
      </c>
      <c r="AO28" s="24">
        <f t="shared" si="47"/>
        <v>13</v>
      </c>
      <c r="AP28" s="24">
        <f t="shared" si="48"/>
        <v>10</v>
      </c>
      <c r="AQ28" s="24">
        <f t="shared" si="49"/>
        <v>0</v>
      </c>
      <c r="AR28" s="24">
        <f t="shared" si="50"/>
        <v>5</v>
      </c>
      <c r="AS28" s="24">
        <f t="shared" si="51"/>
        <v>3</v>
      </c>
      <c r="AT28" s="28">
        <f t="shared" si="52"/>
        <v>5</v>
      </c>
      <c r="AU28" s="41">
        <v>3.0</v>
      </c>
      <c r="AV28" s="27">
        <f t="shared" si="7"/>
        <v>2.235294118</v>
      </c>
      <c r="AW28" s="24">
        <f t="shared" si="53"/>
        <v>10</v>
      </c>
      <c r="AX28" s="2">
        <f t="shared" si="54"/>
        <v>9</v>
      </c>
      <c r="AY28" s="24">
        <f t="shared" si="55"/>
        <v>5</v>
      </c>
      <c r="AZ28" s="24">
        <f t="shared" si="56"/>
        <v>13</v>
      </c>
      <c r="BA28" s="24">
        <f t="shared" si="57"/>
        <v>11</v>
      </c>
      <c r="BB28" s="24">
        <f t="shared" si="58"/>
        <v>1</v>
      </c>
      <c r="BC28" s="24">
        <f t="shared" si="59"/>
        <v>4</v>
      </c>
      <c r="BD28" s="24">
        <f t="shared" si="60"/>
        <v>6</v>
      </c>
      <c r="BE28" s="28">
        <f t="shared" si="61"/>
        <v>3</v>
      </c>
      <c r="BF28" s="29">
        <f t="shared" ref="BF28:BO28" si="90">+(AK28+Z28+O28+D28)/4</f>
        <v>2.441176471</v>
      </c>
      <c r="BG28" s="24">
        <f t="shared" si="90"/>
        <v>9.75</v>
      </c>
      <c r="BH28" s="24">
        <f t="shared" si="90"/>
        <v>9.25</v>
      </c>
      <c r="BI28" s="24">
        <f t="shared" si="90"/>
        <v>5.75</v>
      </c>
      <c r="BJ28" s="24">
        <f t="shared" si="90"/>
        <v>13.5</v>
      </c>
      <c r="BK28" s="24">
        <f t="shared" si="90"/>
        <v>11.25</v>
      </c>
      <c r="BL28" s="24">
        <f t="shared" si="90"/>
        <v>0.25</v>
      </c>
      <c r="BM28" s="24">
        <f t="shared" si="90"/>
        <v>4.25</v>
      </c>
      <c r="BN28" s="24">
        <f t="shared" si="90"/>
        <v>5.5</v>
      </c>
      <c r="BO28" s="24">
        <f t="shared" si="90"/>
        <v>3.75</v>
      </c>
      <c r="BP28" s="30">
        <f t="shared" si="9"/>
        <v>-0.2058823529</v>
      </c>
      <c r="BQ28" s="31">
        <f t="shared" si="10"/>
        <v>0.05882352941</v>
      </c>
      <c r="BR28" s="31">
        <f t="shared" si="11"/>
        <v>0.2352941176</v>
      </c>
      <c r="BS28" s="31">
        <f t="shared" si="12"/>
        <v>0.3529411765</v>
      </c>
      <c r="BT28" s="31">
        <f t="shared" si="13"/>
        <v>0.1764705882</v>
      </c>
      <c r="BU28" s="31">
        <f t="shared" si="14"/>
        <v>0.1764705882</v>
      </c>
      <c r="BV28" s="31">
        <f t="shared" si="15"/>
        <v>0.9411764706</v>
      </c>
      <c r="BW28" s="31">
        <f t="shared" ref="BW28:BX28" si="91">+BR28+BS28+BT28</f>
        <v>0.7647058824</v>
      </c>
      <c r="BX28" s="32">
        <f t="shared" si="91"/>
        <v>0.7058823529</v>
      </c>
      <c r="BY28" s="54"/>
    </row>
    <row r="29" ht="15.75" customHeight="1">
      <c r="A29" s="1"/>
      <c r="B29" s="33">
        <v>18.0</v>
      </c>
      <c r="C29" s="56">
        <v>5.0</v>
      </c>
      <c r="D29" s="3">
        <f t="shared" si="3"/>
        <v>2.666666667</v>
      </c>
      <c r="E29" s="2">
        <f t="shared" si="17"/>
        <v>10</v>
      </c>
      <c r="F29" s="2">
        <f t="shared" si="18"/>
        <v>11</v>
      </c>
      <c r="G29" s="2">
        <f t="shared" si="19"/>
        <v>6</v>
      </c>
      <c r="H29" s="2">
        <f t="shared" si="20"/>
        <v>14</v>
      </c>
      <c r="I29" s="2">
        <f t="shared" si="21"/>
        <v>13</v>
      </c>
      <c r="J29" s="2">
        <f t="shared" si="22"/>
        <v>0</v>
      </c>
      <c r="K29" s="2">
        <f t="shared" si="23"/>
        <v>3</v>
      </c>
      <c r="L29" s="2">
        <f t="shared" si="24"/>
        <v>7</v>
      </c>
      <c r="M29" s="34">
        <f t="shared" si="25"/>
        <v>4</v>
      </c>
      <c r="N29" s="2">
        <v>1.0</v>
      </c>
      <c r="O29" s="3">
        <f t="shared" si="4"/>
        <v>2.111111111</v>
      </c>
      <c r="P29" s="2">
        <f t="shared" si="26"/>
        <v>11</v>
      </c>
      <c r="Q29" s="2">
        <f t="shared" si="27"/>
        <v>9</v>
      </c>
      <c r="R29" s="2">
        <f t="shared" si="28"/>
        <v>5</v>
      </c>
      <c r="S29" s="2">
        <f t="shared" si="29"/>
        <v>15</v>
      </c>
      <c r="T29" s="2">
        <f t="shared" si="30"/>
        <v>10</v>
      </c>
      <c r="U29" s="2">
        <f t="shared" si="31"/>
        <v>1</v>
      </c>
      <c r="V29" s="2">
        <f t="shared" si="32"/>
        <v>6</v>
      </c>
      <c r="W29" s="2">
        <f t="shared" si="33"/>
        <v>5</v>
      </c>
      <c r="X29" s="34">
        <f t="shared" si="34"/>
        <v>4</v>
      </c>
      <c r="Y29" s="56">
        <v>1.0</v>
      </c>
      <c r="Z29" s="3">
        <f t="shared" si="5"/>
        <v>2.333333333</v>
      </c>
      <c r="AA29" s="2">
        <f t="shared" si="35"/>
        <v>12</v>
      </c>
      <c r="AB29" s="2">
        <f t="shared" si="36"/>
        <v>9</v>
      </c>
      <c r="AC29" s="2">
        <f t="shared" si="37"/>
        <v>5</v>
      </c>
      <c r="AD29" s="2">
        <f t="shared" si="38"/>
        <v>14</v>
      </c>
      <c r="AE29" s="2">
        <f t="shared" si="39"/>
        <v>12</v>
      </c>
      <c r="AF29" s="2">
        <f t="shared" si="40"/>
        <v>0</v>
      </c>
      <c r="AG29" s="2">
        <f t="shared" si="41"/>
        <v>5</v>
      </c>
      <c r="AH29" s="2">
        <f t="shared" si="42"/>
        <v>7</v>
      </c>
      <c r="AI29" s="34">
        <f t="shared" si="43"/>
        <v>2</v>
      </c>
      <c r="AJ29" s="56">
        <v>1.0</v>
      </c>
      <c r="AK29" s="3">
        <f t="shared" si="6"/>
        <v>2.555555556</v>
      </c>
      <c r="AL29" s="2">
        <f t="shared" si="44"/>
        <v>9</v>
      </c>
      <c r="AM29" s="2">
        <f t="shared" si="45"/>
        <v>8</v>
      </c>
      <c r="AN29" s="2">
        <f t="shared" si="46"/>
        <v>7</v>
      </c>
      <c r="AO29" s="2">
        <f t="shared" si="47"/>
        <v>14</v>
      </c>
      <c r="AP29" s="2">
        <f t="shared" si="48"/>
        <v>10</v>
      </c>
      <c r="AQ29" s="2">
        <f t="shared" si="49"/>
        <v>0</v>
      </c>
      <c r="AR29" s="2">
        <f t="shared" si="50"/>
        <v>6</v>
      </c>
      <c r="AS29" s="2">
        <f t="shared" si="51"/>
        <v>3</v>
      </c>
      <c r="AT29" s="34">
        <f t="shared" si="52"/>
        <v>5</v>
      </c>
      <c r="AU29" s="2"/>
      <c r="AV29" s="3">
        <f t="shared" si="7"/>
        <v>2.235294118</v>
      </c>
      <c r="AW29" s="2">
        <f t="shared" si="53"/>
        <v>10</v>
      </c>
      <c r="AX29" s="2">
        <f t="shared" si="54"/>
        <v>9</v>
      </c>
      <c r="AY29" s="2">
        <f t="shared" si="55"/>
        <v>5</v>
      </c>
      <c r="AZ29" s="2">
        <f t="shared" si="56"/>
        <v>13</v>
      </c>
      <c r="BA29" s="2">
        <f t="shared" si="57"/>
        <v>11</v>
      </c>
      <c r="BB29" s="2">
        <f t="shared" si="58"/>
        <v>2</v>
      </c>
      <c r="BC29" s="2">
        <f t="shared" si="59"/>
        <v>4</v>
      </c>
      <c r="BD29" s="2">
        <f t="shared" si="60"/>
        <v>6</v>
      </c>
      <c r="BE29" s="34">
        <f t="shared" si="61"/>
        <v>3</v>
      </c>
      <c r="BF29" s="36">
        <f t="shared" ref="BF29:BO29" si="92">+(AK29+Z29+O29+D29)/4</f>
        <v>2.416666667</v>
      </c>
      <c r="BG29" s="2">
        <f t="shared" si="92"/>
        <v>10.5</v>
      </c>
      <c r="BH29" s="2">
        <f t="shared" si="92"/>
        <v>9.25</v>
      </c>
      <c r="BI29" s="2">
        <f t="shared" si="92"/>
        <v>5.75</v>
      </c>
      <c r="BJ29" s="2">
        <f t="shared" si="92"/>
        <v>14.25</v>
      </c>
      <c r="BK29" s="2">
        <f t="shared" si="92"/>
        <v>11.25</v>
      </c>
      <c r="BL29" s="2">
        <f t="shared" si="92"/>
        <v>0.25</v>
      </c>
      <c r="BM29" s="2">
        <f t="shared" si="92"/>
        <v>5</v>
      </c>
      <c r="BN29" s="2">
        <f t="shared" si="92"/>
        <v>5.5</v>
      </c>
      <c r="BO29" s="2">
        <f t="shared" si="92"/>
        <v>3.75</v>
      </c>
      <c r="BP29" s="37">
        <f t="shared" si="9"/>
        <v>-0.181372549</v>
      </c>
      <c r="BQ29" s="38">
        <f t="shared" si="10"/>
        <v>0.05555555556</v>
      </c>
      <c r="BR29" s="38">
        <f t="shared" si="11"/>
        <v>0.2222222222</v>
      </c>
      <c r="BS29" s="38">
        <f t="shared" si="12"/>
        <v>0.3333333333</v>
      </c>
      <c r="BT29" s="38">
        <f t="shared" si="13"/>
        <v>0.1666666667</v>
      </c>
      <c r="BU29" s="38">
        <f t="shared" si="14"/>
        <v>0.1666666667</v>
      </c>
      <c r="BV29" s="38">
        <f t="shared" si="15"/>
        <v>0.9444444444</v>
      </c>
      <c r="BW29" s="38">
        <f t="shared" ref="BW29:BX29" si="93">+BR29+BS29+BT29</f>
        <v>0.7222222222</v>
      </c>
      <c r="BX29" s="39">
        <f t="shared" si="93"/>
        <v>0.6666666667</v>
      </c>
      <c r="BY29" s="1"/>
    </row>
    <row r="30" ht="15.75" customHeight="1">
      <c r="A30" s="54"/>
      <c r="B30" s="40">
        <v>19.0</v>
      </c>
      <c r="C30" s="24">
        <v>1.0</v>
      </c>
      <c r="D30" s="27">
        <f t="shared" si="3"/>
        <v>2.578947368</v>
      </c>
      <c r="E30" s="24">
        <f t="shared" si="17"/>
        <v>11</v>
      </c>
      <c r="F30" s="2">
        <f t="shared" si="18"/>
        <v>11</v>
      </c>
      <c r="G30" s="24">
        <f t="shared" si="19"/>
        <v>6</v>
      </c>
      <c r="H30" s="24">
        <f t="shared" si="20"/>
        <v>15</v>
      </c>
      <c r="I30" s="24">
        <f t="shared" si="21"/>
        <v>13</v>
      </c>
      <c r="J30" s="24">
        <f t="shared" si="22"/>
        <v>0</v>
      </c>
      <c r="K30" s="24">
        <f t="shared" si="23"/>
        <v>4</v>
      </c>
      <c r="L30" s="24">
        <f t="shared" si="24"/>
        <v>7</v>
      </c>
      <c r="M30" s="28">
        <f t="shared" si="25"/>
        <v>4</v>
      </c>
      <c r="N30" s="24">
        <v>0.0</v>
      </c>
      <c r="O30" s="27">
        <f t="shared" si="4"/>
        <v>2</v>
      </c>
      <c r="P30" s="24">
        <f t="shared" si="26"/>
        <v>11</v>
      </c>
      <c r="Q30" s="2">
        <f t="shared" si="27"/>
        <v>9</v>
      </c>
      <c r="R30" s="24">
        <f t="shared" si="28"/>
        <v>5</v>
      </c>
      <c r="S30" s="24">
        <f t="shared" si="29"/>
        <v>15</v>
      </c>
      <c r="T30" s="24">
        <f t="shared" si="30"/>
        <v>10</v>
      </c>
      <c r="U30" s="24">
        <f t="shared" si="31"/>
        <v>2</v>
      </c>
      <c r="V30" s="24">
        <f t="shared" si="32"/>
        <v>6</v>
      </c>
      <c r="W30" s="24">
        <f t="shared" si="33"/>
        <v>5</v>
      </c>
      <c r="X30" s="28">
        <f t="shared" si="34"/>
        <v>4</v>
      </c>
      <c r="Y30" s="24">
        <v>2.0</v>
      </c>
      <c r="Z30" s="27">
        <f t="shared" si="5"/>
        <v>2.315789474</v>
      </c>
      <c r="AA30" s="24">
        <f t="shared" si="35"/>
        <v>13</v>
      </c>
      <c r="AB30" s="2">
        <f t="shared" si="36"/>
        <v>10</v>
      </c>
      <c r="AC30" s="24">
        <f t="shared" si="37"/>
        <v>5</v>
      </c>
      <c r="AD30" s="24">
        <f t="shared" si="38"/>
        <v>15</v>
      </c>
      <c r="AE30" s="24">
        <f t="shared" si="39"/>
        <v>13</v>
      </c>
      <c r="AF30" s="24">
        <f t="shared" si="40"/>
        <v>0</v>
      </c>
      <c r="AG30" s="24">
        <f t="shared" si="41"/>
        <v>5</v>
      </c>
      <c r="AH30" s="24">
        <f t="shared" si="42"/>
        <v>8</v>
      </c>
      <c r="AI30" s="28">
        <f t="shared" si="43"/>
        <v>2</v>
      </c>
      <c r="AJ30" s="24">
        <v>2.0</v>
      </c>
      <c r="AK30" s="27">
        <f t="shared" si="6"/>
        <v>2.526315789</v>
      </c>
      <c r="AL30" s="24">
        <f t="shared" si="44"/>
        <v>10</v>
      </c>
      <c r="AM30" s="2">
        <f t="shared" si="45"/>
        <v>9</v>
      </c>
      <c r="AN30" s="24">
        <f t="shared" si="46"/>
        <v>7</v>
      </c>
      <c r="AO30" s="24">
        <f t="shared" si="47"/>
        <v>15</v>
      </c>
      <c r="AP30" s="24">
        <f t="shared" si="48"/>
        <v>11</v>
      </c>
      <c r="AQ30" s="24">
        <f t="shared" si="49"/>
        <v>0</v>
      </c>
      <c r="AR30" s="24">
        <f t="shared" si="50"/>
        <v>6</v>
      </c>
      <c r="AS30" s="24">
        <f t="shared" si="51"/>
        <v>4</v>
      </c>
      <c r="AT30" s="28">
        <f t="shared" si="52"/>
        <v>5</v>
      </c>
      <c r="AU30" s="24"/>
      <c r="AV30" s="27">
        <f t="shared" si="7"/>
        <v>2.235294118</v>
      </c>
      <c r="AW30" s="24">
        <f t="shared" si="53"/>
        <v>10</v>
      </c>
      <c r="AX30" s="2">
        <f t="shared" si="54"/>
        <v>9</v>
      </c>
      <c r="AY30" s="24">
        <f t="shared" si="55"/>
        <v>5</v>
      </c>
      <c r="AZ30" s="24">
        <f t="shared" si="56"/>
        <v>13</v>
      </c>
      <c r="BA30" s="24">
        <f t="shared" si="57"/>
        <v>11</v>
      </c>
      <c r="BB30" s="24">
        <f t="shared" si="58"/>
        <v>3</v>
      </c>
      <c r="BC30" s="24">
        <f t="shared" si="59"/>
        <v>4</v>
      </c>
      <c r="BD30" s="24">
        <f t="shared" si="60"/>
        <v>6</v>
      </c>
      <c r="BE30" s="28">
        <f t="shared" si="61"/>
        <v>3</v>
      </c>
      <c r="BF30" s="29">
        <f t="shared" ref="BF30:BO30" si="94">+(AK30+Z30+O30+D30)/4</f>
        <v>2.355263158</v>
      </c>
      <c r="BG30" s="24">
        <f t="shared" si="94"/>
        <v>11.25</v>
      </c>
      <c r="BH30" s="24">
        <f t="shared" si="94"/>
        <v>9.75</v>
      </c>
      <c r="BI30" s="24">
        <f t="shared" si="94"/>
        <v>5.75</v>
      </c>
      <c r="BJ30" s="24">
        <f t="shared" si="94"/>
        <v>15</v>
      </c>
      <c r="BK30" s="24">
        <f t="shared" si="94"/>
        <v>11.75</v>
      </c>
      <c r="BL30" s="24">
        <f t="shared" si="94"/>
        <v>0.5</v>
      </c>
      <c r="BM30" s="24">
        <f t="shared" si="94"/>
        <v>5.25</v>
      </c>
      <c r="BN30" s="24">
        <f t="shared" si="94"/>
        <v>6</v>
      </c>
      <c r="BO30" s="24">
        <f t="shared" si="94"/>
        <v>3.75</v>
      </c>
      <c r="BP30" s="30">
        <f t="shared" si="9"/>
        <v>-0.1199690402</v>
      </c>
      <c r="BQ30" s="31">
        <f t="shared" si="10"/>
        <v>0.05263157895</v>
      </c>
      <c r="BR30" s="31">
        <f t="shared" si="11"/>
        <v>0.2105263158</v>
      </c>
      <c r="BS30" s="31">
        <f t="shared" si="12"/>
        <v>0.3157894737</v>
      </c>
      <c r="BT30" s="31">
        <f t="shared" si="13"/>
        <v>0.1578947368</v>
      </c>
      <c r="BU30" s="31">
        <f t="shared" si="14"/>
        <v>0.1578947368</v>
      </c>
      <c r="BV30" s="31">
        <f t="shared" si="15"/>
        <v>0.9473684211</v>
      </c>
      <c r="BW30" s="31">
        <f t="shared" ref="BW30:BX30" si="95">+BR30+BS30+BT30</f>
        <v>0.6842105263</v>
      </c>
      <c r="BX30" s="32">
        <f t="shared" si="95"/>
        <v>0.6315789474</v>
      </c>
      <c r="BY30" s="54"/>
    </row>
    <row r="31" ht="15.75" customHeight="1">
      <c r="A31" s="1"/>
      <c r="B31" s="33">
        <v>20.0</v>
      </c>
      <c r="C31" s="56">
        <v>2.0</v>
      </c>
      <c r="D31" s="3">
        <f t="shared" si="3"/>
        <v>2.55</v>
      </c>
      <c r="E31" s="2">
        <f t="shared" si="17"/>
        <v>12</v>
      </c>
      <c r="F31" s="2">
        <f t="shared" si="18"/>
        <v>12</v>
      </c>
      <c r="G31" s="2">
        <f t="shared" si="19"/>
        <v>6</v>
      </c>
      <c r="H31" s="2">
        <f t="shared" si="20"/>
        <v>16</v>
      </c>
      <c r="I31" s="2">
        <f t="shared" si="21"/>
        <v>14</v>
      </c>
      <c r="J31" s="2">
        <f t="shared" si="22"/>
        <v>0</v>
      </c>
      <c r="K31" s="2">
        <f t="shared" si="23"/>
        <v>4</v>
      </c>
      <c r="L31" s="2">
        <f t="shared" si="24"/>
        <v>8</v>
      </c>
      <c r="M31" s="34">
        <f t="shared" si="25"/>
        <v>4</v>
      </c>
      <c r="N31" s="56">
        <v>2.0</v>
      </c>
      <c r="O31" s="3">
        <f t="shared" si="4"/>
        <v>2</v>
      </c>
      <c r="P31" s="2">
        <f t="shared" si="26"/>
        <v>12</v>
      </c>
      <c r="Q31" s="2">
        <f t="shared" si="27"/>
        <v>10</v>
      </c>
      <c r="R31" s="2">
        <f t="shared" si="28"/>
        <v>5</v>
      </c>
      <c r="S31" s="2">
        <f t="shared" si="29"/>
        <v>16</v>
      </c>
      <c r="T31" s="2">
        <f t="shared" si="30"/>
        <v>11</v>
      </c>
      <c r="U31" s="2">
        <f t="shared" si="31"/>
        <v>2</v>
      </c>
      <c r="V31" s="2">
        <f t="shared" si="32"/>
        <v>6</v>
      </c>
      <c r="W31" s="2">
        <f t="shared" si="33"/>
        <v>6</v>
      </c>
      <c r="X31" s="34">
        <f t="shared" si="34"/>
        <v>4</v>
      </c>
      <c r="Y31" s="56">
        <v>5.0</v>
      </c>
      <c r="Z31" s="3">
        <f t="shared" si="5"/>
        <v>2.45</v>
      </c>
      <c r="AA31" s="2">
        <f t="shared" si="35"/>
        <v>13</v>
      </c>
      <c r="AB31" s="2">
        <f t="shared" si="36"/>
        <v>10</v>
      </c>
      <c r="AC31" s="2">
        <f t="shared" si="37"/>
        <v>5</v>
      </c>
      <c r="AD31" s="2">
        <f t="shared" si="38"/>
        <v>15</v>
      </c>
      <c r="AE31" s="2">
        <f t="shared" si="39"/>
        <v>13</v>
      </c>
      <c r="AF31" s="2">
        <f t="shared" si="40"/>
        <v>0</v>
      </c>
      <c r="AG31" s="2">
        <f t="shared" si="41"/>
        <v>5</v>
      </c>
      <c r="AH31" s="2">
        <f t="shared" si="42"/>
        <v>8</v>
      </c>
      <c r="AI31" s="34">
        <f t="shared" si="43"/>
        <v>2</v>
      </c>
      <c r="AJ31" s="56">
        <v>3.0</v>
      </c>
      <c r="AK31" s="3">
        <f t="shared" si="6"/>
        <v>2.55</v>
      </c>
      <c r="AL31" s="2">
        <f t="shared" si="44"/>
        <v>10</v>
      </c>
      <c r="AM31" s="2">
        <f t="shared" si="45"/>
        <v>10</v>
      </c>
      <c r="AN31" s="2">
        <f t="shared" si="46"/>
        <v>8</v>
      </c>
      <c r="AO31" s="2">
        <f t="shared" si="47"/>
        <v>16</v>
      </c>
      <c r="AP31" s="2">
        <f t="shared" si="48"/>
        <v>12</v>
      </c>
      <c r="AQ31" s="2">
        <f t="shared" si="49"/>
        <v>0</v>
      </c>
      <c r="AR31" s="2">
        <f t="shared" si="50"/>
        <v>6</v>
      </c>
      <c r="AS31" s="2">
        <f t="shared" si="51"/>
        <v>4</v>
      </c>
      <c r="AT31" s="34">
        <f t="shared" si="52"/>
        <v>6</v>
      </c>
      <c r="AU31" s="2"/>
      <c r="AV31" s="3">
        <f t="shared" si="7"/>
        <v>2.235294118</v>
      </c>
      <c r="AW31" s="2">
        <f t="shared" si="53"/>
        <v>10</v>
      </c>
      <c r="AX31" s="2">
        <f t="shared" si="54"/>
        <v>9</v>
      </c>
      <c r="AY31" s="2">
        <f t="shared" si="55"/>
        <v>5</v>
      </c>
      <c r="AZ31" s="2">
        <f t="shared" si="56"/>
        <v>13</v>
      </c>
      <c r="BA31" s="2">
        <f t="shared" si="57"/>
        <v>11</v>
      </c>
      <c r="BB31" s="2">
        <f t="shared" si="58"/>
        <v>4</v>
      </c>
      <c r="BC31" s="2">
        <f t="shared" si="59"/>
        <v>4</v>
      </c>
      <c r="BD31" s="2">
        <f t="shared" si="60"/>
        <v>6</v>
      </c>
      <c r="BE31" s="34">
        <f t="shared" si="61"/>
        <v>3</v>
      </c>
      <c r="BF31" s="36">
        <f t="shared" ref="BF31:BO31" si="96">+(AK31+Z31+O31+D31)/4</f>
        <v>2.3875</v>
      </c>
      <c r="BG31" s="2">
        <f t="shared" si="96"/>
        <v>11.75</v>
      </c>
      <c r="BH31" s="2">
        <f t="shared" si="96"/>
        <v>10.5</v>
      </c>
      <c r="BI31" s="2">
        <f t="shared" si="96"/>
        <v>6</v>
      </c>
      <c r="BJ31" s="2">
        <f t="shared" si="96"/>
        <v>15.75</v>
      </c>
      <c r="BK31" s="2">
        <f t="shared" si="96"/>
        <v>12.5</v>
      </c>
      <c r="BL31" s="2">
        <f t="shared" si="96"/>
        <v>0.5</v>
      </c>
      <c r="BM31" s="2">
        <f t="shared" si="96"/>
        <v>5.25</v>
      </c>
      <c r="BN31" s="2">
        <f t="shared" si="96"/>
        <v>6.5</v>
      </c>
      <c r="BO31" s="2">
        <f t="shared" si="96"/>
        <v>4</v>
      </c>
      <c r="BP31" s="37">
        <f t="shared" si="9"/>
        <v>-0.1522058824</v>
      </c>
      <c r="BQ31" s="38">
        <f t="shared" si="10"/>
        <v>0.05</v>
      </c>
      <c r="BR31" s="38">
        <f t="shared" si="11"/>
        <v>0.2</v>
      </c>
      <c r="BS31" s="38">
        <f t="shared" si="12"/>
        <v>0.3</v>
      </c>
      <c r="BT31" s="38">
        <f t="shared" si="13"/>
        <v>0.15</v>
      </c>
      <c r="BU31" s="38">
        <f t="shared" si="14"/>
        <v>0.15</v>
      </c>
      <c r="BV31" s="38">
        <f t="shared" si="15"/>
        <v>0.95</v>
      </c>
      <c r="BW31" s="38">
        <f t="shared" ref="BW31:BX31" si="97">+BR31+BS31+BT31</f>
        <v>0.65</v>
      </c>
      <c r="BX31" s="39">
        <f t="shared" si="97"/>
        <v>0.6</v>
      </c>
      <c r="BY31" s="1"/>
    </row>
    <row r="32" ht="15.75" customHeight="1">
      <c r="A32" s="54"/>
      <c r="B32" s="40">
        <v>21.0</v>
      </c>
      <c r="C32" s="24">
        <v>0.0</v>
      </c>
      <c r="D32" s="27">
        <f t="shared" si="3"/>
        <v>2.428571429</v>
      </c>
      <c r="E32" s="24">
        <f t="shared" si="17"/>
        <v>12</v>
      </c>
      <c r="F32" s="2">
        <f t="shared" si="18"/>
        <v>12</v>
      </c>
      <c r="G32" s="24">
        <f t="shared" si="19"/>
        <v>6</v>
      </c>
      <c r="H32" s="24">
        <f t="shared" si="20"/>
        <v>16</v>
      </c>
      <c r="I32" s="24">
        <f t="shared" si="21"/>
        <v>14</v>
      </c>
      <c r="J32" s="24">
        <f t="shared" si="22"/>
        <v>1</v>
      </c>
      <c r="K32" s="24">
        <f t="shared" si="23"/>
        <v>4</v>
      </c>
      <c r="L32" s="24">
        <f t="shared" si="24"/>
        <v>8</v>
      </c>
      <c r="M32" s="28">
        <f t="shared" si="25"/>
        <v>4</v>
      </c>
      <c r="N32" s="24">
        <v>1.0</v>
      </c>
      <c r="O32" s="27">
        <f t="shared" si="4"/>
        <v>1.952380952</v>
      </c>
      <c r="P32" s="24">
        <f t="shared" si="26"/>
        <v>13</v>
      </c>
      <c r="Q32" s="2">
        <f t="shared" si="27"/>
        <v>10</v>
      </c>
      <c r="R32" s="24">
        <f t="shared" si="28"/>
        <v>5</v>
      </c>
      <c r="S32" s="24">
        <f t="shared" si="29"/>
        <v>17</v>
      </c>
      <c r="T32" s="24">
        <f t="shared" si="30"/>
        <v>11</v>
      </c>
      <c r="U32" s="24">
        <f t="shared" si="31"/>
        <v>2</v>
      </c>
      <c r="V32" s="24">
        <f t="shared" si="32"/>
        <v>7</v>
      </c>
      <c r="W32" s="24">
        <f t="shared" si="33"/>
        <v>6</v>
      </c>
      <c r="X32" s="28">
        <f t="shared" si="34"/>
        <v>4</v>
      </c>
      <c r="Y32" s="24">
        <v>4.0</v>
      </c>
      <c r="Z32" s="27">
        <f t="shared" si="5"/>
        <v>2.523809524</v>
      </c>
      <c r="AA32" s="24">
        <f t="shared" si="35"/>
        <v>13</v>
      </c>
      <c r="AB32" s="2">
        <f t="shared" si="36"/>
        <v>10</v>
      </c>
      <c r="AC32" s="24">
        <f t="shared" si="37"/>
        <v>6</v>
      </c>
      <c r="AD32" s="24">
        <f t="shared" si="38"/>
        <v>15</v>
      </c>
      <c r="AE32" s="24">
        <f t="shared" si="39"/>
        <v>14</v>
      </c>
      <c r="AF32" s="24">
        <f t="shared" si="40"/>
        <v>0</v>
      </c>
      <c r="AG32" s="24">
        <f t="shared" si="41"/>
        <v>5</v>
      </c>
      <c r="AH32" s="24">
        <f t="shared" si="42"/>
        <v>8</v>
      </c>
      <c r="AI32" s="28">
        <f t="shared" si="43"/>
        <v>2</v>
      </c>
      <c r="AJ32" s="24">
        <v>4.0</v>
      </c>
      <c r="AK32" s="27">
        <f t="shared" si="6"/>
        <v>2.619047619</v>
      </c>
      <c r="AL32" s="24">
        <f t="shared" si="44"/>
        <v>10</v>
      </c>
      <c r="AM32" s="2">
        <f t="shared" si="45"/>
        <v>10</v>
      </c>
      <c r="AN32" s="24">
        <f t="shared" si="46"/>
        <v>9</v>
      </c>
      <c r="AO32" s="24">
        <f t="shared" si="47"/>
        <v>16</v>
      </c>
      <c r="AP32" s="24">
        <f t="shared" si="48"/>
        <v>13</v>
      </c>
      <c r="AQ32" s="24">
        <f t="shared" si="49"/>
        <v>0</v>
      </c>
      <c r="AR32" s="24">
        <f t="shared" si="50"/>
        <v>6</v>
      </c>
      <c r="AS32" s="24">
        <f t="shared" si="51"/>
        <v>4</v>
      </c>
      <c r="AT32" s="28">
        <f t="shared" si="52"/>
        <v>6</v>
      </c>
      <c r="AU32" s="24"/>
      <c r="AV32" s="27">
        <f t="shared" si="7"/>
        <v>2.235294118</v>
      </c>
      <c r="AW32" s="24">
        <f t="shared" si="53"/>
        <v>10</v>
      </c>
      <c r="AX32" s="2">
        <f t="shared" si="54"/>
        <v>9</v>
      </c>
      <c r="AY32" s="24">
        <f t="shared" si="55"/>
        <v>5</v>
      </c>
      <c r="AZ32" s="24">
        <f t="shared" si="56"/>
        <v>13</v>
      </c>
      <c r="BA32" s="24">
        <f t="shared" si="57"/>
        <v>11</v>
      </c>
      <c r="BB32" s="24">
        <f t="shared" si="58"/>
        <v>5</v>
      </c>
      <c r="BC32" s="24">
        <f t="shared" si="59"/>
        <v>4</v>
      </c>
      <c r="BD32" s="24">
        <f t="shared" si="60"/>
        <v>6</v>
      </c>
      <c r="BE32" s="28">
        <f t="shared" si="61"/>
        <v>3</v>
      </c>
      <c r="BF32" s="29">
        <f t="shared" ref="BF32:BO32" si="98">+(AK32+Z32+O32+D32)/4</f>
        <v>2.380952381</v>
      </c>
      <c r="BG32" s="24">
        <f t="shared" si="98"/>
        <v>12</v>
      </c>
      <c r="BH32" s="24">
        <f t="shared" si="98"/>
        <v>10.5</v>
      </c>
      <c r="BI32" s="24">
        <f t="shared" si="98"/>
        <v>6.5</v>
      </c>
      <c r="BJ32" s="24">
        <f t="shared" si="98"/>
        <v>16</v>
      </c>
      <c r="BK32" s="24">
        <f t="shared" si="98"/>
        <v>13</v>
      </c>
      <c r="BL32" s="24">
        <f t="shared" si="98"/>
        <v>0.75</v>
      </c>
      <c r="BM32" s="24">
        <f t="shared" si="98"/>
        <v>5.5</v>
      </c>
      <c r="BN32" s="24">
        <f t="shared" si="98"/>
        <v>6.5</v>
      </c>
      <c r="BO32" s="24">
        <f t="shared" si="98"/>
        <v>4</v>
      </c>
      <c r="BP32" s="30">
        <f t="shared" si="9"/>
        <v>-0.1456582633</v>
      </c>
      <c r="BQ32" s="31">
        <f t="shared" si="10"/>
        <v>0.04761904762</v>
      </c>
      <c r="BR32" s="31">
        <f t="shared" si="11"/>
        <v>0.1904761905</v>
      </c>
      <c r="BS32" s="31">
        <f t="shared" si="12"/>
        <v>0.2857142857</v>
      </c>
      <c r="BT32" s="31">
        <f t="shared" si="13"/>
        <v>0.1428571429</v>
      </c>
      <c r="BU32" s="31">
        <f t="shared" si="14"/>
        <v>0.1428571429</v>
      </c>
      <c r="BV32" s="31">
        <f t="shared" si="15"/>
        <v>0.9523809524</v>
      </c>
      <c r="BW32" s="31">
        <f t="shared" ref="BW32:BX32" si="99">+BR32+BS32+BT32</f>
        <v>0.619047619</v>
      </c>
      <c r="BX32" s="32">
        <f t="shared" si="99"/>
        <v>0.5714285714</v>
      </c>
      <c r="BY32" s="54"/>
    </row>
    <row r="33" ht="15.75" customHeight="1">
      <c r="A33" s="1"/>
      <c r="B33" s="33">
        <v>22.0</v>
      </c>
      <c r="C33" s="56">
        <v>2.0</v>
      </c>
      <c r="D33" s="3">
        <f t="shared" si="3"/>
        <v>2.409090909</v>
      </c>
      <c r="E33" s="2">
        <f t="shared" si="17"/>
        <v>13</v>
      </c>
      <c r="F33" s="2">
        <f t="shared" si="18"/>
        <v>13</v>
      </c>
      <c r="G33" s="2">
        <f t="shared" si="19"/>
        <v>6</v>
      </c>
      <c r="H33" s="2">
        <f t="shared" si="20"/>
        <v>17</v>
      </c>
      <c r="I33" s="2">
        <f t="shared" si="21"/>
        <v>15</v>
      </c>
      <c r="J33" s="2">
        <f t="shared" si="22"/>
        <v>1</v>
      </c>
      <c r="K33" s="2">
        <f t="shared" si="23"/>
        <v>4</v>
      </c>
      <c r="L33" s="2">
        <f t="shared" si="24"/>
        <v>9</v>
      </c>
      <c r="M33" s="34">
        <f t="shared" si="25"/>
        <v>4</v>
      </c>
      <c r="N33" s="56">
        <v>0.0</v>
      </c>
      <c r="O33" s="3">
        <f t="shared" si="4"/>
        <v>1.863636364</v>
      </c>
      <c r="P33" s="2">
        <f t="shared" si="26"/>
        <v>13</v>
      </c>
      <c r="Q33" s="2">
        <f t="shared" si="27"/>
        <v>10</v>
      </c>
      <c r="R33" s="2">
        <f t="shared" si="28"/>
        <v>5</v>
      </c>
      <c r="S33" s="2">
        <f t="shared" si="29"/>
        <v>17</v>
      </c>
      <c r="T33" s="2">
        <f t="shared" si="30"/>
        <v>11</v>
      </c>
      <c r="U33" s="2">
        <f t="shared" si="31"/>
        <v>3</v>
      </c>
      <c r="V33" s="2">
        <f t="shared" si="32"/>
        <v>7</v>
      </c>
      <c r="W33" s="2">
        <f t="shared" si="33"/>
        <v>6</v>
      </c>
      <c r="X33" s="34">
        <f t="shared" si="34"/>
        <v>4</v>
      </c>
      <c r="Y33" s="56">
        <v>1.0</v>
      </c>
      <c r="Z33" s="3">
        <f t="shared" si="5"/>
        <v>2.454545455</v>
      </c>
      <c r="AA33" s="2">
        <f t="shared" si="35"/>
        <v>14</v>
      </c>
      <c r="AB33" s="2">
        <f t="shared" si="36"/>
        <v>10</v>
      </c>
      <c r="AC33" s="2">
        <f t="shared" si="37"/>
        <v>6</v>
      </c>
      <c r="AD33" s="2">
        <f t="shared" si="38"/>
        <v>16</v>
      </c>
      <c r="AE33" s="2">
        <f t="shared" si="39"/>
        <v>14</v>
      </c>
      <c r="AF33" s="2">
        <f t="shared" si="40"/>
        <v>0</v>
      </c>
      <c r="AG33" s="2">
        <f t="shared" si="41"/>
        <v>6</v>
      </c>
      <c r="AH33" s="2">
        <f t="shared" si="42"/>
        <v>8</v>
      </c>
      <c r="AI33" s="34">
        <f t="shared" si="43"/>
        <v>2</v>
      </c>
      <c r="AJ33" s="56">
        <v>1.0</v>
      </c>
      <c r="AK33" s="3">
        <f t="shared" si="6"/>
        <v>2.545454545</v>
      </c>
      <c r="AL33" s="2">
        <f t="shared" si="44"/>
        <v>11</v>
      </c>
      <c r="AM33" s="2">
        <f t="shared" si="45"/>
        <v>10</v>
      </c>
      <c r="AN33" s="2">
        <f t="shared" si="46"/>
        <v>9</v>
      </c>
      <c r="AO33" s="2">
        <f t="shared" si="47"/>
        <v>17</v>
      </c>
      <c r="AP33" s="2">
        <f t="shared" si="48"/>
        <v>13</v>
      </c>
      <c r="AQ33" s="2">
        <f t="shared" si="49"/>
        <v>0</v>
      </c>
      <c r="AR33" s="2">
        <f t="shared" si="50"/>
        <v>7</v>
      </c>
      <c r="AS33" s="2">
        <f t="shared" si="51"/>
        <v>4</v>
      </c>
      <c r="AT33" s="34">
        <f t="shared" si="52"/>
        <v>6</v>
      </c>
      <c r="AU33" s="2"/>
      <c r="AV33" s="3">
        <f t="shared" si="7"/>
        <v>2.235294118</v>
      </c>
      <c r="AW33" s="2">
        <f t="shared" si="53"/>
        <v>10</v>
      </c>
      <c r="AX33" s="2">
        <f t="shared" si="54"/>
        <v>9</v>
      </c>
      <c r="AY33" s="2">
        <f t="shared" si="55"/>
        <v>5</v>
      </c>
      <c r="AZ33" s="2">
        <f t="shared" si="56"/>
        <v>13</v>
      </c>
      <c r="BA33" s="2">
        <f t="shared" si="57"/>
        <v>11</v>
      </c>
      <c r="BB33" s="2">
        <f t="shared" si="58"/>
        <v>6</v>
      </c>
      <c r="BC33" s="2">
        <f t="shared" si="59"/>
        <v>4</v>
      </c>
      <c r="BD33" s="2">
        <f t="shared" si="60"/>
        <v>6</v>
      </c>
      <c r="BE33" s="34">
        <f t="shared" si="61"/>
        <v>3</v>
      </c>
      <c r="BF33" s="36">
        <f t="shared" ref="BF33:BO33" si="100">+(AK33+Z33+O33+D33)/4</f>
        <v>2.318181818</v>
      </c>
      <c r="BG33" s="2">
        <f t="shared" si="100"/>
        <v>12.75</v>
      </c>
      <c r="BH33" s="2">
        <f t="shared" si="100"/>
        <v>10.75</v>
      </c>
      <c r="BI33" s="2">
        <f t="shared" si="100"/>
        <v>6.5</v>
      </c>
      <c r="BJ33" s="2">
        <f t="shared" si="100"/>
        <v>16.75</v>
      </c>
      <c r="BK33" s="2">
        <f t="shared" si="100"/>
        <v>13.25</v>
      </c>
      <c r="BL33" s="2">
        <f t="shared" si="100"/>
        <v>1</v>
      </c>
      <c r="BM33" s="2">
        <f t="shared" si="100"/>
        <v>6</v>
      </c>
      <c r="BN33" s="2">
        <f t="shared" si="100"/>
        <v>6.75</v>
      </c>
      <c r="BO33" s="2">
        <f t="shared" si="100"/>
        <v>4</v>
      </c>
      <c r="BP33" s="37">
        <f t="shared" si="9"/>
        <v>-0.08288770053</v>
      </c>
      <c r="BQ33" s="38">
        <f t="shared" si="10"/>
        <v>0.04545454545</v>
      </c>
      <c r="BR33" s="38">
        <f t="shared" si="11"/>
        <v>0.1818181818</v>
      </c>
      <c r="BS33" s="38">
        <f t="shared" si="12"/>
        <v>0.2727272727</v>
      </c>
      <c r="BT33" s="38">
        <f t="shared" si="13"/>
        <v>0.1363636364</v>
      </c>
      <c r="BU33" s="38">
        <f t="shared" si="14"/>
        <v>0.1363636364</v>
      </c>
      <c r="BV33" s="38">
        <f t="shared" si="15"/>
        <v>0.9545454545</v>
      </c>
      <c r="BW33" s="38">
        <f t="shared" ref="BW33:BX33" si="101">+BR33+BS33+BT33</f>
        <v>0.5909090909</v>
      </c>
      <c r="BX33" s="39">
        <f t="shared" si="101"/>
        <v>0.5454545455</v>
      </c>
      <c r="BY33" s="1"/>
    </row>
    <row r="34" ht="15.75" customHeight="1">
      <c r="A34" s="54"/>
      <c r="B34" s="40">
        <v>23.0</v>
      </c>
      <c r="C34" s="24">
        <v>1.0</v>
      </c>
      <c r="D34" s="27">
        <f t="shared" si="3"/>
        <v>2.347826087</v>
      </c>
      <c r="E34" s="24">
        <f t="shared" si="17"/>
        <v>14</v>
      </c>
      <c r="F34" s="2">
        <f t="shared" si="18"/>
        <v>13</v>
      </c>
      <c r="G34" s="24">
        <f t="shared" si="19"/>
        <v>6</v>
      </c>
      <c r="H34" s="24">
        <f t="shared" si="20"/>
        <v>18</v>
      </c>
      <c r="I34" s="24">
        <f t="shared" si="21"/>
        <v>15</v>
      </c>
      <c r="J34" s="24">
        <f t="shared" si="22"/>
        <v>1</v>
      </c>
      <c r="K34" s="24">
        <f t="shared" si="23"/>
        <v>5</v>
      </c>
      <c r="L34" s="24">
        <f t="shared" si="24"/>
        <v>9</v>
      </c>
      <c r="M34" s="28">
        <f t="shared" si="25"/>
        <v>4</v>
      </c>
      <c r="N34" s="24">
        <v>3.0</v>
      </c>
      <c r="O34" s="27">
        <f t="shared" si="4"/>
        <v>1.913043478</v>
      </c>
      <c r="P34" s="24">
        <f t="shared" si="26"/>
        <v>13</v>
      </c>
      <c r="Q34" s="2">
        <f t="shared" si="27"/>
        <v>11</v>
      </c>
      <c r="R34" s="24">
        <f t="shared" si="28"/>
        <v>6</v>
      </c>
      <c r="S34" s="24">
        <f t="shared" si="29"/>
        <v>18</v>
      </c>
      <c r="T34" s="24">
        <f t="shared" si="30"/>
        <v>12</v>
      </c>
      <c r="U34" s="24">
        <f t="shared" si="31"/>
        <v>3</v>
      </c>
      <c r="V34" s="24">
        <f t="shared" si="32"/>
        <v>7</v>
      </c>
      <c r="W34" s="24">
        <f t="shared" si="33"/>
        <v>6</v>
      </c>
      <c r="X34" s="28">
        <f t="shared" si="34"/>
        <v>5</v>
      </c>
      <c r="Y34" s="24">
        <v>1.0</v>
      </c>
      <c r="Z34" s="27">
        <f t="shared" si="5"/>
        <v>2.391304348</v>
      </c>
      <c r="AA34" s="24">
        <f t="shared" si="35"/>
        <v>15</v>
      </c>
      <c r="AB34" s="2">
        <f t="shared" si="36"/>
        <v>10</v>
      </c>
      <c r="AC34" s="24">
        <f t="shared" si="37"/>
        <v>6</v>
      </c>
      <c r="AD34" s="24">
        <f t="shared" si="38"/>
        <v>17</v>
      </c>
      <c r="AE34" s="24">
        <f t="shared" si="39"/>
        <v>14</v>
      </c>
      <c r="AF34" s="24">
        <f t="shared" si="40"/>
        <v>0</v>
      </c>
      <c r="AG34" s="24">
        <f t="shared" si="41"/>
        <v>7</v>
      </c>
      <c r="AH34" s="24">
        <f t="shared" si="42"/>
        <v>8</v>
      </c>
      <c r="AI34" s="28">
        <f t="shared" si="43"/>
        <v>2</v>
      </c>
      <c r="AJ34" s="55">
        <v>0.0</v>
      </c>
      <c r="AK34" s="27">
        <f t="shared" si="6"/>
        <v>2.434782609</v>
      </c>
      <c r="AL34" s="24">
        <f t="shared" si="44"/>
        <v>11</v>
      </c>
      <c r="AM34" s="2">
        <f t="shared" si="45"/>
        <v>10</v>
      </c>
      <c r="AN34" s="24">
        <f t="shared" si="46"/>
        <v>9</v>
      </c>
      <c r="AO34" s="24">
        <f t="shared" si="47"/>
        <v>17</v>
      </c>
      <c r="AP34" s="24">
        <f t="shared" si="48"/>
        <v>13</v>
      </c>
      <c r="AQ34" s="24">
        <f t="shared" si="49"/>
        <v>1</v>
      </c>
      <c r="AR34" s="24">
        <f t="shared" si="50"/>
        <v>7</v>
      </c>
      <c r="AS34" s="24">
        <f t="shared" si="51"/>
        <v>4</v>
      </c>
      <c r="AT34" s="28">
        <f t="shared" si="52"/>
        <v>6</v>
      </c>
      <c r="AU34" s="24"/>
      <c r="AV34" s="27">
        <f t="shared" si="7"/>
        <v>2.235294118</v>
      </c>
      <c r="AW34" s="24">
        <f t="shared" si="53"/>
        <v>10</v>
      </c>
      <c r="AX34" s="2">
        <f t="shared" si="54"/>
        <v>9</v>
      </c>
      <c r="AY34" s="24">
        <f t="shared" si="55"/>
        <v>5</v>
      </c>
      <c r="AZ34" s="24">
        <f t="shared" si="56"/>
        <v>13</v>
      </c>
      <c r="BA34" s="24">
        <f t="shared" si="57"/>
        <v>11</v>
      </c>
      <c r="BB34" s="24">
        <f t="shared" si="58"/>
        <v>7</v>
      </c>
      <c r="BC34" s="24">
        <f t="shared" si="59"/>
        <v>4</v>
      </c>
      <c r="BD34" s="24">
        <f t="shared" si="60"/>
        <v>6</v>
      </c>
      <c r="BE34" s="28">
        <f t="shared" si="61"/>
        <v>3</v>
      </c>
      <c r="BF34" s="29">
        <f t="shared" ref="BF34:BO34" si="102">+(AK34+Z34+O34+D34)/4</f>
        <v>2.27173913</v>
      </c>
      <c r="BG34" s="24">
        <f t="shared" si="102"/>
        <v>13.25</v>
      </c>
      <c r="BH34" s="24">
        <f t="shared" si="102"/>
        <v>11</v>
      </c>
      <c r="BI34" s="24">
        <f t="shared" si="102"/>
        <v>6.75</v>
      </c>
      <c r="BJ34" s="24">
        <f t="shared" si="102"/>
        <v>17.5</v>
      </c>
      <c r="BK34" s="24">
        <f t="shared" si="102"/>
        <v>13.5</v>
      </c>
      <c r="BL34" s="24">
        <f t="shared" si="102"/>
        <v>1.25</v>
      </c>
      <c r="BM34" s="24">
        <f t="shared" si="102"/>
        <v>6.5</v>
      </c>
      <c r="BN34" s="24">
        <f t="shared" si="102"/>
        <v>6.75</v>
      </c>
      <c r="BO34" s="24">
        <f t="shared" si="102"/>
        <v>4.25</v>
      </c>
      <c r="BP34" s="30">
        <f t="shared" si="9"/>
        <v>-0.03644501279</v>
      </c>
      <c r="BQ34" s="31">
        <f t="shared" si="10"/>
        <v>0.04347826087</v>
      </c>
      <c r="BR34" s="31">
        <f t="shared" si="11"/>
        <v>0.1739130435</v>
      </c>
      <c r="BS34" s="31">
        <f t="shared" si="12"/>
        <v>0.2608695652</v>
      </c>
      <c r="BT34" s="31">
        <f t="shared" si="13"/>
        <v>0.1304347826</v>
      </c>
      <c r="BU34" s="31">
        <f t="shared" si="14"/>
        <v>0.1304347826</v>
      </c>
      <c r="BV34" s="31">
        <f t="shared" si="15"/>
        <v>0.9565217391</v>
      </c>
      <c r="BW34" s="31">
        <f t="shared" ref="BW34:BX34" si="103">+BR34+BS34+BT34</f>
        <v>0.5652173913</v>
      </c>
      <c r="BX34" s="32">
        <f t="shared" si="103"/>
        <v>0.5217391304</v>
      </c>
      <c r="BY34" s="54"/>
    </row>
    <row r="35" ht="15.75" customHeight="1">
      <c r="A35" s="1"/>
      <c r="B35" s="33">
        <v>24.0</v>
      </c>
      <c r="C35" s="2">
        <v>1.0</v>
      </c>
      <c r="D35" s="3">
        <f t="shared" si="3"/>
        <v>2.291666667</v>
      </c>
      <c r="E35" s="2">
        <f t="shared" si="17"/>
        <v>15</v>
      </c>
      <c r="F35" s="2">
        <f t="shared" si="18"/>
        <v>13</v>
      </c>
      <c r="G35" s="2">
        <f t="shared" si="19"/>
        <v>6</v>
      </c>
      <c r="H35" s="2">
        <f t="shared" si="20"/>
        <v>19</v>
      </c>
      <c r="I35" s="2">
        <f t="shared" si="21"/>
        <v>15</v>
      </c>
      <c r="J35" s="2">
        <f t="shared" si="22"/>
        <v>1</v>
      </c>
      <c r="K35" s="2">
        <f t="shared" si="23"/>
        <v>6</v>
      </c>
      <c r="L35" s="2">
        <f t="shared" si="24"/>
        <v>9</v>
      </c>
      <c r="M35" s="34">
        <f t="shared" si="25"/>
        <v>4</v>
      </c>
      <c r="N35" s="56">
        <v>0.0</v>
      </c>
      <c r="O35" s="3">
        <f t="shared" si="4"/>
        <v>1.833333333</v>
      </c>
      <c r="P35" s="2">
        <f t="shared" si="26"/>
        <v>13</v>
      </c>
      <c r="Q35" s="2">
        <f t="shared" si="27"/>
        <v>11</v>
      </c>
      <c r="R35" s="2">
        <f t="shared" si="28"/>
        <v>6</v>
      </c>
      <c r="S35" s="2">
        <f t="shared" si="29"/>
        <v>18</v>
      </c>
      <c r="T35" s="2">
        <f t="shared" si="30"/>
        <v>12</v>
      </c>
      <c r="U35" s="2">
        <f t="shared" si="31"/>
        <v>4</v>
      </c>
      <c r="V35" s="2">
        <f t="shared" si="32"/>
        <v>7</v>
      </c>
      <c r="W35" s="2">
        <f t="shared" si="33"/>
        <v>6</v>
      </c>
      <c r="X35" s="34">
        <f t="shared" si="34"/>
        <v>5</v>
      </c>
      <c r="Y35" s="56">
        <v>4.0</v>
      </c>
      <c r="Z35" s="3">
        <f t="shared" si="5"/>
        <v>2.458333333</v>
      </c>
      <c r="AA35" s="2">
        <f t="shared" si="35"/>
        <v>15</v>
      </c>
      <c r="AB35" s="2">
        <f t="shared" si="36"/>
        <v>10</v>
      </c>
      <c r="AC35" s="2">
        <f t="shared" si="37"/>
        <v>7</v>
      </c>
      <c r="AD35" s="2">
        <f t="shared" si="38"/>
        <v>17</v>
      </c>
      <c r="AE35" s="2">
        <f t="shared" si="39"/>
        <v>15</v>
      </c>
      <c r="AF35" s="2">
        <f t="shared" si="40"/>
        <v>0</v>
      </c>
      <c r="AG35" s="2">
        <f t="shared" si="41"/>
        <v>7</v>
      </c>
      <c r="AH35" s="2">
        <f t="shared" si="42"/>
        <v>8</v>
      </c>
      <c r="AI35" s="34">
        <f t="shared" si="43"/>
        <v>2</v>
      </c>
      <c r="AJ35" s="2">
        <v>2.0</v>
      </c>
      <c r="AK35" s="3">
        <f t="shared" si="6"/>
        <v>2.416666667</v>
      </c>
      <c r="AL35" s="2">
        <f t="shared" si="44"/>
        <v>12</v>
      </c>
      <c r="AM35" s="2">
        <f t="shared" si="45"/>
        <v>11</v>
      </c>
      <c r="AN35" s="2">
        <f t="shared" si="46"/>
        <v>9</v>
      </c>
      <c r="AO35" s="2">
        <f t="shared" si="47"/>
        <v>18</v>
      </c>
      <c r="AP35" s="2">
        <f t="shared" si="48"/>
        <v>14</v>
      </c>
      <c r="AQ35" s="2">
        <f t="shared" si="49"/>
        <v>1</v>
      </c>
      <c r="AR35" s="2">
        <f t="shared" si="50"/>
        <v>7</v>
      </c>
      <c r="AS35" s="2">
        <f t="shared" si="51"/>
        <v>5</v>
      </c>
      <c r="AT35" s="34">
        <f t="shared" si="52"/>
        <v>6</v>
      </c>
      <c r="AU35" s="2"/>
      <c r="AV35" s="3">
        <f t="shared" si="7"/>
        <v>2.235294118</v>
      </c>
      <c r="AW35" s="2">
        <f t="shared" si="53"/>
        <v>10</v>
      </c>
      <c r="AX35" s="2">
        <f t="shared" si="54"/>
        <v>9</v>
      </c>
      <c r="AY35" s="2">
        <f t="shared" si="55"/>
        <v>5</v>
      </c>
      <c r="AZ35" s="2">
        <f t="shared" si="56"/>
        <v>13</v>
      </c>
      <c r="BA35" s="2">
        <f t="shared" si="57"/>
        <v>11</v>
      </c>
      <c r="BB35" s="2">
        <f t="shared" si="58"/>
        <v>8</v>
      </c>
      <c r="BC35" s="2">
        <f t="shared" si="59"/>
        <v>4</v>
      </c>
      <c r="BD35" s="2">
        <f t="shared" si="60"/>
        <v>6</v>
      </c>
      <c r="BE35" s="34">
        <f t="shared" si="61"/>
        <v>3</v>
      </c>
      <c r="BF35" s="36">
        <f t="shared" ref="BF35:BO35" si="104">+(AK35+Z35+O35+D35)/4</f>
        <v>2.25</v>
      </c>
      <c r="BG35" s="2">
        <f t="shared" si="104"/>
        <v>13.75</v>
      </c>
      <c r="BH35" s="2">
        <f t="shared" si="104"/>
        <v>11.25</v>
      </c>
      <c r="BI35" s="2">
        <f t="shared" si="104"/>
        <v>7</v>
      </c>
      <c r="BJ35" s="2">
        <f t="shared" si="104"/>
        <v>18</v>
      </c>
      <c r="BK35" s="2">
        <f t="shared" si="104"/>
        <v>14</v>
      </c>
      <c r="BL35" s="2">
        <f t="shared" si="104"/>
        <v>1.5</v>
      </c>
      <c r="BM35" s="2">
        <f t="shared" si="104"/>
        <v>6.75</v>
      </c>
      <c r="BN35" s="2">
        <f t="shared" si="104"/>
        <v>7</v>
      </c>
      <c r="BO35" s="2">
        <f t="shared" si="104"/>
        <v>4.25</v>
      </c>
      <c r="BP35" s="37">
        <f t="shared" si="9"/>
        <v>-0.01470588235</v>
      </c>
      <c r="BQ35" s="38">
        <f t="shared" si="10"/>
        <v>0.04166666667</v>
      </c>
      <c r="BR35" s="38">
        <f t="shared" si="11"/>
        <v>0.1666666667</v>
      </c>
      <c r="BS35" s="38">
        <f t="shared" si="12"/>
        <v>0.25</v>
      </c>
      <c r="BT35" s="38">
        <f t="shared" si="13"/>
        <v>0.125</v>
      </c>
      <c r="BU35" s="38">
        <f t="shared" si="14"/>
        <v>0.125</v>
      </c>
      <c r="BV35" s="38">
        <f t="shared" si="15"/>
        <v>0.9583333333</v>
      </c>
      <c r="BW35" s="38">
        <f t="shared" ref="BW35:BX35" si="105">+BR35+BS35+BT35</f>
        <v>0.5416666667</v>
      </c>
      <c r="BX35" s="39">
        <f t="shared" si="105"/>
        <v>0.5</v>
      </c>
      <c r="BY35" s="1"/>
    </row>
    <row r="36" ht="15.75" customHeight="1">
      <c r="A36" s="54"/>
      <c r="B36" s="40">
        <v>25.0</v>
      </c>
      <c r="C36" s="55">
        <v>0.0</v>
      </c>
      <c r="D36" s="27">
        <f t="shared" si="3"/>
        <v>2.2</v>
      </c>
      <c r="E36" s="24">
        <f t="shared" si="17"/>
        <v>15</v>
      </c>
      <c r="F36" s="2">
        <f t="shared" si="18"/>
        <v>13</v>
      </c>
      <c r="G36" s="24">
        <f t="shared" si="19"/>
        <v>6</v>
      </c>
      <c r="H36" s="24">
        <f t="shared" si="20"/>
        <v>19</v>
      </c>
      <c r="I36" s="24">
        <f t="shared" si="21"/>
        <v>15</v>
      </c>
      <c r="J36" s="24">
        <f t="shared" si="22"/>
        <v>2</v>
      </c>
      <c r="K36" s="24">
        <f t="shared" si="23"/>
        <v>6</v>
      </c>
      <c r="L36" s="24">
        <f t="shared" si="24"/>
        <v>9</v>
      </c>
      <c r="M36" s="28">
        <f t="shared" si="25"/>
        <v>4</v>
      </c>
      <c r="N36" s="24">
        <v>2.0</v>
      </c>
      <c r="O36" s="27">
        <f t="shared" si="4"/>
        <v>1.84</v>
      </c>
      <c r="P36" s="24">
        <f t="shared" si="26"/>
        <v>14</v>
      </c>
      <c r="Q36" s="2">
        <f t="shared" si="27"/>
        <v>12</v>
      </c>
      <c r="R36" s="24">
        <f t="shared" si="28"/>
        <v>6</v>
      </c>
      <c r="S36" s="24">
        <f t="shared" si="29"/>
        <v>19</v>
      </c>
      <c r="T36" s="24">
        <f t="shared" si="30"/>
        <v>13</v>
      </c>
      <c r="U36" s="24">
        <f t="shared" si="31"/>
        <v>4</v>
      </c>
      <c r="V36" s="24">
        <f t="shared" si="32"/>
        <v>7</v>
      </c>
      <c r="W36" s="24">
        <f t="shared" si="33"/>
        <v>7</v>
      </c>
      <c r="X36" s="28">
        <f t="shared" si="34"/>
        <v>5</v>
      </c>
      <c r="Y36" s="24">
        <v>4.0</v>
      </c>
      <c r="Z36" s="27">
        <f t="shared" si="5"/>
        <v>2.52</v>
      </c>
      <c r="AA36" s="24">
        <f t="shared" si="35"/>
        <v>15</v>
      </c>
      <c r="AB36" s="2">
        <f t="shared" si="36"/>
        <v>10</v>
      </c>
      <c r="AC36" s="24">
        <f t="shared" si="37"/>
        <v>8</v>
      </c>
      <c r="AD36" s="24">
        <f t="shared" si="38"/>
        <v>17</v>
      </c>
      <c r="AE36" s="24">
        <f t="shared" si="39"/>
        <v>16</v>
      </c>
      <c r="AF36" s="24">
        <f t="shared" si="40"/>
        <v>0</v>
      </c>
      <c r="AG36" s="24">
        <f t="shared" si="41"/>
        <v>7</v>
      </c>
      <c r="AH36" s="24">
        <f t="shared" si="42"/>
        <v>8</v>
      </c>
      <c r="AI36" s="28">
        <f t="shared" si="43"/>
        <v>2</v>
      </c>
      <c r="AJ36" s="55">
        <v>0.0</v>
      </c>
      <c r="AK36" s="27">
        <f t="shared" si="6"/>
        <v>2.32</v>
      </c>
      <c r="AL36" s="24">
        <f t="shared" si="44"/>
        <v>12</v>
      </c>
      <c r="AM36" s="2">
        <f t="shared" si="45"/>
        <v>11</v>
      </c>
      <c r="AN36" s="24">
        <f t="shared" si="46"/>
        <v>9</v>
      </c>
      <c r="AO36" s="24">
        <f t="shared" si="47"/>
        <v>18</v>
      </c>
      <c r="AP36" s="24">
        <f t="shared" si="48"/>
        <v>14</v>
      </c>
      <c r="AQ36" s="24">
        <f t="shared" si="49"/>
        <v>2</v>
      </c>
      <c r="AR36" s="24">
        <f t="shared" si="50"/>
        <v>7</v>
      </c>
      <c r="AS36" s="24">
        <f t="shared" si="51"/>
        <v>5</v>
      </c>
      <c r="AT36" s="28">
        <f t="shared" si="52"/>
        <v>6</v>
      </c>
      <c r="AU36" s="24"/>
      <c r="AV36" s="27">
        <f t="shared" si="7"/>
        <v>2.235294118</v>
      </c>
      <c r="AW36" s="24">
        <f t="shared" si="53"/>
        <v>10</v>
      </c>
      <c r="AX36" s="2">
        <f t="shared" si="54"/>
        <v>9</v>
      </c>
      <c r="AY36" s="24">
        <f t="shared" si="55"/>
        <v>5</v>
      </c>
      <c r="AZ36" s="24">
        <f t="shared" si="56"/>
        <v>13</v>
      </c>
      <c r="BA36" s="24">
        <f t="shared" si="57"/>
        <v>11</v>
      </c>
      <c r="BB36" s="24">
        <f t="shared" si="58"/>
        <v>9</v>
      </c>
      <c r="BC36" s="24">
        <f t="shared" si="59"/>
        <v>4</v>
      </c>
      <c r="BD36" s="24">
        <f t="shared" si="60"/>
        <v>6</v>
      </c>
      <c r="BE36" s="28">
        <f t="shared" si="61"/>
        <v>3</v>
      </c>
      <c r="BF36" s="29">
        <f t="shared" ref="BF36:BO36" si="106">+(AK36+Z36+O36+D36)/4</f>
        <v>2.22</v>
      </c>
      <c r="BG36" s="24">
        <f t="shared" si="106"/>
        <v>14</v>
      </c>
      <c r="BH36" s="24">
        <f t="shared" si="106"/>
        <v>11.5</v>
      </c>
      <c r="BI36" s="24">
        <f t="shared" si="106"/>
        <v>7.25</v>
      </c>
      <c r="BJ36" s="24">
        <f t="shared" si="106"/>
        <v>18.25</v>
      </c>
      <c r="BK36" s="24">
        <f t="shared" si="106"/>
        <v>14.5</v>
      </c>
      <c r="BL36" s="24">
        <f t="shared" si="106"/>
        <v>2</v>
      </c>
      <c r="BM36" s="24">
        <f t="shared" si="106"/>
        <v>6.75</v>
      </c>
      <c r="BN36" s="24">
        <f t="shared" si="106"/>
        <v>7.25</v>
      </c>
      <c r="BO36" s="24">
        <f t="shared" si="106"/>
        <v>4.25</v>
      </c>
      <c r="BP36" s="30">
        <f t="shared" si="9"/>
        <v>0.01529411765</v>
      </c>
      <c r="BQ36" s="31">
        <f t="shared" si="10"/>
        <v>0.04</v>
      </c>
      <c r="BR36" s="31">
        <f t="shared" si="11"/>
        <v>0.16</v>
      </c>
      <c r="BS36" s="31">
        <f t="shared" si="12"/>
        <v>0.24</v>
      </c>
      <c r="BT36" s="31">
        <f t="shared" si="13"/>
        <v>0.12</v>
      </c>
      <c r="BU36" s="31">
        <f t="shared" si="14"/>
        <v>0.12</v>
      </c>
      <c r="BV36" s="31">
        <f t="shared" si="15"/>
        <v>0.96</v>
      </c>
      <c r="BW36" s="31">
        <f t="shared" ref="BW36:BX36" si="107">+BR36+BS36+BT36</f>
        <v>0.52</v>
      </c>
      <c r="BX36" s="32">
        <f t="shared" si="107"/>
        <v>0.48</v>
      </c>
      <c r="BY36" s="54"/>
    </row>
    <row r="37" ht="15.75" customHeight="1">
      <c r="A37" s="1"/>
      <c r="B37" s="33">
        <v>26.0</v>
      </c>
      <c r="C37" s="2">
        <v>0.0</v>
      </c>
      <c r="D37" s="3">
        <f t="shared" si="3"/>
        <v>2.115384615</v>
      </c>
      <c r="E37" s="2">
        <f t="shared" si="17"/>
        <v>15</v>
      </c>
      <c r="F37" s="2">
        <f t="shared" si="18"/>
        <v>13</v>
      </c>
      <c r="G37" s="2">
        <f t="shared" si="19"/>
        <v>6</v>
      </c>
      <c r="H37" s="2">
        <f t="shared" si="20"/>
        <v>19</v>
      </c>
      <c r="I37" s="2">
        <f t="shared" si="21"/>
        <v>15</v>
      </c>
      <c r="J37" s="2">
        <f t="shared" si="22"/>
        <v>3</v>
      </c>
      <c r="K37" s="2">
        <f t="shared" si="23"/>
        <v>6</v>
      </c>
      <c r="L37" s="2">
        <f t="shared" si="24"/>
        <v>9</v>
      </c>
      <c r="M37" s="34">
        <f t="shared" si="25"/>
        <v>4</v>
      </c>
      <c r="N37" s="56">
        <v>1.0</v>
      </c>
      <c r="O37" s="3">
        <f t="shared" si="4"/>
        <v>1.807692308</v>
      </c>
      <c r="P37" s="2">
        <f t="shared" si="26"/>
        <v>15</v>
      </c>
      <c r="Q37" s="2">
        <f t="shared" si="27"/>
        <v>12</v>
      </c>
      <c r="R37" s="2">
        <f t="shared" si="28"/>
        <v>6</v>
      </c>
      <c r="S37" s="2">
        <f t="shared" si="29"/>
        <v>20</v>
      </c>
      <c r="T37" s="2">
        <f t="shared" si="30"/>
        <v>13</v>
      </c>
      <c r="U37" s="2">
        <f t="shared" si="31"/>
        <v>4</v>
      </c>
      <c r="V37" s="2">
        <f t="shared" si="32"/>
        <v>8</v>
      </c>
      <c r="W37" s="2">
        <f t="shared" si="33"/>
        <v>7</v>
      </c>
      <c r="X37" s="34">
        <f t="shared" si="34"/>
        <v>5</v>
      </c>
      <c r="Y37" s="56">
        <v>4.0</v>
      </c>
      <c r="Z37" s="3">
        <f t="shared" si="5"/>
        <v>2.576923077</v>
      </c>
      <c r="AA37" s="2">
        <f t="shared" si="35"/>
        <v>15</v>
      </c>
      <c r="AB37" s="2">
        <f t="shared" si="36"/>
        <v>10</v>
      </c>
      <c r="AC37" s="2">
        <f t="shared" si="37"/>
        <v>9</v>
      </c>
      <c r="AD37" s="2">
        <f t="shared" si="38"/>
        <v>17</v>
      </c>
      <c r="AE37" s="2">
        <f t="shared" si="39"/>
        <v>17</v>
      </c>
      <c r="AF37" s="2">
        <f t="shared" si="40"/>
        <v>0</v>
      </c>
      <c r="AG37" s="2">
        <f t="shared" si="41"/>
        <v>7</v>
      </c>
      <c r="AH37" s="2">
        <f t="shared" si="42"/>
        <v>8</v>
      </c>
      <c r="AI37" s="34">
        <f t="shared" si="43"/>
        <v>2</v>
      </c>
      <c r="AJ37" s="2">
        <v>1.0</v>
      </c>
      <c r="AK37" s="3">
        <f t="shared" si="6"/>
        <v>2.269230769</v>
      </c>
      <c r="AL37" s="2">
        <f t="shared" si="44"/>
        <v>13</v>
      </c>
      <c r="AM37" s="2">
        <f t="shared" si="45"/>
        <v>11</v>
      </c>
      <c r="AN37" s="2">
        <f t="shared" si="46"/>
        <v>9</v>
      </c>
      <c r="AO37" s="2">
        <f t="shared" si="47"/>
        <v>19</v>
      </c>
      <c r="AP37" s="2">
        <f t="shared" si="48"/>
        <v>14</v>
      </c>
      <c r="AQ37" s="2">
        <f t="shared" si="49"/>
        <v>2</v>
      </c>
      <c r="AR37" s="2">
        <f t="shared" si="50"/>
        <v>8</v>
      </c>
      <c r="AS37" s="2">
        <f t="shared" si="51"/>
        <v>5</v>
      </c>
      <c r="AT37" s="34">
        <f t="shared" si="52"/>
        <v>6</v>
      </c>
      <c r="AU37" s="2"/>
      <c r="AV37" s="3">
        <f t="shared" si="7"/>
        <v>2.235294118</v>
      </c>
      <c r="AW37" s="2">
        <f t="shared" si="53"/>
        <v>10</v>
      </c>
      <c r="AX37" s="2">
        <f t="shared" si="54"/>
        <v>9</v>
      </c>
      <c r="AY37" s="2">
        <f t="shared" si="55"/>
        <v>5</v>
      </c>
      <c r="AZ37" s="2">
        <f t="shared" si="56"/>
        <v>13</v>
      </c>
      <c r="BA37" s="2">
        <f t="shared" si="57"/>
        <v>11</v>
      </c>
      <c r="BB37" s="2">
        <f t="shared" si="58"/>
        <v>10</v>
      </c>
      <c r="BC37" s="2">
        <f t="shared" si="59"/>
        <v>4</v>
      </c>
      <c r="BD37" s="2">
        <f t="shared" si="60"/>
        <v>6</v>
      </c>
      <c r="BE37" s="34">
        <f t="shared" si="61"/>
        <v>3</v>
      </c>
      <c r="BF37" s="36">
        <f t="shared" ref="BF37:BO37" si="108">+(AK37+Z37+O37+D37)/4</f>
        <v>2.192307692</v>
      </c>
      <c r="BG37" s="2">
        <f t="shared" si="108"/>
        <v>14.5</v>
      </c>
      <c r="BH37" s="2">
        <f t="shared" si="108"/>
        <v>11.5</v>
      </c>
      <c r="BI37" s="2">
        <f t="shared" si="108"/>
        <v>7.5</v>
      </c>
      <c r="BJ37" s="2">
        <f t="shared" si="108"/>
        <v>18.75</v>
      </c>
      <c r="BK37" s="2">
        <f t="shared" si="108"/>
        <v>14.75</v>
      </c>
      <c r="BL37" s="2">
        <f t="shared" si="108"/>
        <v>2.25</v>
      </c>
      <c r="BM37" s="2">
        <f t="shared" si="108"/>
        <v>7.25</v>
      </c>
      <c r="BN37" s="2">
        <f t="shared" si="108"/>
        <v>7.25</v>
      </c>
      <c r="BO37" s="2">
        <f t="shared" si="108"/>
        <v>4.25</v>
      </c>
      <c r="BP37" s="37">
        <f t="shared" si="9"/>
        <v>0.04298642534</v>
      </c>
      <c r="BQ37" s="38">
        <f t="shared" si="10"/>
        <v>0.03846153846</v>
      </c>
      <c r="BR37" s="38">
        <f t="shared" si="11"/>
        <v>0.1538461538</v>
      </c>
      <c r="BS37" s="38">
        <f t="shared" si="12"/>
        <v>0.2307692308</v>
      </c>
      <c r="BT37" s="38">
        <f t="shared" si="13"/>
        <v>0.1153846154</v>
      </c>
      <c r="BU37" s="38">
        <f t="shared" si="14"/>
        <v>0.1153846154</v>
      </c>
      <c r="BV37" s="38">
        <f t="shared" si="15"/>
        <v>0.9615384615</v>
      </c>
      <c r="BW37" s="38">
        <f t="shared" ref="BW37:BX37" si="109">+BR37+BS37+BT37</f>
        <v>0.5</v>
      </c>
      <c r="BX37" s="39">
        <f t="shared" si="109"/>
        <v>0.4615384615</v>
      </c>
      <c r="BY37" s="1"/>
    </row>
    <row r="38" ht="15.75" customHeight="1">
      <c r="A38" s="54"/>
      <c r="B38" s="40">
        <v>27.0</v>
      </c>
      <c r="C38" s="55">
        <v>5.0</v>
      </c>
      <c r="D38" s="27">
        <f t="shared" si="3"/>
        <v>2.222222222</v>
      </c>
      <c r="E38" s="24">
        <f t="shared" si="17"/>
        <v>15</v>
      </c>
      <c r="F38" s="2">
        <f t="shared" si="18"/>
        <v>13</v>
      </c>
      <c r="G38" s="24">
        <f t="shared" si="19"/>
        <v>6</v>
      </c>
      <c r="H38" s="24">
        <f t="shared" si="20"/>
        <v>19</v>
      </c>
      <c r="I38" s="24">
        <f t="shared" si="21"/>
        <v>15</v>
      </c>
      <c r="J38" s="24">
        <f t="shared" si="22"/>
        <v>3</v>
      </c>
      <c r="K38" s="24">
        <f t="shared" si="23"/>
        <v>6</v>
      </c>
      <c r="L38" s="24">
        <f t="shared" si="24"/>
        <v>9</v>
      </c>
      <c r="M38" s="28">
        <f t="shared" si="25"/>
        <v>4</v>
      </c>
      <c r="N38" s="24">
        <v>0.0</v>
      </c>
      <c r="O38" s="27">
        <f t="shared" si="4"/>
        <v>1.740740741</v>
      </c>
      <c r="P38" s="24">
        <f t="shared" si="26"/>
        <v>15</v>
      </c>
      <c r="Q38" s="2">
        <f t="shared" si="27"/>
        <v>12</v>
      </c>
      <c r="R38" s="24">
        <f t="shared" si="28"/>
        <v>6</v>
      </c>
      <c r="S38" s="24">
        <f t="shared" si="29"/>
        <v>20</v>
      </c>
      <c r="T38" s="24">
        <f t="shared" si="30"/>
        <v>13</v>
      </c>
      <c r="U38" s="24">
        <f t="shared" si="31"/>
        <v>5</v>
      </c>
      <c r="V38" s="24">
        <f t="shared" si="32"/>
        <v>8</v>
      </c>
      <c r="W38" s="24">
        <f t="shared" si="33"/>
        <v>7</v>
      </c>
      <c r="X38" s="28">
        <f t="shared" si="34"/>
        <v>5</v>
      </c>
      <c r="Y38" s="24">
        <v>2.0</v>
      </c>
      <c r="Z38" s="27">
        <f t="shared" si="5"/>
        <v>2.555555556</v>
      </c>
      <c r="AA38" s="24">
        <f t="shared" si="35"/>
        <v>16</v>
      </c>
      <c r="AB38" s="2">
        <f t="shared" si="36"/>
        <v>11</v>
      </c>
      <c r="AC38" s="24">
        <f t="shared" si="37"/>
        <v>9</v>
      </c>
      <c r="AD38" s="24">
        <f t="shared" si="38"/>
        <v>18</v>
      </c>
      <c r="AE38" s="24">
        <f t="shared" si="39"/>
        <v>18</v>
      </c>
      <c r="AF38" s="24">
        <f t="shared" si="40"/>
        <v>0</v>
      </c>
      <c r="AG38" s="24">
        <f t="shared" si="41"/>
        <v>7</v>
      </c>
      <c r="AH38" s="24">
        <f t="shared" si="42"/>
        <v>9</v>
      </c>
      <c r="AI38" s="28">
        <f t="shared" si="43"/>
        <v>2</v>
      </c>
      <c r="AJ38" s="55">
        <v>1.0</v>
      </c>
      <c r="AK38" s="27">
        <f t="shared" si="6"/>
        <v>2.222222222</v>
      </c>
      <c r="AL38" s="24">
        <f t="shared" si="44"/>
        <v>14</v>
      </c>
      <c r="AM38" s="2">
        <f t="shared" si="45"/>
        <v>11</v>
      </c>
      <c r="AN38" s="24">
        <f t="shared" si="46"/>
        <v>9</v>
      </c>
      <c r="AO38" s="24">
        <f t="shared" si="47"/>
        <v>20</v>
      </c>
      <c r="AP38" s="24">
        <f t="shared" si="48"/>
        <v>14</v>
      </c>
      <c r="AQ38" s="24">
        <f t="shared" si="49"/>
        <v>2</v>
      </c>
      <c r="AR38" s="24">
        <f t="shared" si="50"/>
        <v>9</v>
      </c>
      <c r="AS38" s="24">
        <f t="shared" si="51"/>
        <v>5</v>
      </c>
      <c r="AT38" s="28">
        <f t="shared" si="52"/>
        <v>6</v>
      </c>
      <c r="AU38" s="24"/>
      <c r="AV38" s="27">
        <f t="shared" si="7"/>
        <v>2.235294118</v>
      </c>
      <c r="AW38" s="24">
        <f t="shared" si="53"/>
        <v>10</v>
      </c>
      <c r="AX38" s="2">
        <f t="shared" si="54"/>
        <v>9</v>
      </c>
      <c r="AY38" s="24">
        <f t="shared" si="55"/>
        <v>5</v>
      </c>
      <c r="AZ38" s="24">
        <f t="shared" si="56"/>
        <v>13</v>
      </c>
      <c r="BA38" s="24">
        <f t="shared" si="57"/>
        <v>11</v>
      </c>
      <c r="BB38" s="24">
        <f t="shared" si="58"/>
        <v>11</v>
      </c>
      <c r="BC38" s="24">
        <f t="shared" si="59"/>
        <v>4</v>
      </c>
      <c r="BD38" s="24">
        <f t="shared" si="60"/>
        <v>6</v>
      </c>
      <c r="BE38" s="28">
        <f t="shared" si="61"/>
        <v>3</v>
      </c>
      <c r="BF38" s="29">
        <f t="shared" ref="BF38:BO38" si="110">+(AK38+Z38+O38+D38)/4</f>
        <v>2.185185185</v>
      </c>
      <c r="BG38" s="24">
        <f t="shared" si="110"/>
        <v>15</v>
      </c>
      <c r="BH38" s="24">
        <f t="shared" si="110"/>
        <v>11.75</v>
      </c>
      <c r="BI38" s="24">
        <f t="shared" si="110"/>
        <v>7.5</v>
      </c>
      <c r="BJ38" s="24">
        <f t="shared" si="110"/>
        <v>19.25</v>
      </c>
      <c r="BK38" s="24">
        <f t="shared" si="110"/>
        <v>15</v>
      </c>
      <c r="BL38" s="24">
        <f t="shared" si="110"/>
        <v>2.5</v>
      </c>
      <c r="BM38" s="24">
        <f t="shared" si="110"/>
        <v>7.5</v>
      </c>
      <c r="BN38" s="24">
        <f t="shared" si="110"/>
        <v>7.5</v>
      </c>
      <c r="BO38" s="24">
        <f t="shared" si="110"/>
        <v>4.25</v>
      </c>
      <c r="BP38" s="30">
        <f t="shared" si="9"/>
        <v>0.05010893246</v>
      </c>
      <c r="BQ38" s="31">
        <f t="shared" si="10"/>
        <v>0.03703703704</v>
      </c>
      <c r="BR38" s="31">
        <f t="shared" si="11"/>
        <v>0.1481481481</v>
      </c>
      <c r="BS38" s="31">
        <f t="shared" si="12"/>
        <v>0.2222222222</v>
      </c>
      <c r="BT38" s="31">
        <f t="shared" si="13"/>
        <v>0.1111111111</v>
      </c>
      <c r="BU38" s="31">
        <f t="shared" si="14"/>
        <v>0.1111111111</v>
      </c>
      <c r="BV38" s="31">
        <f t="shared" si="15"/>
        <v>0.962962963</v>
      </c>
      <c r="BW38" s="31">
        <f t="shared" ref="BW38:BX38" si="111">+BR38+BS38+BT38</f>
        <v>0.4814814815</v>
      </c>
      <c r="BX38" s="32">
        <f t="shared" si="111"/>
        <v>0.4444444444</v>
      </c>
      <c r="BY38" s="54"/>
    </row>
    <row r="39" ht="15.75" customHeight="1">
      <c r="A39" s="1"/>
      <c r="B39" s="33">
        <v>28.0</v>
      </c>
      <c r="C39" s="2">
        <v>1.0</v>
      </c>
      <c r="D39" s="3">
        <f t="shared" si="3"/>
        <v>2.178571429</v>
      </c>
      <c r="E39" s="2">
        <f t="shared" si="17"/>
        <v>16</v>
      </c>
      <c r="F39" s="2">
        <f t="shared" si="18"/>
        <v>13</v>
      </c>
      <c r="G39" s="2">
        <f t="shared" si="19"/>
        <v>6</v>
      </c>
      <c r="H39" s="2">
        <f t="shared" si="20"/>
        <v>20</v>
      </c>
      <c r="I39" s="2">
        <f t="shared" si="21"/>
        <v>15</v>
      </c>
      <c r="J39" s="2">
        <f t="shared" si="22"/>
        <v>3</v>
      </c>
      <c r="K39" s="2">
        <f t="shared" si="23"/>
        <v>7</v>
      </c>
      <c r="L39" s="2">
        <f t="shared" si="24"/>
        <v>9</v>
      </c>
      <c r="M39" s="34">
        <f t="shared" si="25"/>
        <v>4</v>
      </c>
      <c r="N39" s="2">
        <v>0.0</v>
      </c>
      <c r="O39" s="3">
        <f t="shared" si="4"/>
        <v>1.678571429</v>
      </c>
      <c r="P39" s="2">
        <f t="shared" si="26"/>
        <v>15</v>
      </c>
      <c r="Q39" s="2">
        <f t="shared" si="27"/>
        <v>12</v>
      </c>
      <c r="R39" s="2">
        <f t="shared" si="28"/>
        <v>6</v>
      </c>
      <c r="S39" s="2">
        <f t="shared" si="29"/>
        <v>20</v>
      </c>
      <c r="T39" s="2">
        <f t="shared" si="30"/>
        <v>13</v>
      </c>
      <c r="U39" s="2">
        <f t="shared" si="31"/>
        <v>6</v>
      </c>
      <c r="V39" s="2">
        <f t="shared" si="32"/>
        <v>8</v>
      </c>
      <c r="W39" s="2">
        <f t="shared" si="33"/>
        <v>7</v>
      </c>
      <c r="X39" s="34">
        <f t="shared" si="34"/>
        <v>5</v>
      </c>
      <c r="Y39" s="56">
        <v>1.0</v>
      </c>
      <c r="Z39" s="3">
        <f t="shared" si="5"/>
        <v>2.5</v>
      </c>
      <c r="AA39" s="2">
        <f t="shared" si="35"/>
        <v>17</v>
      </c>
      <c r="AB39" s="2">
        <f t="shared" si="36"/>
        <v>11</v>
      </c>
      <c r="AC39" s="2">
        <f t="shared" si="37"/>
        <v>9</v>
      </c>
      <c r="AD39" s="2">
        <f t="shared" si="38"/>
        <v>19</v>
      </c>
      <c r="AE39" s="2">
        <f t="shared" si="39"/>
        <v>18</v>
      </c>
      <c r="AF39" s="2">
        <f t="shared" si="40"/>
        <v>0</v>
      </c>
      <c r="AG39" s="2">
        <f t="shared" si="41"/>
        <v>8</v>
      </c>
      <c r="AH39" s="2">
        <f t="shared" si="42"/>
        <v>9</v>
      </c>
      <c r="AI39" s="34">
        <f t="shared" si="43"/>
        <v>2</v>
      </c>
      <c r="AJ39" s="2">
        <v>3.0</v>
      </c>
      <c r="AK39" s="3">
        <f t="shared" si="6"/>
        <v>2.25</v>
      </c>
      <c r="AL39" s="2">
        <f t="shared" si="44"/>
        <v>14</v>
      </c>
      <c r="AM39" s="2">
        <f t="shared" si="45"/>
        <v>12</v>
      </c>
      <c r="AN39" s="2">
        <f t="shared" si="46"/>
        <v>10</v>
      </c>
      <c r="AO39" s="2">
        <f t="shared" si="47"/>
        <v>21</v>
      </c>
      <c r="AP39" s="2">
        <f t="shared" si="48"/>
        <v>15</v>
      </c>
      <c r="AQ39" s="2">
        <f t="shared" si="49"/>
        <v>2</v>
      </c>
      <c r="AR39" s="2">
        <f t="shared" si="50"/>
        <v>9</v>
      </c>
      <c r="AS39" s="2">
        <f t="shared" si="51"/>
        <v>5</v>
      </c>
      <c r="AT39" s="34">
        <f t="shared" si="52"/>
        <v>7</v>
      </c>
      <c r="AU39" s="2"/>
      <c r="AV39" s="3">
        <f t="shared" si="7"/>
        <v>2.235294118</v>
      </c>
      <c r="AW39" s="2">
        <f t="shared" si="53"/>
        <v>10</v>
      </c>
      <c r="AX39" s="2">
        <f t="shared" si="54"/>
        <v>9</v>
      </c>
      <c r="AY39" s="2">
        <f t="shared" si="55"/>
        <v>5</v>
      </c>
      <c r="AZ39" s="2">
        <f t="shared" si="56"/>
        <v>13</v>
      </c>
      <c r="BA39" s="2">
        <f t="shared" si="57"/>
        <v>11</v>
      </c>
      <c r="BB39" s="2">
        <f t="shared" si="58"/>
        <v>12</v>
      </c>
      <c r="BC39" s="2">
        <f t="shared" si="59"/>
        <v>4</v>
      </c>
      <c r="BD39" s="2">
        <f t="shared" si="60"/>
        <v>6</v>
      </c>
      <c r="BE39" s="34">
        <f t="shared" si="61"/>
        <v>3</v>
      </c>
      <c r="BF39" s="36">
        <f t="shared" ref="BF39:BO39" si="112">+(AK39+Z39+O39+D39)/4</f>
        <v>2.151785714</v>
      </c>
      <c r="BG39" s="2">
        <f t="shared" si="112"/>
        <v>15.5</v>
      </c>
      <c r="BH39" s="2">
        <f t="shared" si="112"/>
        <v>12</v>
      </c>
      <c r="BI39" s="2">
        <f t="shared" si="112"/>
        <v>7.75</v>
      </c>
      <c r="BJ39" s="2">
        <f t="shared" si="112"/>
        <v>20</v>
      </c>
      <c r="BK39" s="2">
        <f t="shared" si="112"/>
        <v>15.25</v>
      </c>
      <c r="BL39" s="2">
        <f t="shared" si="112"/>
        <v>2.75</v>
      </c>
      <c r="BM39" s="2">
        <f t="shared" si="112"/>
        <v>8</v>
      </c>
      <c r="BN39" s="2">
        <f t="shared" si="112"/>
        <v>7.5</v>
      </c>
      <c r="BO39" s="2">
        <f t="shared" si="112"/>
        <v>4.5</v>
      </c>
      <c r="BP39" s="37">
        <f t="shared" si="9"/>
        <v>0.08350840336</v>
      </c>
      <c r="BQ39" s="38">
        <f t="shared" si="10"/>
        <v>0.03571428571</v>
      </c>
      <c r="BR39" s="38">
        <f t="shared" si="11"/>
        <v>0.1428571429</v>
      </c>
      <c r="BS39" s="38">
        <f t="shared" si="12"/>
        <v>0.2142857143</v>
      </c>
      <c r="BT39" s="38">
        <f t="shared" si="13"/>
        <v>0.1071428571</v>
      </c>
      <c r="BU39" s="38">
        <f t="shared" si="14"/>
        <v>0.1071428571</v>
      </c>
      <c r="BV39" s="38">
        <f t="shared" si="15"/>
        <v>0.9642857143</v>
      </c>
      <c r="BW39" s="38">
        <f t="shared" ref="BW39:BX39" si="113">+BR39+BS39+BT39</f>
        <v>0.4642857143</v>
      </c>
      <c r="BX39" s="39">
        <f t="shared" si="113"/>
        <v>0.4285714286</v>
      </c>
      <c r="BY39" s="1"/>
    </row>
    <row r="40" ht="15.75" customHeight="1">
      <c r="A40" s="54"/>
      <c r="B40" s="40">
        <v>29.0</v>
      </c>
      <c r="C40" s="55">
        <v>1.0</v>
      </c>
      <c r="D40" s="27">
        <f t="shared" si="3"/>
        <v>2.137931034</v>
      </c>
      <c r="E40" s="24">
        <f t="shared" si="17"/>
        <v>17</v>
      </c>
      <c r="F40" s="2">
        <f t="shared" si="18"/>
        <v>13</v>
      </c>
      <c r="G40" s="24">
        <f t="shared" si="19"/>
        <v>6</v>
      </c>
      <c r="H40" s="24">
        <f t="shared" si="20"/>
        <v>21</v>
      </c>
      <c r="I40" s="24">
        <f t="shared" si="21"/>
        <v>15</v>
      </c>
      <c r="J40" s="24">
        <f t="shared" si="22"/>
        <v>3</v>
      </c>
      <c r="K40" s="24">
        <f t="shared" si="23"/>
        <v>8</v>
      </c>
      <c r="L40" s="24">
        <f t="shared" si="24"/>
        <v>9</v>
      </c>
      <c r="M40" s="28">
        <f t="shared" si="25"/>
        <v>4</v>
      </c>
      <c r="N40" s="55">
        <v>1.0</v>
      </c>
      <c r="O40" s="27">
        <f t="shared" si="4"/>
        <v>1.655172414</v>
      </c>
      <c r="P40" s="24">
        <f t="shared" si="26"/>
        <v>16</v>
      </c>
      <c r="Q40" s="2">
        <f t="shared" si="27"/>
        <v>12</v>
      </c>
      <c r="R40" s="24">
        <f t="shared" si="28"/>
        <v>6</v>
      </c>
      <c r="S40" s="24">
        <f t="shared" si="29"/>
        <v>21</v>
      </c>
      <c r="T40" s="24">
        <f t="shared" si="30"/>
        <v>13</v>
      </c>
      <c r="U40" s="24">
        <f t="shared" si="31"/>
        <v>6</v>
      </c>
      <c r="V40" s="24">
        <f t="shared" si="32"/>
        <v>9</v>
      </c>
      <c r="W40" s="24">
        <f t="shared" si="33"/>
        <v>7</v>
      </c>
      <c r="X40" s="28">
        <f t="shared" si="34"/>
        <v>5</v>
      </c>
      <c r="Y40" s="24">
        <v>1.0</v>
      </c>
      <c r="Z40" s="27">
        <f t="shared" si="5"/>
        <v>2.448275862</v>
      </c>
      <c r="AA40" s="24">
        <f t="shared" si="35"/>
        <v>18</v>
      </c>
      <c r="AB40" s="2">
        <f t="shared" si="36"/>
        <v>11</v>
      </c>
      <c r="AC40" s="24">
        <f t="shared" si="37"/>
        <v>9</v>
      </c>
      <c r="AD40" s="24">
        <f t="shared" si="38"/>
        <v>20</v>
      </c>
      <c r="AE40" s="24">
        <f t="shared" si="39"/>
        <v>18</v>
      </c>
      <c r="AF40" s="24">
        <f t="shared" si="40"/>
        <v>0</v>
      </c>
      <c r="AG40" s="24">
        <f t="shared" si="41"/>
        <v>9</v>
      </c>
      <c r="AH40" s="24">
        <f t="shared" si="42"/>
        <v>9</v>
      </c>
      <c r="AI40" s="28">
        <f t="shared" si="43"/>
        <v>2</v>
      </c>
      <c r="AJ40" s="55">
        <v>2.0</v>
      </c>
      <c r="AK40" s="27">
        <f t="shared" si="6"/>
        <v>2.24137931</v>
      </c>
      <c r="AL40" s="24">
        <f t="shared" si="44"/>
        <v>15</v>
      </c>
      <c r="AM40" s="2">
        <f t="shared" si="45"/>
        <v>13</v>
      </c>
      <c r="AN40" s="24">
        <f t="shared" si="46"/>
        <v>10</v>
      </c>
      <c r="AO40" s="24">
        <f t="shared" si="47"/>
        <v>22</v>
      </c>
      <c r="AP40" s="24">
        <f t="shared" si="48"/>
        <v>16</v>
      </c>
      <c r="AQ40" s="24">
        <f t="shared" si="49"/>
        <v>2</v>
      </c>
      <c r="AR40" s="24">
        <f t="shared" si="50"/>
        <v>9</v>
      </c>
      <c r="AS40" s="24">
        <f t="shared" si="51"/>
        <v>6</v>
      </c>
      <c r="AT40" s="28">
        <f t="shared" si="52"/>
        <v>7</v>
      </c>
      <c r="AU40" s="24"/>
      <c r="AV40" s="27">
        <f t="shared" si="7"/>
        <v>2.235294118</v>
      </c>
      <c r="AW40" s="24">
        <f t="shared" si="53"/>
        <v>10</v>
      </c>
      <c r="AX40" s="2">
        <f t="shared" si="54"/>
        <v>9</v>
      </c>
      <c r="AY40" s="24">
        <f t="shared" si="55"/>
        <v>5</v>
      </c>
      <c r="AZ40" s="24">
        <f t="shared" si="56"/>
        <v>13</v>
      </c>
      <c r="BA40" s="24">
        <f t="shared" si="57"/>
        <v>11</v>
      </c>
      <c r="BB40" s="24">
        <f t="shared" si="58"/>
        <v>13</v>
      </c>
      <c r="BC40" s="24">
        <f t="shared" si="59"/>
        <v>4</v>
      </c>
      <c r="BD40" s="24">
        <f t="shared" si="60"/>
        <v>6</v>
      </c>
      <c r="BE40" s="28">
        <f t="shared" si="61"/>
        <v>3</v>
      </c>
      <c r="BF40" s="29">
        <f t="shared" ref="BF40:BO40" si="114">+(AK40+Z40+O40+D40)/4</f>
        <v>2.120689655</v>
      </c>
      <c r="BG40" s="24">
        <f t="shared" si="114"/>
        <v>16.5</v>
      </c>
      <c r="BH40" s="24">
        <f t="shared" si="114"/>
        <v>12.25</v>
      </c>
      <c r="BI40" s="24">
        <f t="shared" si="114"/>
        <v>7.75</v>
      </c>
      <c r="BJ40" s="24">
        <f t="shared" si="114"/>
        <v>21</v>
      </c>
      <c r="BK40" s="24">
        <f t="shared" si="114"/>
        <v>15.5</v>
      </c>
      <c r="BL40" s="24">
        <f t="shared" si="114"/>
        <v>2.75</v>
      </c>
      <c r="BM40" s="24">
        <f t="shared" si="114"/>
        <v>8.75</v>
      </c>
      <c r="BN40" s="24">
        <f t="shared" si="114"/>
        <v>7.75</v>
      </c>
      <c r="BO40" s="24">
        <f t="shared" si="114"/>
        <v>4.5</v>
      </c>
      <c r="BP40" s="30">
        <f t="shared" si="9"/>
        <v>0.1146044625</v>
      </c>
      <c r="BQ40" s="31">
        <f t="shared" si="10"/>
        <v>0.03448275862</v>
      </c>
      <c r="BR40" s="31">
        <f t="shared" si="11"/>
        <v>0.1379310345</v>
      </c>
      <c r="BS40" s="31">
        <f t="shared" si="12"/>
        <v>0.2068965517</v>
      </c>
      <c r="BT40" s="31">
        <f t="shared" si="13"/>
        <v>0.1034482759</v>
      </c>
      <c r="BU40" s="31">
        <f t="shared" si="14"/>
        <v>0.1034482759</v>
      </c>
      <c r="BV40" s="31">
        <f t="shared" si="15"/>
        <v>0.9655172414</v>
      </c>
      <c r="BW40" s="31">
        <f t="shared" ref="BW40:BX40" si="115">+BR40+BS40+BT40</f>
        <v>0.4482758621</v>
      </c>
      <c r="BX40" s="32">
        <f t="shared" si="115"/>
        <v>0.4137931034</v>
      </c>
      <c r="BY40" s="54"/>
    </row>
    <row r="41" ht="15.75" customHeight="1">
      <c r="A41" s="1"/>
      <c r="B41" s="42">
        <v>30.0</v>
      </c>
      <c r="C41" s="43">
        <v>1.0</v>
      </c>
      <c r="D41" s="3">
        <f t="shared" si="3"/>
        <v>2.1</v>
      </c>
      <c r="E41" s="43">
        <f t="shared" si="17"/>
        <v>18</v>
      </c>
      <c r="F41" s="2">
        <f t="shared" si="18"/>
        <v>13</v>
      </c>
      <c r="G41" s="43">
        <f t="shared" si="19"/>
        <v>6</v>
      </c>
      <c r="H41" s="43">
        <f t="shared" si="20"/>
        <v>22</v>
      </c>
      <c r="I41" s="43">
        <f t="shared" si="21"/>
        <v>15</v>
      </c>
      <c r="J41" s="43">
        <f t="shared" si="22"/>
        <v>3</v>
      </c>
      <c r="K41" s="43">
        <f t="shared" si="23"/>
        <v>9</v>
      </c>
      <c r="L41" s="43">
        <f t="shared" si="24"/>
        <v>9</v>
      </c>
      <c r="M41" s="44">
        <f t="shared" si="25"/>
        <v>4</v>
      </c>
      <c r="N41" s="43">
        <v>1.0</v>
      </c>
      <c r="O41" s="3">
        <f t="shared" si="4"/>
        <v>1.633333333</v>
      </c>
      <c r="P41" s="43">
        <f t="shared" si="26"/>
        <v>17</v>
      </c>
      <c r="Q41" s="2">
        <f t="shared" si="27"/>
        <v>12</v>
      </c>
      <c r="R41" s="43">
        <f t="shared" si="28"/>
        <v>6</v>
      </c>
      <c r="S41" s="43">
        <f t="shared" si="29"/>
        <v>22</v>
      </c>
      <c r="T41" s="43">
        <f t="shared" si="30"/>
        <v>13</v>
      </c>
      <c r="U41" s="43">
        <f t="shared" si="31"/>
        <v>6</v>
      </c>
      <c r="V41" s="43">
        <f t="shared" si="32"/>
        <v>10</v>
      </c>
      <c r="W41" s="43">
        <f t="shared" si="33"/>
        <v>7</v>
      </c>
      <c r="X41" s="44">
        <f t="shared" si="34"/>
        <v>5</v>
      </c>
      <c r="Y41" s="43">
        <v>2.0</v>
      </c>
      <c r="Z41" s="3">
        <f t="shared" si="5"/>
        <v>2.433333333</v>
      </c>
      <c r="AA41" s="43">
        <f t="shared" si="35"/>
        <v>19</v>
      </c>
      <c r="AB41" s="2">
        <f t="shared" si="36"/>
        <v>12</v>
      </c>
      <c r="AC41" s="43">
        <f t="shared" si="37"/>
        <v>9</v>
      </c>
      <c r="AD41" s="43">
        <f t="shared" si="38"/>
        <v>21</v>
      </c>
      <c r="AE41" s="43">
        <f t="shared" si="39"/>
        <v>19</v>
      </c>
      <c r="AF41" s="43">
        <f t="shared" si="40"/>
        <v>0</v>
      </c>
      <c r="AG41" s="43">
        <f t="shared" si="41"/>
        <v>9</v>
      </c>
      <c r="AH41" s="43">
        <f t="shared" si="42"/>
        <v>10</v>
      </c>
      <c r="AI41" s="44">
        <f t="shared" si="43"/>
        <v>2</v>
      </c>
      <c r="AJ41" s="43">
        <v>2.0</v>
      </c>
      <c r="AK41" s="3">
        <f t="shared" si="6"/>
        <v>2.233333333</v>
      </c>
      <c r="AL41" s="43">
        <f t="shared" si="44"/>
        <v>16</v>
      </c>
      <c r="AM41" s="2">
        <f t="shared" si="45"/>
        <v>14</v>
      </c>
      <c r="AN41" s="43">
        <f t="shared" si="46"/>
        <v>10</v>
      </c>
      <c r="AO41" s="43">
        <f t="shared" si="47"/>
        <v>23</v>
      </c>
      <c r="AP41" s="43">
        <f t="shared" si="48"/>
        <v>17</v>
      </c>
      <c r="AQ41" s="43">
        <f t="shared" si="49"/>
        <v>2</v>
      </c>
      <c r="AR41" s="43">
        <f t="shared" si="50"/>
        <v>9</v>
      </c>
      <c r="AS41" s="43">
        <f t="shared" si="51"/>
        <v>7</v>
      </c>
      <c r="AT41" s="44">
        <f t="shared" si="52"/>
        <v>7</v>
      </c>
      <c r="AU41" s="43"/>
      <c r="AV41" s="3">
        <f t="shared" si="7"/>
        <v>2.235294118</v>
      </c>
      <c r="AW41" s="43">
        <f t="shared" si="53"/>
        <v>10</v>
      </c>
      <c r="AX41" s="2">
        <f t="shared" si="54"/>
        <v>9</v>
      </c>
      <c r="AY41" s="43">
        <f t="shared" si="55"/>
        <v>5</v>
      </c>
      <c r="AZ41" s="43">
        <f t="shared" si="56"/>
        <v>13</v>
      </c>
      <c r="BA41" s="43">
        <f t="shared" si="57"/>
        <v>11</v>
      </c>
      <c r="BB41" s="43">
        <f t="shared" si="58"/>
        <v>14</v>
      </c>
      <c r="BC41" s="43">
        <f t="shared" si="59"/>
        <v>4</v>
      </c>
      <c r="BD41" s="43">
        <f t="shared" si="60"/>
        <v>6</v>
      </c>
      <c r="BE41" s="44">
        <f t="shared" si="61"/>
        <v>3</v>
      </c>
      <c r="BF41" s="46">
        <f t="shared" ref="BF41:BO41" si="116">+(AK41+Z41+O41+D41)/4</f>
        <v>2.1</v>
      </c>
      <c r="BG41" s="43">
        <f t="shared" si="116"/>
        <v>17.5</v>
      </c>
      <c r="BH41" s="43">
        <f t="shared" si="116"/>
        <v>12.75</v>
      </c>
      <c r="BI41" s="43">
        <f t="shared" si="116"/>
        <v>7.75</v>
      </c>
      <c r="BJ41" s="43">
        <f t="shared" si="116"/>
        <v>22</v>
      </c>
      <c r="BK41" s="43">
        <f t="shared" si="116"/>
        <v>16</v>
      </c>
      <c r="BL41" s="43">
        <f t="shared" si="116"/>
        <v>2.75</v>
      </c>
      <c r="BM41" s="43">
        <f t="shared" si="116"/>
        <v>9.25</v>
      </c>
      <c r="BN41" s="43">
        <f t="shared" si="116"/>
        <v>8.25</v>
      </c>
      <c r="BO41" s="43">
        <f t="shared" si="116"/>
        <v>4.5</v>
      </c>
      <c r="BP41" s="37">
        <f t="shared" si="9"/>
        <v>0.1352941176</v>
      </c>
      <c r="BQ41" s="38">
        <f t="shared" si="10"/>
        <v>0.03333333333</v>
      </c>
      <c r="BR41" s="38">
        <f t="shared" si="11"/>
        <v>0.1333333333</v>
      </c>
      <c r="BS41" s="38">
        <f t="shared" si="12"/>
        <v>0.2</v>
      </c>
      <c r="BT41" s="38">
        <f t="shared" si="13"/>
        <v>0.1</v>
      </c>
      <c r="BU41" s="38">
        <f t="shared" si="14"/>
        <v>0.1</v>
      </c>
      <c r="BV41" s="38">
        <f t="shared" si="15"/>
        <v>0.9666666667</v>
      </c>
      <c r="BW41" s="38">
        <f t="shared" ref="BW41:BX41" si="117">+BR41+BS41+BT41</f>
        <v>0.4333333333</v>
      </c>
      <c r="BX41" s="39">
        <f t="shared" si="117"/>
        <v>0.4</v>
      </c>
      <c r="BY41" s="1"/>
    </row>
    <row r="42" ht="15.75" customHeight="1">
      <c r="A42" s="54"/>
      <c r="B42" s="40">
        <v>31.0</v>
      </c>
      <c r="C42" s="55">
        <v>2.0</v>
      </c>
      <c r="D42" s="27">
        <f t="shared" si="3"/>
        <v>2.096774194</v>
      </c>
      <c r="E42" s="24">
        <f t="shared" si="17"/>
        <v>19</v>
      </c>
      <c r="F42" s="2">
        <f t="shared" si="18"/>
        <v>14</v>
      </c>
      <c r="G42" s="24">
        <f t="shared" si="19"/>
        <v>6</v>
      </c>
      <c r="H42" s="24">
        <f t="shared" si="20"/>
        <v>23</v>
      </c>
      <c r="I42" s="24">
        <f t="shared" si="21"/>
        <v>16</v>
      </c>
      <c r="J42" s="24">
        <f t="shared" si="22"/>
        <v>3</v>
      </c>
      <c r="K42" s="24">
        <f t="shared" si="23"/>
        <v>9</v>
      </c>
      <c r="L42" s="24">
        <f t="shared" si="24"/>
        <v>10</v>
      </c>
      <c r="M42" s="28">
        <f t="shared" si="25"/>
        <v>4</v>
      </c>
      <c r="N42" s="55">
        <v>3.0</v>
      </c>
      <c r="O42" s="27">
        <f t="shared" si="4"/>
        <v>1.677419355</v>
      </c>
      <c r="P42" s="24">
        <f t="shared" si="26"/>
        <v>17</v>
      </c>
      <c r="Q42" s="2">
        <f t="shared" si="27"/>
        <v>13</v>
      </c>
      <c r="R42" s="24">
        <f t="shared" si="28"/>
        <v>7</v>
      </c>
      <c r="S42" s="24">
        <f t="shared" si="29"/>
        <v>23</v>
      </c>
      <c r="T42" s="24">
        <f t="shared" si="30"/>
        <v>14</v>
      </c>
      <c r="U42" s="24">
        <f t="shared" si="31"/>
        <v>6</v>
      </c>
      <c r="V42" s="24">
        <f t="shared" si="32"/>
        <v>10</v>
      </c>
      <c r="W42" s="24">
        <f t="shared" si="33"/>
        <v>7</v>
      </c>
      <c r="X42" s="28">
        <f t="shared" si="34"/>
        <v>6</v>
      </c>
      <c r="Y42" s="55">
        <v>2.0</v>
      </c>
      <c r="Z42" s="27">
        <f t="shared" si="5"/>
        <v>2.419354839</v>
      </c>
      <c r="AA42" s="24">
        <f t="shared" si="35"/>
        <v>20</v>
      </c>
      <c r="AB42" s="2">
        <f t="shared" si="36"/>
        <v>13</v>
      </c>
      <c r="AC42" s="24">
        <f t="shared" si="37"/>
        <v>9</v>
      </c>
      <c r="AD42" s="24">
        <f t="shared" si="38"/>
        <v>22</v>
      </c>
      <c r="AE42" s="24">
        <f t="shared" si="39"/>
        <v>20</v>
      </c>
      <c r="AF42" s="24">
        <f t="shared" si="40"/>
        <v>0</v>
      </c>
      <c r="AG42" s="24">
        <f t="shared" si="41"/>
        <v>9</v>
      </c>
      <c r="AH42" s="24">
        <f t="shared" si="42"/>
        <v>11</v>
      </c>
      <c r="AI42" s="28">
        <f t="shared" si="43"/>
        <v>2</v>
      </c>
      <c r="AJ42" s="55">
        <v>2.0</v>
      </c>
      <c r="AK42" s="27">
        <f t="shared" si="6"/>
        <v>2.225806452</v>
      </c>
      <c r="AL42" s="24">
        <f t="shared" si="44"/>
        <v>17</v>
      </c>
      <c r="AM42" s="2">
        <f t="shared" si="45"/>
        <v>15</v>
      </c>
      <c r="AN42" s="24">
        <f t="shared" si="46"/>
        <v>10</v>
      </c>
      <c r="AO42" s="24">
        <f t="shared" si="47"/>
        <v>24</v>
      </c>
      <c r="AP42" s="24">
        <f t="shared" si="48"/>
        <v>18</v>
      </c>
      <c r="AQ42" s="24">
        <f t="shared" si="49"/>
        <v>2</v>
      </c>
      <c r="AR42" s="24">
        <f t="shared" si="50"/>
        <v>9</v>
      </c>
      <c r="AS42" s="24">
        <f t="shared" si="51"/>
        <v>8</v>
      </c>
      <c r="AT42" s="28">
        <f t="shared" si="52"/>
        <v>7</v>
      </c>
      <c r="AU42" s="24"/>
      <c r="AV42" s="27">
        <f t="shared" si="7"/>
        <v>2.235294118</v>
      </c>
      <c r="AW42" s="24">
        <f t="shared" si="53"/>
        <v>10</v>
      </c>
      <c r="AX42" s="2">
        <f t="shared" si="54"/>
        <v>9</v>
      </c>
      <c r="AY42" s="24">
        <f t="shared" si="55"/>
        <v>5</v>
      </c>
      <c r="AZ42" s="24">
        <f t="shared" si="56"/>
        <v>13</v>
      </c>
      <c r="BA42" s="24">
        <f t="shared" si="57"/>
        <v>11</v>
      </c>
      <c r="BB42" s="24">
        <f t="shared" si="58"/>
        <v>15</v>
      </c>
      <c r="BC42" s="24">
        <f t="shared" si="59"/>
        <v>4</v>
      </c>
      <c r="BD42" s="24">
        <f t="shared" si="60"/>
        <v>6</v>
      </c>
      <c r="BE42" s="28">
        <f t="shared" si="61"/>
        <v>3</v>
      </c>
      <c r="BF42" s="29">
        <f t="shared" ref="BF42:BO42" si="118">+(AK42+Z42+O42+D42)/4</f>
        <v>2.10483871</v>
      </c>
      <c r="BG42" s="24">
        <f t="shared" si="118"/>
        <v>18.25</v>
      </c>
      <c r="BH42" s="24">
        <f t="shared" si="118"/>
        <v>13.75</v>
      </c>
      <c r="BI42" s="24">
        <f t="shared" si="118"/>
        <v>8</v>
      </c>
      <c r="BJ42" s="24">
        <f t="shared" si="118"/>
        <v>23</v>
      </c>
      <c r="BK42" s="24">
        <f t="shared" si="118"/>
        <v>17</v>
      </c>
      <c r="BL42" s="24">
        <f t="shared" si="118"/>
        <v>2.75</v>
      </c>
      <c r="BM42" s="24">
        <f t="shared" si="118"/>
        <v>9.25</v>
      </c>
      <c r="BN42" s="24">
        <f t="shared" si="118"/>
        <v>9</v>
      </c>
      <c r="BO42" s="24">
        <f t="shared" si="118"/>
        <v>4.75</v>
      </c>
      <c r="BP42" s="30">
        <f t="shared" si="9"/>
        <v>0.130455408</v>
      </c>
      <c r="BQ42" s="31">
        <f t="shared" si="10"/>
        <v>0.03225806452</v>
      </c>
      <c r="BR42" s="31">
        <f t="shared" si="11"/>
        <v>0.1290322581</v>
      </c>
      <c r="BS42" s="31">
        <f t="shared" si="12"/>
        <v>0.1935483871</v>
      </c>
      <c r="BT42" s="31">
        <f t="shared" si="13"/>
        <v>0.09677419355</v>
      </c>
      <c r="BU42" s="31">
        <f t="shared" si="14"/>
        <v>0.09677419355</v>
      </c>
      <c r="BV42" s="31">
        <f t="shared" si="15"/>
        <v>0.9677419355</v>
      </c>
      <c r="BW42" s="31">
        <f t="shared" ref="BW42:BX42" si="119">+BR42+BS42+BT42</f>
        <v>0.4193548387</v>
      </c>
      <c r="BX42" s="32">
        <f t="shared" si="119"/>
        <v>0.3870967742</v>
      </c>
      <c r="BY42" s="54"/>
    </row>
    <row r="43" ht="15.75" customHeight="1">
      <c r="A43" s="1"/>
      <c r="B43" s="33">
        <v>32.0</v>
      </c>
      <c r="C43" s="2">
        <v>3.0</v>
      </c>
      <c r="D43" s="3">
        <f t="shared" si="3"/>
        <v>2.125</v>
      </c>
      <c r="E43" s="2">
        <f t="shared" si="17"/>
        <v>19</v>
      </c>
      <c r="F43" s="2">
        <f t="shared" si="18"/>
        <v>15</v>
      </c>
      <c r="G43" s="2">
        <f t="shared" si="19"/>
        <v>7</v>
      </c>
      <c r="H43" s="2">
        <f t="shared" si="20"/>
        <v>24</v>
      </c>
      <c r="I43" s="2">
        <f t="shared" si="21"/>
        <v>17</v>
      </c>
      <c r="J43" s="2">
        <f t="shared" si="22"/>
        <v>3</v>
      </c>
      <c r="K43" s="2">
        <f t="shared" si="23"/>
        <v>9</v>
      </c>
      <c r="L43" s="2">
        <f t="shared" si="24"/>
        <v>10</v>
      </c>
      <c r="M43" s="34">
        <f t="shared" si="25"/>
        <v>5</v>
      </c>
      <c r="N43" s="2">
        <v>3.0</v>
      </c>
      <c r="O43" s="3">
        <f t="shared" si="4"/>
        <v>1.71875</v>
      </c>
      <c r="P43" s="2">
        <f t="shared" si="26"/>
        <v>17</v>
      </c>
      <c r="Q43" s="2">
        <f t="shared" si="27"/>
        <v>14</v>
      </c>
      <c r="R43" s="2">
        <f t="shared" si="28"/>
        <v>8</v>
      </c>
      <c r="S43" s="2">
        <f t="shared" si="29"/>
        <v>24</v>
      </c>
      <c r="T43" s="2">
        <f t="shared" si="30"/>
        <v>15</v>
      </c>
      <c r="U43" s="2">
        <f t="shared" si="31"/>
        <v>6</v>
      </c>
      <c r="V43" s="2">
        <f t="shared" si="32"/>
        <v>10</v>
      </c>
      <c r="W43" s="2">
        <f t="shared" si="33"/>
        <v>7</v>
      </c>
      <c r="X43" s="34">
        <f t="shared" si="34"/>
        <v>7</v>
      </c>
      <c r="Y43" s="2">
        <v>2.0</v>
      </c>
      <c r="Z43" s="3">
        <f t="shared" si="5"/>
        <v>2.40625</v>
      </c>
      <c r="AA43" s="2">
        <f t="shared" si="35"/>
        <v>21</v>
      </c>
      <c r="AB43" s="2">
        <f t="shared" si="36"/>
        <v>14</v>
      </c>
      <c r="AC43" s="2">
        <f t="shared" si="37"/>
        <v>9</v>
      </c>
      <c r="AD43" s="2">
        <f t="shared" si="38"/>
        <v>23</v>
      </c>
      <c r="AE43" s="2">
        <f t="shared" si="39"/>
        <v>21</v>
      </c>
      <c r="AF43" s="2">
        <f t="shared" si="40"/>
        <v>0</v>
      </c>
      <c r="AG43" s="2">
        <f t="shared" si="41"/>
        <v>9</v>
      </c>
      <c r="AH43" s="2">
        <f t="shared" si="42"/>
        <v>12</v>
      </c>
      <c r="AI43" s="34">
        <f t="shared" si="43"/>
        <v>2</v>
      </c>
      <c r="AJ43" s="2">
        <v>3.0</v>
      </c>
      <c r="AK43" s="3">
        <f t="shared" si="6"/>
        <v>2.25</v>
      </c>
      <c r="AL43" s="2">
        <f t="shared" si="44"/>
        <v>17</v>
      </c>
      <c r="AM43" s="2">
        <f t="shared" si="45"/>
        <v>16</v>
      </c>
      <c r="AN43" s="2">
        <f t="shared" si="46"/>
        <v>11</v>
      </c>
      <c r="AO43" s="2">
        <f t="shared" si="47"/>
        <v>25</v>
      </c>
      <c r="AP43" s="2">
        <f t="shared" si="48"/>
        <v>19</v>
      </c>
      <c r="AQ43" s="2">
        <f t="shared" si="49"/>
        <v>2</v>
      </c>
      <c r="AR43" s="2">
        <f t="shared" si="50"/>
        <v>9</v>
      </c>
      <c r="AS43" s="2">
        <f t="shared" si="51"/>
        <v>8</v>
      </c>
      <c r="AT43" s="34">
        <f t="shared" si="52"/>
        <v>8</v>
      </c>
      <c r="AU43" s="2"/>
      <c r="AV43" s="3">
        <f t="shared" si="7"/>
        <v>2.235294118</v>
      </c>
      <c r="AW43" s="2">
        <f t="shared" si="53"/>
        <v>10</v>
      </c>
      <c r="AX43" s="2">
        <f t="shared" si="54"/>
        <v>9</v>
      </c>
      <c r="AY43" s="2">
        <f t="shared" si="55"/>
        <v>5</v>
      </c>
      <c r="AZ43" s="2">
        <f t="shared" si="56"/>
        <v>13</v>
      </c>
      <c r="BA43" s="2">
        <f t="shared" si="57"/>
        <v>11</v>
      </c>
      <c r="BB43" s="2">
        <f t="shared" si="58"/>
        <v>16</v>
      </c>
      <c r="BC43" s="2">
        <f t="shared" si="59"/>
        <v>4</v>
      </c>
      <c r="BD43" s="2">
        <f t="shared" si="60"/>
        <v>6</v>
      </c>
      <c r="BE43" s="34">
        <f t="shared" si="61"/>
        <v>3</v>
      </c>
      <c r="BF43" s="36">
        <f t="shared" ref="BF43:BO43" si="120">+(AK43+Z43+O43+D43)/4</f>
        <v>2.125</v>
      </c>
      <c r="BG43" s="2">
        <f t="shared" si="120"/>
        <v>18.5</v>
      </c>
      <c r="BH43" s="2">
        <f t="shared" si="120"/>
        <v>14.75</v>
      </c>
      <c r="BI43" s="2">
        <f t="shared" si="120"/>
        <v>8.75</v>
      </c>
      <c r="BJ43" s="2">
        <f t="shared" si="120"/>
        <v>24</v>
      </c>
      <c r="BK43" s="2">
        <f t="shared" si="120"/>
        <v>18</v>
      </c>
      <c r="BL43" s="2">
        <f t="shared" si="120"/>
        <v>2.75</v>
      </c>
      <c r="BM43" s="2">
        <f t="shared" si="120"/>
        <v>9.25</v>
      </c>
      <c r="BN43" s="2">
        <f t="shared" si="120"/>
        <v>9.25</v>
      </c>
      <c r="BO43" s="2">
        <f t="shared" si="120"/>
        <v>5.5</v>
      </c>
      <c r="BP43" s="37">
        <f t="shared" si="9"/>
        <v>0.1102941176</v>
      </c>
      <c r="BQ43" s="38">
        <f t="shared" si="10"/>
        <v>0.03125</v>
      </c>
      <c r="BR43" s="38">
        <f t="shared" si="11"/>
        <v>0.125</v>
      </c>
      <c r="BS43" s="38">
        <f t="shared" si="12"/>
        <v>0.1875</v>
      </c>
      <c r="BT43" s="38">
        <f t="shared" si="13"/>
        <v>0.09375</v>
      </c>
      <c r="BU43" s="38">
        <f t="shared" si="14"/>
        <v>0.09375</v>
      </c>
      <c r="BV43" s="38">
        <f t="shared" si="15"/>
        <v>0.96875</v>
      </c>
      <c r="BW43" s="38">
        <f t="shared" ref="BW43:BX43" si="121">+BR43+BS43+BT43</f>
        <v>0.40625</v>
      </c>
      <c r="BX43" s="39">
        <f t="shared" si="121"/>
        <v>0.375</v>
      </c>
      <c r="BY43" s="1"/>
    </row>
    <row r="44" ht="15.75" customHeight="1">
      <c r="A44" s="54"/>
      <c r="B44" s="40">
        <v>33.0</v>
      </c>
      <c r="C44" s="55">
        <v>3.0</v>
      </c>
      <c r="D44" s="27">
        <f t="shared" si="3"/>
        <v>2.151515152</v>
      </c>
      <c r="E44" s="24">
        <f t="shared" si="17"/>
        <v>19</v>
      </c>
      <c r="F44" s="2">
        <f t="shared" si="18"/>
        <v>16</v>
      </c>
      <c r="G44" s="24">
        <f t="shared" si="19"/>
        <v>8</v>
      </c>
      <c r="H44" s="24">
        <f t="shared" si="20"/>
        <v>25</v>
      </c>
      <c r="I44" s="24">
        <f t="shared" si="21"/>
        <v>18</v>
      </c>
      <c r="J44" s="24">
        <f t="shared" si="22"/>
        <v>3</v>
      </c>
      <c r="K44" s="24">
        <f t="shared" si="23"/>
        <v>9</v>
      </c>
      <c r="L44" s="24">
        <f t="shared" si="24"/>
        <v>10</v>
      </c>
      <c r="M44" s="28">
        <f t="shared" si="25"/>
        <v>6</v>
      </c>
      <c r="N44" s="55">
        <v>6.0</v>
      </c>
      <c r="O44" s="27">
        <f t="shared" si="4"/>
        <v>1.848484848</v>
      </c>
      <c r="P44" s="24">
        <f t="shared" si="26"/>
        <v>17</v>
      </c>
      <c r="Q44" s="2">
        <f t="shared" si="27"/>
        <v>14</v>
      </c>
      <c r="R44" s="24">
        <f t="shared" si="28"/>
        <v>8</v>
      </c>
      <c r="S44" s="24">
        <f t="shared" si="29"/>
        <v>24</v>
      </c>
      <c r="T44" s="24">
        <f t="shared" si="30"/>
        <v>15</v>
      </c>
      <c r="U44" s="24">
        <f t="shared" si="31"/>
        <v>6</v>
      </c>
      <c r="V44" s="24">
        <f t="shared" si="32"/>
        <v>10</v>
      </c>
      <c r="W44" s="24">
        <f t="shared" si="33"/>
        <v>7</v>
      </c>
      <c r="X44" s="28">
        <f t="shared" si="34"/>
        <v>7</v>
      </c>
      <c r="Y44" s="55">
        <v>2.0</v>
      </c>
      <c r="Z44" s="27">
        <f t="shared" si="5"/>
        <v>2.393939394</v>
      </c>
      <c r="AA44" s="24">
        <f t="shared" si="35"/>
        <v>22</v>
      </c>
      <c r="AB44" s="2">
        <f t="shared" si="36"/>
        <v>15</v>
      </c>
      <c r="AC44" s="24">
        <f t="shared" si="37"/>
        <v>9</v>
      </c>
      <c r="AD44" s="24">
        <f t="shared" si="38"/>
        <v>24</v>
      </c>
      <c r="AE44" s="24">
        <f t="shared" si="39"/>
        <v>22</v>
      </c>
      <c r="AF44" s="24">
        <f t="shared" si="40"/>
        <v>0</v>
      </c>
      <c r="AG44" s="24">
        <f t="shared" si="41"/>
        <v>9</v>
      </c>
      <c r="AH44" s="24">
        <f t="shared" si="42"/>
        <v>13</v>
      </c>
      <c r="AI44" s="28">
        <f t="shared" si="43"/>
        <v>2</v>
      </c>
      <c r="AJ44" s="55">
        <v>0.0</v>
      </c>
      <c r="AK44" s="27">
        <f t="shared" si="6"/>
        <v>2.181818182</v>
      </c>
      <c r="AL44" s="24">
        <f t="shared" si="44"/>
        <v>17</v>
      </c>
      <c r="AM44" s="2">
        <f t="shared" si="45"/>
        <v>16</v>
      </c>
      <c r="AN44" s="24">
        <f t="shared" si="46"/>
        <v>11</v>
      </c>
      <c r="AO44" s="24">
        <f t="shared" si="47"/>
        <v>25</v>
      </c>
      <c r="AP44" s="24">
        <f t="shared" si="48"/>
        <v>19</v>
      </c>
      <c r="AQ44" s="24">
        <f t="shared" si="49"/>
        <v>3</v>
      </c>
      <c r="AR44" s="24">
        <f t="shared" si="50"/>
        <v>9</v>
      </c>
      <c r="AS44" s="24">
        <f t="shared" si="51"/>
        <v>8</v>
      </c>
      <c r="AT44" s="28">
        <f t="shared" si="52"/>
        <v>8</v>
      </c>
      <c r="AU44" s="24"/>
      <c r="AV44" s="27">
        <f t="shared" si="7"/>
        <v>2.235294118</v>
      </c>
      <c r="AW44" s="24">
        <f t="shared" si="53"/>
        <v>10</v>
      </c>
      <c r="AX44" s="2">
        <f t="shared" si="54"/>
        <v>9</v>
      </c>
      <c r="AY44" s="24">
        <f t="shared" si="55"/>
        <v>5</v>
      </c>
      <c r="AZ44" s="24">
        <f t="shared" si="56"/>
        <v>13</v>
      </c>
      <c r="BA44" s="24">
        <f t="shared" si="57"/>
        <v>11</v>
      </c>
      <c r="BB44" s="24">
        <f t="shared" si="58"/>
        <v>17</v>
      </c>
      <c r="BC44" s="24">
        <f t="shared" si="59"/>
        <v>4</v>
      </c>
      <c r="BD44" s="24">
        <f t="shared" si="60"/>
        <v>6</v>
      </c>
      <c r="BE44" s="28">
        <f t="shared" si="61"/>
        <v>3</v>
      </c>
      <c r="BF44" s="29">
        <f t="shared" ref="BF44:BO44" si="122">+(AK44+Z44+O44+D44)/4</f>
        <v>2.143939394</v>
      </c>
      <c r="BG44" s="24">
        <f t="shared" si="122"/>
        <v>18.75</v>
      </c>
      <c r="BH44" s="24">
        <f t="shared" si="122"/>
        <v>15.25</v>
      </c>
      <c r="BI44" s="24">
        <f t="shared" si="122"/>
        <v>9</v>
      </c>
      <c r="BJ44" s="24">
        <f t="shared" si="122"/>
        <v>24.5</v>
      </c>
      <c r="BK44" s="24">
        <f t="shared" si="122"/>
        <v>18.5</v>
      </c>
      <c r="BL44" s="24">
        <f t="shared" si="122"/>
        <v>3</v>
      </c>
      <c r="BM44" s="24">
        <f t="shared" si="122"/>
        <v>9.25</v>
      </c>
      <c r="BN44" s="24">
        <f t="shared" si="122"/>
        <v>9.5</v>
      </c>
      <c r="BO44" s="24">
        <f t="shared" si="122"/>
        <v>5.75</v>
      </c>
      <c r="BP44" s="30">
        <f t="shared" si="9"/>
        <v>0.09135472371</v>
      </c>
      <c r="BQ44" s="31">
        <f t="shared" si="10"/>
        <v>0.0303030303</v>
      </c>
      <c r="BR44" s="31">
        <f t="shared" si="11"/>
        <v>0.1212121212</v>
      </c>
      <c r="BS44" s="31">
        <f t="shared" si="12"/>
        <v>0.1818181818</v>
      </c>
      <c r="BT44" s="31">
        <f t="shared" si="13"/>
        <v>0.09090909091</v>
      </c>
      <c r="BU44" s="31">
        <f t="shared" si="14"/>
        <v>0.09090909091</v>
      </c>
      <c r="BV44" s="31">
        <f t="shared" si="15"/>
        <v>0.9696969697</v>
      </c>
      <c r="BW44" s="31">
        <f t="shared" ref="BW44:BX44" si="123">+BR44+BS44+BT44</f>
        <v>0.3939393939</v>
      </c>
      <c r="BX44" s="32">
        <f t="shared" si="123"/>
        <v>0.3636363636</v>
      </c>
      <c r="BY44" s="54"/>
    </row>
    <row r="45" ht="15.75" customHeight="1">
      <c r="A45" s="1"/>
      <c r="B45" s="33">
        <v>34.0</v>
      </c>
      <c r="C45" s="2">
        <v>1.0</v>
      </c>
      <c r="D45" s="3">
        <f t="shared" si="3"/>
        <v>2.117647059</v>
      </c>
      <c r="E45" s="2">
        <f t="shared" si="17"/>
        <v>20</v>
      </c>
      <c r="F45" s="2">
        <f t="shared" si="18"/>
        <v>16</v>
      </c>
      <c r="G45" s="2">
        <f t="shared" si="19"/>
        <v>8</v>
      </c>
      <c r="H45" s="2">
        <f t="shared" si="20"/>
        <v>26</v>
      </c>
      <c r="I45" s="2">
        <f t="shared" si="21"/>
        <v>18</v>
      </c>
      <c r="J45" s="2">
        <f t="shared" si="22"/>
        <v>3</v>
      </c>
      <c r="K45" s="2">
        <f t="shared" si="23"/>
        <v>10</v>
      </c>
      <c r="L45" s="2">
        <f t="shared" si="24"/>
        <v>10</v>
      </c>
      <c r="M45" s="34">
        <f t="shared" si="25"/>
        <v>6</v>
      </c>
      <c r="N45" s="56">
        <v>2.0</v>
      </c>
      <c r="O45" s="3">
        <f t="shared" si="4"/>
        <v>1.852941176</v>
      </c>
      <c r="P45" s="2">
        <f t="shared" si="26"/>
        <v>18</v>
      </c>
      <c r="Q45" s="2">
        <f t="shared" si="27"/>
        <v>15</v>
      </c>
      <c r="R45" s="2">
        <f t="shared" si="28"/>
        <v>8</v>
      </c>
      <c r="S45" s="2">
        <f t="shared" si="29"/>
        <v>25</v>
      </c>
      <c r="T45" s="2">
        <f t="shared" si="30"/>
        <v>16</v>
      </c>
      <c r="U45" s="2">
        <f t="shared" si="31"/>
        <v>6</v>
      </c>
      <c r="V45" s="2">
        <f t="shared" si="32"/>
        <v>10</v>
      </c>
      <c r="W45" s="2">
        <f t="shared" si="33"/>
        <v>8</v>
      </c>
      <c r="X45" s="34">
        <f t="shared" si="34"/>
        <v>7</v>
      </c>
      <c r="Y45" s="2">
        <v>2.0</v>
      </c>
      <c r="Z45" s="3">
        <f t="shared" si="5"/>
        <v>2.382352941</v>
      </c>
      <c r="AA45" s="2">
        <f t="shared" si="35"/>
        <v>23</v>
      </c>
      <c r="AB45" s="2">
        <f t="shared" si="36"/>
        <v>16</v>
      </c>
      <c r="AC45" s="2">
        <f t="shared" si="37"/>
        <v>9</v>
      </c>
      <c r="AD45" s="2">
        <f t="shared" si="38"/>
        <v>25</v>
      </c>
      <c r="AE45" s="2">
        <f t="shared" si="39"/>
        <v>23</v>
      </c>
      <c r="AF45" s="2">
        <f t="shared" si="40"/>
        <v>0</v>
      </c>
      <c r="AG45" s="2">
        <f t="shared" si="41"/>
        <v>9</v>
      </c>
      <c r="AH45" s="2">
        <f t="shared" si="42"/>
        <v>14</v>
      </c>
      <c r="AI45" s="34">
        <f t="shared" si="43"/>
        <v>2</v>
      </c>
      <c r="AJ45" s="2">
        <v>0.0</v>
      </c>
      <c r="AK45" s="3">
        <f t="shared" si="6"/>
        <v>2.117647059</v>
      </c>
      <c r="AL45" s="2">
        <f t="shared" si="44"/>
        <v>17</v>
      </c>
      <c r="AM45" s="2">
        <f t="shared" si="45"/>
        <v>16</v>
      </c>
      <c r="AN45" s="2">
        <f t="shared" si="46"/>
        <v>11</v>
      </c>
      <c r="AO45" s="2">
        <f t="shared" si="47"/>
        <v>25</v>
      </c>
      <c r="AP45" s="2">
        <f t="shared" si="48"/>
        <v>19</v>
      </c>
      <c r="AQ45" s="2">
        <f t="shared" si="49"/>
        <v>4</v>
      </c>
      <c r="AR45" s="2">
        <f t="shared" si="50"/>
        <v>9</v>
      </c>
      <c r="AS45" s="2">
        <f t="shared" si="51"/>
        <v>8</v>
      </c>
      <c r="AT45" s="34">
        <f t="shared" si="52"/>
        <v>8</v>
      </c>
      <c r="AU45" s="2"/>
      <c r="AV45" s="3">
        <f t="shared" si="7"/>
        <v>2.235294118</v>
      </c>
      <c r="AW45" s="2">
        <f t="shared" si="53"/>
        <v>10</v>
      </c>
      <c r="AX45" s="2">
        <f t="shared" si="54"/>
        <v>9</v>
      </c>
      <c r="AY45" s="2">
        <f t="shared" si="55"/>
        <v>5</v>
      </c>
      <c r="AZ45" s="2">
        <f t="shared" si="56"/>
        <v>13</v>
      </c>
      <c r="BA45" s="2">
        <f t="shared" si="57"/>
        <v>11</v>
      </c>
      <c r="BB45" s="2">
        <f t="shared" si="58"/>
        <v>18</v>
      </c>
      <c r="BC45" s="2">
        <f t="shared" si="59"/>
        <v>4</v>
      </c>
      <c r="BD45" s="2">
        <f t="shared" si="60"/>
        <v>6</v>
      </c>
      <c r="BE45" s="34">
        <f t="shared" si="61"/>
        <v>3</v>
      </c>
      <c r="BF45" s="36">
        <f t="shared" ref="BF45:BO45" si="124">+(AK45+Z45+O45+D45)/4</f>
        <v>2.117647059</v>
      </c>
      <c r="BG45" s="2">
        <f t="shared" si="124"/>
        <v>19.5</v>
      </c>
      <c r="BH45" s="2">
        <f t="shared" si="124"/>
        <v>15.75</v>
      </c>
      <c r="BI45" s="2">
        <f t="shared" si="124"/>
        <v>9</v>
      </c>
      <c r="BJ45" s="2">
        <f t="shared" si="124"/>
        <v>25.25</v>
      </c>
      <c r="BK45" s="2">
        <f t="shared" si="124"/>
        <v>19</v>
      </c>
      <c r="BL45" s="2">
        <f t="shared" si="124"/>
        <v>3.25</v>
      </c>
      <c r="BM45" s="2">
        <f t="shared" si="124"/>
        <v>9.5</v>
      </c>
      <c r="BN45" s="2">
        <f t="shared" si="124"/>
        <v>10</v>
      </c>
      <c r="BO45" s="2">
        <f t="shared" si="124"/>
        <v>5.75</v>
      </c>
      <c r="BP45" s="37">
        <f t="shared" si="9"/>
        <v>0.1176470588</v>
      </c>
      <c r="BQ45" s="38">
        <f t="shared" si="10"/>
        <v>0.02941176471</v>
      </c>
      <c r="BR45" s="38">
        <f t="shared" si="11"/>
        <v>0.1176470588</v>
      </c>
      <c r="BS45" s="38">
        <f t="shared" si="12"/>
        <v>0.1764705882</v>
      </c>
      <c r="BT45" s="38">
        <f t="shared" si="13"/>
        <v>0.08823529412</v>
      </c>
      <c r="BU45" s="38">
        <f t="shared" si="14"/>
        <v>0.08823529412</v>
      </c>
      <c r="BV45" s="38">
        <f t="shared" si="15"/>
        <v>0.9705882353</v>
      </c>
      <c r="BW45" s="38">
        <f t="shared" ref="BW45:BX45" si="125">+BR45+BS45+BT45</f>
        <v>0.3823529412</v>
      </c>
      <c r="BX45" s="39">
        <f t="shared" si="125"/>
        <v>0.3529411765</v>
      </c>
      <c r="BY45" s="1"/>
    </row>
    <row r="46" ht="15.75" customHeight="1">
      <c r="A46" s="54"/>
      <c r="B46" s="40">
        <v>35.0</v>
      </c>
      <c r="C46" s="55">
        <v>2.0</v>
      </c>
      <c r="D46" s="27">
        <f t="shared" si="3"/>
        <v>2.114285714</v>
      </c>
      <c r="E46" s="24">
        <f t="shared" si="17"/>
        <v>21</v>
      </c>
      <c r="F46" s="2">
        <f t="shared" si="18"/>
        <v>17</v>
      </c>
      <c r="G46" s="24">
        <f t="shared" si="19"/>
        <v>8</v>
      </c>
      <c r="H46" s="24">
        <f t="shared" si="20"/>
        <v>27</v>
      </c>
      <c r="I46" s="24">
        <f t="shared" si="21"/>
        <v>19</v>
      </c>
      <c r="J46" s="24">
        <f t="shared" si="22"/>
        <v>3</v>
      </c>
      <c r="K46" s="24">
        <f t="shared" si="23"/>
        <v>10</v>
      </c>
      <c r="L46" s="24">
        <f t="shared" si="24"/>
        <v>11</v>
      </c>
      <c r="M46" s="28">
        <f t="shared" si="25"/>
        <v>6</v>
      </c>
      <c r="N46" s="24">
        <v>4.0</v>
      </c>
      <c r="O46" s="27">
        <f t="shared" si="4"/>
        <v>1.914285714</v>
      </c>
      <c r="P46" s="24">
        <f t="shared" si="26"/>
        <v>18</v>
      </c>
      <c r="Q46" s="2">
        <f t="shared" si="27"/>
        <v>15</v>
      </c>
      <c r="R46" s="24">
        <f t="shared" si="28"/>
        <v>9</v>
      </c>
      <c r="S46" s="24">
        <f t="shared" si="29"/>
        <v>25</v>
      </c>
      <c r="T46" s="24">
        <f t="shared" si="30"/>
        <v>17</v>
      </c>
      <c r="U46" s="24">
        <f t="shared" si="31"/>
        <v>6</v>
      </c>
      <c r="V46" s="24">
        <f t="shared" si="32"/>
        <v>10</v>
      </c>
      <c r="W46" s="24">
        <f t="shared" si="33"/>
        <v>8</v>
      </c>
      <c r="X46" s="28">
        <f t="shared" si="34"/>
        <v>7</v>
      </c>
      <c r="Y46" s="55">
        <v>1.0</v>
      </c>
      <c r="Z46" s="27">
        <f t="shared" si="5"/>
        <v>2.342857143</v>
      </c>
      <c r="AA46" s="24">
        <f t="shared" si="35"/>
        <v>24</v>
      </c>
      <c r="AB46" s="2">
        <f t="shared" si="36"/>
        <v>16</v>
      </c>
      <c r="AC46" s="24">
        <f t="shared" si="37"/>
        <v>9</v>
      </c>
      <c r="AD46" s="24">
        <f t="shared" si="38"/>
        <v>26</v>
      </c>
      <c r="AE46" s="24">
        <f t="shared" si="39"/>
        <v>23</v>
      </c>
      <c r="AF46" s="24">
        <f t="shared" si="40"/>
        <v>0</v>
      </c>
      <c r="AG46" s="24">
        <f t="shared" si="41"/>
        <v>10</v>
      </c>
      <c r="AH46" s="24">
        <f t="shared" si="42"/>
        <v>14</v>
      </c>
      <c r="AI46" s="28">
        <f t="shared" si="43"/>
        <v>2</v>
      </c>
      <c r="AJ46" s="24">
        <v>1.0</v>
      </c>
      <c r="AK46" s="27">
        <f t="shared" si="6"/>
        <v>2.085714286</v>
      </c>
      <c r="AL46" s="24">
        <f t="shared" si="44"/>
        <v>18</v>
      </c>
      <c r="AM46" s="2">
        <f t="shared" si="45"/>
        <v>16</v>
      </c>
      <c r="AN46" s="24">
        <f t="shared" si="46"/>
        <v>11</v>
      </c>
      <c r="AO46" s="24">
        <f t="shared" si="47"/>
        <v>26</v>
      </c>
      <c r="AP46" s="24">
        <f t="shared" si="48"/>
        <v>19</v>
      </c>
      <c r="AQ46" s="24">
        <f t="shared" si="49"/>
        <v>4</v>
      </c>
      <c r="AR46" s="24">
        <f t="shared" si="50"/>
        <v>10</v>
      </c>
      <c r="AS46" s="24">
        <f t="shared" si="51"/>
        <v>8</v>
      </c>
      <c r="AT46" s="28">
        <f t="shared" si="52"/>
        <v>8</v>
      </c>
      <c r="AU46" s="24"/>
      <c r="AV46" s="27">
        <f t="shared" si="7"/>
        <v>2.235294118</v>
      </c>
      <c r="AW46" s="24">
        <f t="shared" si="53"/>
        <v>10</v>
      </c>
      <c r="AX46" s="2">
        <f t="shared" si="54"/>
        <v>9</v>
      </c>
      <c r="AY46" s="24">
        <f t="shared" si="55"/>
        <v>5</v>
      </c>
      <c r="AZ46" s="24">
        <f t="shared" si="56"/>
        <v>13</v>
      </c>
      <c r="BA46" s="24">
        <f t="shared" si="57"/>
        <v>11</v>
      </c>
      <c r="BB46" s="24">
        <f t="shared" si="58"/>
        <v>19</v>
      </c>
      <c r="BC46" s="24">
        <f t="shared" si="59"/>
        <v>4</v>
      </c>
      <c r="BD46" s="24">
        <f t="shared" si="60"/>
        <v>6</v>
      </c>
      <c r="BE46" s="28">
        <f t="shared" si="61"/>
        <v>3</v>
      </c>
      <c r="BF46" s="29">
        <f t="shared" ref="BF46:BO46" si="126">+(AK46+Z46+O46+D46)/4</f>
        <v>2.114285714</v>
      </c>
      <c r="BG46" s="24">
        <f t="shared" si="126"/>
        <v>20.25</v>
      </c>
      <c r="BH46" s="24">
        <f t="shared" si="126"/>
        <v>16</v>
      </c>
      <c r="BI46" s="24">
        <f t="shared" si="126"/>
        <v>9.25</v>
      </c>
      <c r="BJ46" s="24">
        <f t="shared" si="126"/>
        <v>26</v>
      </c>
      <c r="BK46" s="24">
        <f t="shared" si="126"/>
        <v>19.5</v>
      </c>
      <c r="BL46" s="24">
        <f t="shared" si="126"/>
        <v>3.25</v>
      </c>
      <c r="BM46" s="24">
        <f t="shared" si="126"/>
        <v>10</v>
      </c>
      <c r="BN46" s="24">
        <f t="shared" si="126"/>
        <v>10.25</v>
      </c>
      <c r="BO46" s="24">
        <f t="shared" si="126"/>
        <v>5.75</v>
      </c>
      <c r="BP46" s="30">
        <f t="shared" si="9"/>
        <v>0.1210084034</v>
      </c>
      <c r="BQ46" s="31">
        <f t="shared" si="10"/>
        <v>0.02857142857</v>
      </c>
      <c r="BR46" s="31">
        <f t="shared" si="11"/>
        <v>0.1142857143</v>
      </c>
      <c r="BS46" s="31">
        <f t="shared" si="12"/>
        <v>0.1714285714</v>
      </c>
      <c r="BT46" s="31">
        <f t="shared" si="13"/>
        <v>0.08571428571</v>
      </c>
      <c r="BU46" s="31">
        <f t="shared" si="14"/>
        <v>0.08571428571</v>
      </c>
      <c r="BV46" s="31">
        <f t="shared" si="15"/>
        <v>0.9714285714</v>
      </c>
      <c r="BW46" s="31">
        <f t="shared" ref="BW46:BX46" si="127">+BR46+BS46+BT46</f>
        <v>0.3714285714</v>
      </c>
      <c r="BX46" s="32">
        <f t="shared" si="127"/>
        <v>0.3428571429</v>
      </c>
      <c r="BY46" s="54"/>
    </row>
    <row r="47" ht="15.75" customHeight="1">
      <c r="A47" s="1"/>
      <c r="B47" s="33">
        <v>36.0</v>
      </c>
      <c r="C47" s="2">
        <v>4.0</v>
      </c>
      <c r="D47" s="3">
        <f t="shared" si="3"/>
        <v>2.166666667</v>
      </c>
      <c r="E47" s="2">
        <f t="shared" si="17"/>
        <v>21</v>
      </c>
      <c r="F47" s="2">
        <f t="shared" si="18"/>
        <v>17</v>
      </c>
      <c r="G47" s="2">
        <f t="shared" si="19"/>
        <v>9</v>
      </c>
      <c r="H47" s="2">
        <f t="shared" si="20"/>
        <v>27</v>
      </c>
      <c r="I47" s="2">
        <f t="shared" si="21"/>
        <v>20</v>
      </c>
      <c r="J47" s="2">
        <f t="shared" si="22"/>
        <v>3</v>
      </c>
      <c r="K47" s="2">
        <f t="shared" si="23"/>
        <v>10</v>
      </c>
      <c r="L47" s="2">
        <f t="shared" si="24"/>
        <v>11</v>
      </c>
      <c r="M47" s="34">
        <f t="shared" si="25"/>
        <v>6</v>
      </c>
      <c r="N47" s="56">
        <v>1.0</v>
      </c>
      <c r="O47" s="3">
        <f t="shared" si="4"/>
        <v>1.888888889</v>
      </c>
      <c r="P47" s="2">
        <f t="shared" si="26"/>
        <v>19</v>
      </c>
      <c r="Q47" s="2">
        <f t="shared" si="27"/>
        <v>15</v>
      </c>
      <c r="R47" s="2">
        <f t="shared" si="28"/>
        <v>9</v>
      </c>
      <c r="S47" s="2">
        <f t="shared" si="29"/>
        <v>26</v>
      </c>
      <c r="T47" s="2">
        <f t="shared" si="30"/>
        <v>17</v>
      </c>
      <c r="U47" s="2">
        <f t="shared" si="31"/>
        <v>6</v>
      </c>
      <c r="V47" s="2">
        <f t="shared" si="32"/>
        <v>11</v>
      </c>
      <c r="W47" s="2">
        <f t="shared" si="33"/>
        <v>8</v>
      </c>
      <c r="X47" s="34">
        <f t="shared" si="34"/>
        <v>7</v>
      </c>
      <c r="Y47" s="56">
        <v>5.0</v>
      </c>
      <c r="Z47" s="3">
        <f t="shared" si="5"/>
        <v>2.416666667</v>
      </c>
      <c r="AA47" s="2">
        <f t="shared" si="35"/>
        <v>24</v>
      </c>
      <c r="AB47" s="2">
        <f t="shared" si="36"/>
        <v>16</v>
      </c>
      <c r="AC47" s="2">
        <f t="shared" si="37"/>
        <v>9</v>
      </c>
      <c r="AD47" s="2">
        <f t="shared" si="38"/>
        <v>26</v>
      </c>
      <c r="AE47" s="2">
        <f t="shared" si="39"/>
        <v>23</v>
      </c>
      <c r="AF47" s="2">
        <f t="shared" si="40"/>
        <v>0</v>
      </c>
      <c r="AG47" s="2">
        <f t="shared" si="41"/>
        <v>10</v>
      </c>
      <c r="AH47" s="2">
        <f t="shared" si="42"/>
        <v>14</v>
      </c>
      <c r="AI47" s="34">
        <f t="shared" si="43"/>
        <v>2</v>
      </c>
      <c r="AJ47" s="56">
        <v>2.0</v>
      </c>
      <c r="AK47" s="3">
        <f t="shared" si="6"/>
        <v>2.083333333</v>
      </c>
      <c r="AL47" s="2">
        <f t="shared" si="44"/>
        <v>19</v>
      </c>
      <c r="AM47" s="2">
        <f t="shared" si="45"/>
        <v>17</v>
      </c>
      <c r="AN47" s="2">
        <f t="shared" si="46"/>
        <v>11</v>
      </c>
      <c r="AO47" s="2">
        <f t="shared" si="47"/>
        <v>27</v>
      </c>
      <c r="AP47" s="2">
        <f t="shared" si="48"/>
        <v>20</v>
      </c>
      <c r="AQ47" s="2">
        <f t="shared" si="49"/>
        <v>4</v>
      </c>
      <c r="AR47" s="2">
        <f t="shared" si="50"/>
        <v>10</v>
      </c>
      <c r="AS47" s="2">
        <f t="shared" si="51"/>
        <v>9</v>
      </c>
      <c r="AT47" s="34">
        <f t="shared" si="52"/>
        <v>8</v>
      </c>
      <c r="AU47" s="2"/>
      <c r="AV47" s="3">
        <f t="shared" si="7"/>
        <v>2.235294118</v>
      </c>
      <c r="AW47" s="2">
        <f t="shared" si="53"/>
        <v>10</v>
      </c>
      <c r="AX47" s="2">
        <f t="shared" si="54"/>
        <v>9</v>
      </c>
      <c r="AY47" s="2">
        <f t="shared" si="55"/>
        <v>5</v>
      </c>
      <c r="AZ47" s="2">
        <f t="shared" si="56"/>
        <v>13</v>
      </c>
      <c r="BA47" s="2">
        <f t="shared" si="57"/>
        <v>11</v>
      </c>
      <c r="BB47" s="2">
        <f t="shared" si="58"/>
        <v>20</v>
      </c>
      <c r="BC47" s="2">
        <f t="shared" si="59"/>
        <v>4</v>
      </c>
      <c r="BD47" s="2">
        <f t="shared" si="60"/>
        <v>6</v>
      </c>
      <c r="BE47" s="34">
        <f t="shared" si="61"/>
        <v>3</v>
      </c>
      <c r="BF47" s="36">
        <f t="shared" ref="BF47:BO47" si="128">+(AK47+Z47+O47+D47)/4</f>
        <v>2.138888889</v>
      </c>
      <c r="BG47" s="2">
        <f t="shared" si="128"/>
        <v>20.75</v>
      </c>
      <c r="BH47" s="2">
        <f t="shared" si="128"/>
        <v>16.25</v>
      </c>
      <c r="BI47" s="2">
        <f t="shared" si="128"/>
        <v>9.5</v>
      </c>
      <c r="BJ47" s="2">
        <f t="shared" si="128"/>
        <v>26.5</v>
      </c>
      <c r="BK47" s="2">
        <f t="shared" si="128"/>
        <v>20</v>
      </c>
      <c r="BL47" s="2">
        <f t="shared" si="128"/>
        <v>3.25</v>
      </c>
      <c r="BM47" s="2">
        <f t="shared" si="128"/>
        <v>10.25</v>
      </c>
      <c r="BN47" s="2">
        <f t="shared" si="128"/>
        <v>10.5</v>
      </c>
      <c r="BO47" s="2">
        <f t="shared" si="128"/>
        <v>5.75</v>
      </c>
      <c r="BP47" s="37">
        <f t="shared" si="9"/>
        <v>0.09640522876</v>
      </c>
      <c r="BQ47" s="38">
        <f t="shared" si="10"/>
        <v>0.02777777778</v>
      </c>
      <c r="BR47" s="38">
        <f t="shared" si="11"/>
        <v>0.1111111111</v>
      </c>
      <c r="BS47" s="38">
        <f t="shared" si="12"/>
        <v>0.1666666667</v>
      </c>
      <c r="BT47" s="38">
        <f t="shared" si="13"/>
        <v>0.08333333333</v>
      </c>
      <c r="BU47" s="38">
        <f t="shared" si="14"/>
        <v>0.08333333333</v>
      </c>
      <c r="BV47" s="38">
        <f t="shared" si="15"/>
        <v>0.9722222222</v>
      </c>
      <c r="BW47" s="38">
        <f t="shared" ref="BW47:BX47" si="129">+BR47+BS47+BT47</f>
        <v>0.3611111111</v>
      </c>
      <c r="BX47" s="39">
        <f t="shared" si="129"/>
        <v>0.3333333333</v>
      </c>
      <c r="BY47" s="1"/>
    </row>
    <row r="48" ht="15.75" customHeight="1">
      <c r="A48" s="54"/>
      <c r="B48" s="40">
        <v>37.0</v>
      </c>
      <c r="C48" s="55">
        <v>2.0</v>
      </c>
      <c r="D48" s="27">
        <f t="shared" si="3"/>
        <v>2.162162162</v>
      </c>
      <c r="E48" s="24">
        <f t="shared" si="17"/>
        <v>22</v>
      </c>
      <c r="F48" s="2">
        <f t="shared" si="18"/>
        <v>18</v>
      </c>
      <c r="G48" s="24">
        <f t="shared" si="19"/>
        <v>9</v>
      </c>
      <c r="H48" s="24">
        <f t="shared" si="20"/>
        <v>28</v>
      </c>
      <c r="I48" s="24">
        <f t="shared" si="21"/>
        <v>21</v>
      </c>
      <c r="J48" s="24">
        <f t="shared" si="22"/>
        <v>3</v>
      </c>
      <c r="K48" s="24">
        <f t="shared" si="23"/>
        <v>10</v>
      </c>
      <c r="L48" s="24">
        <f t="shared" si="24"/>
        <v>12</v>
      </c>
      <c r="M48" s="28">
        <f t="shared" si="25"/>
        <v>6</v>
      </c>
      <c r="N48" s="24">
        <v>3.0</v>
      </c>
      <c r="O48" s="27">
        <f t="shared" si="4"/>
        <v>1.918918919</v>
      </c>
      <c r="P48" s="24">
        <f t="shared" si="26"/>
        <v>19</v>
      </c>
      <c r="Q48" s="2">
        <f t="shared" si="27"/>
        <v>16</v>
      </c>
      <c r="R48" s="24">
        <f t="shared" si="28"/>
        <v>10</v>
      </c>
      <c r="S48" s="24">
        <f t="shared" si="29"/>
        <v>27</v>
      </c>
      <c r="T48" s="24">
        <f t="shared" si="30"/>
        <v>18</v>
      </c>
      <c r="U48" s="24">
        <f t="shared" si="31"/>
        <v>6</v>
      </c>
      <c r="V48" s="24">
        <f t="shared" si="32"/>
        <v>11</v>
      </c>
      <c r="W48" s="24">
        <f t="shared" si="33"/>
        <v>8</v>
      </c>
      <c r="X48" s="28">
        <f t="shared" si="34"/>
        <v>8</v>
      </c>
      <c r="Y48" s="24">
        <v>1.0</v>
      </c>
      <c r="Z48" s="27">
        <f t="shared" si="5"/>
        <v>2.378378378</v>
      </c>
      <c r="AA48" s="24">
        <f t="shared" si="35"/>
        <v>25</v>
      </c>
      <c r="AB48" s="2">
        <f t="shared" si="36"/>
        <v>16</v>
      </c>
      <c r="AC48" s="24">
        <f t="shared" si="37"/>
        <v>9</v>
      </c>
      <c r="AD48" s="24">
        <f t="shared" si="38"/>
        <v>27</v>
      </c>
      <c r="AE48" s="24">
        <f t="shared" si="39"/>
        <v>23</v>
      </c>
      <c r="AF48" s="24">
        <f t="shared" si="40"/>
        <v>0</v>
      </c>
      <c r="AG48" s="24">
        <f t="shared" si="41"/>
        <v>11</v>
      </c>
      <c r="AH48" s="24">
        <f t="shared" si="42"/>
        <v>14</v>
      </c>
      <c r="AI48" s="28">
        <f t="shared" si="43"/>
        <v>2</v>
      </c>
      <c r="AJ48" s="24">
        <v>2.0</v>
      </c>
      <c r="AK48" s="27">
        <f t="shared" si="6"/>
        <v>2.081081081</v>
      </c>
      <c r="AL48" s="24">
        <f t="shared" si="44"/>
        <v>20</v>
      </c>
      <c r="AM48" s="2">
        <f t="shared" si="45"/>
        <v>18</v>
      </c>
      <c r="AN48" s="24">
        <f t="shared" si="46"/>
        <v>11</v>
      </c>
      <c r="AO48" s="24">
        <f t="shared" si="47"/>
        <v>28</v>
      </c>
      <c r="AP48" s="24">
        <f t="shared" si="48"/>
        <v>21</v>
      </c>
      <c r="AQ48" s="24">
        <f t="shared" si="49"/>
        <v>4</v>
      </c>
      <c r="AR48" s="24">
        <f t="shared" si="50"/>
        <v>10</v>
      </c>
      <c r="AS48" s="24">
        <f t="shared" si="51"/>
        <v>10</v>
      </c>
      <c r="AT48" s="28">
        <f t="shared" si="52"/>
        <v>8</v>
      </c>
      <c r="AU48" s="24"/>
      <c r="AV48" s="27">
        <f t="shared" si="7"/>
        <v>2.235294118</v>
      </c>
      <c r="AW48" s="24">
        <f t="shared" si="53"/>
        <v>10</v>
      </c>
      <c r="AX48" s="2">
        <f t="shared" si="54"/>
        <v>9</v>
      </c>
      <c r="AY48" s="24">
        <f t="shared" si="55"/>
        <v>5</v>
      </c>
      <c r="AZ48" s="24">
        <f t="shared" si="56"/>
        <v>13</v>
      </c>
      <c r="BA48" s="24">
        <f t="shared" si="57"/>
        <v>11</v>
      </c>
      <c r="BB48" s="24">
        <f t="shared" si="58"/>
        <v>21</v>
      </c>
      <c r="BC48" s="24">
        <f t="shared" si="59"/>
        <v>4</v>
      </c>
      <c r="BD48" s="24">
        <f t="shared" si="60"/>
        <v>6</v>
      </c>
      <c r="BE48" s="28">
        <f t="shared" si="61"/>
        <v>3</v>
      </c>
      <c r="BF48" s="29">
        <f t="shared" ref="BF48:BO48" si="130">+(AK48+Z48+O48+D48)/4</f>
        <v>2.135135135</v>
      </c>
      <c r="BG48" s="24">
        <f t="shared" si="130"/>
        <v>21.5</v>
      </c>
      <c r="BH48" s="24">
        <f t="shared" si="130"/>
        <v>17</v>
      </c>
      <c r="BI48" s="24">
        <f t="shared" si="130"/>
        <v>9.75</v>
      </c>
      <c r="BJ48" s="24">
        <f t="shared" si="130"/>
        <v>27.5</v>
      </c>
      <c r="BK48" s="24">
        <f t="shared" si="130"/>
        <v>20.75</v>
      </c>
      <c r="BL48" s="24">
        <f t="shared" si="130"/>
        <v>3.25</v>
      </c>
      <c r="BM48" s="24">
        <f t="shared" si="130"/>
        <v>10.5</v>
      </c>
      <c r="BN48" s="24">
        <f t="shared" si="130"/>
        <v>11</v>
      </c>
      <c r="BO48" s="24">
        <f t="shared" si="130"/>
        <v>6</v>
      </c>
      <c r="BP48" s="30">
        <f t="shared" si="9"/>
        <v>0.1001589825</v>
      </c>
      <c r="BQ48" s="31">
        <f t="shared" si="10"/>
        <v>0.02702702703</v>
      </c>
      <c r="BR48" s="31">
        <f t="shared" si="11"/>
        <v>0.1081081081</v>
      </c>
      <c r="BS48" s="31">
        <f t="shared" si="12"/>
        <v>0.1621621622</v>
      </c>
      <c r="BT48" s="31">
        <f t="shared" si="13"/>
        <v>0.08108108108</v>
      </c>
      <c r="BU48" s="31">
        <f t="shared" si="14"/>
        <v>0.08108108108</v>
      </c>
      <c r="BV48" s="31">
        <f t="shared" si="15"/>
        <v>0.972972973</v>
      </c>
      <c r="BW48" s="31">
        <f t="shared" ref="BW48:BX48" si="131">+BR48+BS48+BT48</f>
        <v>0.3513513514</v>
      </c>
      <c r="BX48" s="32">
        <f t="shared" si="131"/>
        <v>0.3243243243</v>
      </c>
      <c r="BY48" s="54"/>
    </row>
    <row r="49" ht="15.75" customHeight="1">
      <c r="A49" s="1"/>
      <c r="B49" s="42">
        <v>38.0</v>
      </c>
      <c r="C49" s="43">
        <v>3.0</v>
      </c>
      <c r="D49" s="3">
        <f t="shared" si="3"/>
        <v>2.184210526</v>
      </c>
      <c r="E49" s="43">
        <f t="shared" si="17"/>
        <v>22</v>
      </c>
      <c r="F49" s="2">
        <f t="shared" si="18"/>
        <v>19</v>
      </c>
      <c r="G49" s="43">
        <f t="shared" si="19"/>
        <v>10</v>
      </c>
      <c r="H49" s="43">
        <f t="shared" si="20"/>
        <v>29</v>
      </c>
      <c r="I49" s="43">
        <f t="shared" si="21"/>
        <v>22</v>
      </c>
      <c r="J49" s="43">
        <f t="shared" si="22"/>
        <v>3</v>
      </c>
      <c r="K49" s="43">
        <f t="shared" si="23"/>
        <v>10</v>
      </c>
      <c r="L49" s="43">
        <f t="shared" si="24"/>
        <v>12</v>
      </c>
      <c r="M49" s="44">
        <f t="shared" si="25"/>
        <v>7</v>
      </c>
      <c r="N49" s="57">
        <v>1.0</v>
      </c>
      <c r="O49" s="3">
        <f t="shared" si="4"/>
        <v>1.894736842</v>
      </c>
      <c r="P49" s="43">
        <f t="shared" si="26"/>
        <v>20</v>
      </c>
      <c r="Q49" s="2">
        <f t="shared" si="27"/>
        <v>16</v>
      </c>
      <c r="R49" s="43">
        <f t="shared" si="28"/>
        <v>10</v>
      </c>
      <c r="S49" s="43">
        <f t="shared" si="29"/>
        <v>28</v>
      </c>
      <c r="T49" s="43">
        <f t="shared" si="30"/>
        <v>18</v>
      </c>
      <c r="U49" s="43">
        <f t="shared" si="31"/>
        <v>6</v>
      </c>
      <c r="V49" s="43">
        <f t="shared" si="32"/>
        <v>12</v>
      </c>
      <c r="W49" s="43">
        <f t="shared" si="33"/>
        <v>8</v>
      </c>
      <c r="X49" s="44">
        <f t="shared" si="34"/>
        <v>8</v>
      </c>
      <c r="Y49" s="57">
        <v>2.0</v>
      </c>
      <c r="Z49" s="3">
        <f t="shared" si="5"/>
        <v>2.368421053</v>
      </c>
      <c r="AA49" s="43">
        <f t="shared" si="35"/>
        <v>26</v>
      </c>
      <c r="AB49" s="2">
        <f t="shared" si="36"/>
        <v>17</v>
      </c>
      <c r="AC49" s="43">
        <f t="shared" si="37"/>
        <v>9</v>
      </c>
      <c r="AD49" s="43">
        <f t="shared" si="38"/>
        <v>28</v>
      </c>
      <c r="AE49" s="43">
        <f t="shared" si="39"/>
        <v>24</v>
      </c>
      <c r="AF49" s="43">
        <f t="shared" si="40"/>
        <v>0</v>
      </c>
      <c r="AG49" s="43">
        <f t="shared" si="41"/>
        <v>11</v>
      </c>
      <c r="AH49" s="43">
        <f t="shared" si="42"/>
        <v>15</v>
      </c>
      <c r="AI49" s="44">
        <f t="shared" si="43"/>
        <v>2</v>
      </c>
      <c r="AJ49" s="57">
        <v>2.0</v>
      </c>
      <c r="AK49" s="3">
        <f t="shared" si="6"/>
        <v>2.078947368</v>
      </c>
      <c r="AL49" s="43">
        <f t="shared" si="44"/>
        <v>21</v>
      </c>
      <c r="AM49" s="2">
        <f t="shared" si="45"/>
        <v>19</v>
      </c>
      <c r="AN49" s="43">
        <f t="shared" si="46"/>
        <v>11</v>
      </c>
      <c r="AO49" s="43">
        <f t="shared" si="47"/>
        <v>29</v>
      </c>
      <c r="AP49" s="43">
        <f t="shared" si="48"/>
        <v>22</v>
      </c>
      <c r="AQ49" s="43">
        <f t="shared" si="49"/>
        <v>4</v>
      </c>
      <c r="AR49" s="43">
        <f t="shared" si="50"/>
        <v>10</v>
      </c>
      <c r="AS49" s="43">
        <f t="shared" si="51"/>
        <v>11</v>
      </c>
      <c r="AT49" s="44">
        <f t="shared" si="52"/>
        <v>8</v>
      </c>
      <c r="AU49" s="43"/>
      <c r="AV49" s="3">
        <f t="shared" si="7"/>
        <v>2.235294118</v>
      </c>
      <c r="AW49" s="43">
        <f t="shared" si="53"/>
        <v>10</v>
      </c>
      <c r="AX49" s="2">
        <f t="shared" si="54"/>
        <v>9</v>
      </c>
      <c r="AY49" s="43">
        <f t="shared" si="55"/>
        <v>5</v>
      </c>
      <c r="AZ49" s="43">
        <f t="shared" si="56"/>
        <v>13</v>
      </c>
      <c r="BA49" s="43">
        <f t="shared" si="57"/>
        <v>11</v>
      </c>
      <c r="BB49" s="43">
        <f t="shared" si="58"/>
        <v>22</v>
      </c>
      <c r="BC49" s="43">
        <f t="shared" si="59"/>
        <v>4</v>
      </c>
      <c r="BD49" s="43">
        <f t="shared" si="60"/>
        <v>6</v>
      </c>
      <c r="BE49" s="44">
        <f t="shared" si="61"/>
        <v>3</v>
      </c>
      <c r="BF49" s="46">
        <f t="shared" ref="BF49:BO49" si="132">+(AK49+Z49+O49+D49)/4</f>
        <v>2.131578947</v>
      </c>
      <c r="BG49" s="43">
        <f t="shared" si="132"/>
        <v>22.25</v>
      </c>
      <c r="BH49" s="43">
        <f t="shared" si="132"/>
        <v>17.75</v>
      </c>
      <c r="BI49" s="43">
        <f t="shared" si="132"/>
        <v>10</v>
      </c>
      <c r="BJ49" s="43">
        <f t="shared" si="132"/>
        <v>28.5</v>
      </c>
      <c r="BK49" s="43">
        <f t="shared" si="132"/>
        <v>21.5</v>
      </c>
      <c r="BL49" s="43">
        <f t="shared" si="132"/>
        <v>3.25</v>
      </c>
      <c r="BM49" s="43">
        <f t="shared" si="132"/>
        <v>10.75</v>
      </c>
      <c r="BN49" s="43">
        <f t="shared" si="132"/>
        <v>11.5</v>
      </c>
      <c r="BO49" s="43">
        <f t="shared" si="132"/>
        <v>6.25</v>
      </c>
      <c r="BP49" s="48">
        <f t="shared" si="9"/>
        <v>0.1037151703</v>
      </c>
      <c r="BQ49" s="49">
        <f t="shared" si="10"/>
        <v>0.02631578947</v>
      </c>
      <c r="BR49" s="49">
        <f t="shared" si="11"/>
        <v>0.1052631579</v>
      </c>
      <c r="BS49" s="49">
        <f t="shared" si="12"/>
        <v>0.1578947368</v>
      </c>
      <c r="BT49" s="49">
        <f t="shared" si="13"/>
        <v>0.07894736842</v>
      </c>
      <c r="BU49" s="49">
        <f t="shared" si="14"/>
        <v>0.07894736842</v>
      </c>
      <c r="BV49" s="49">
        <f t="shared" si="15"/>
        <v>0.9736842105</v>
      </c>
      <c r="BW49" s="49">
        <f t="shared" ref="BW49:BX49" si="133">+BR49+BS49+BT49</f>
        <v>0.3421052632</v>
      </c>
      <c r="BX49" s="50">
        <f t="shared" si="133"/>
        <v>0.3157894737</v>
      </c>
      <c r="BY49" s="1"/>
    </row>
    <row r="50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17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1"/>
      <c r="BS50" s="1"/>
      <c r="BT50" s="1"/>
      <c r="BU50" s="1"/>
      <c r="BV50" s="1"/>
      <c r="BW50" s="1"/>
      <c r="BX50" s="1"/>
      <c r="BY50" s="1"/>
    </row>
    <row r="51" ht="15.75" customHeight="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5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</row>
    <row r="52" ht="15.75" customHeight="1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</row>
    <row r="53" ht="15.75" customHeight="1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</row>
    <row r="54" ht="15.75" customHeight="1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</row>
    <row r="55" ht="15.75" customHeight="1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</row>
    <row r="56" ht="15.75" customHeight="1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</row>
    <row r="57" ht="15.75" customHeight="1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</row>
  </sheetData>
  <mergeCells count="7">
    <mergeCell ref="B10:M10"/>
    <mergeCell ref="N10:X10"/>
    <mergeCell ref="Y10:AI10"/>
    <mergeCell ref="AJ10:AT10"/>
    <mergeCell ref="AU10:BE10"/>
    <mergeCell ref="BF10:BO10"/>
    <mergeCell ref="BP10:BX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4" width="8.71"/>
    <col customWidth="1" min="5" max="6" width="9.43"/>
    <col customWidth="1" min="7" max="7" width="12.0"/>
    <col customWidth="1" min="8" max="8" width="9.43"/>
    <col customWidth="1" min="9" max="15" width="8.71"/>
    <col customWidth="1" min="16" max="17" width="9.43"/>
    <col customWidth="1" min="18" max="18" width="12.0"/>
    <col customWidth="1" min="19" max="19" width="9.43"/>
    <col customWidth="1" min="20" max="26" width="8.71"/>
    <col customWidth="1" min="27" max="28" width="9.43"/>
    <col customWidth="1" min="29" max="29" width="12.0"/>
    <col customWidth="1" min="30" max="30" width="9.43"/>
    <col customWidth="1" min="31" max="37" width="8.71"/>
    <col customWidth="1" min="38" max="39" width="9.43"/>
    <col customWidth="1" min="40" max="40" width="8.29"/>
    <col customWidth="1" min="41" max="41" width="9.43"/>
    <col customWidth="1" min="42" max="69" width="8.71"/>
    <col customWidth="1" min="70" max="70" width="9.14"/>
    <col customWidth="1" min="71" max="71" width="9.43"/>
    <col customWidth="1" min="72" max="72" width="7.43"/>
    <col customWidth="1" min="73" max="73" width="8.14"/>
    <col customWidth="1" min="74" max="74" width="8.86"/>
    <col customWidth="1" min="75" max="75" width="10.43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</row>
    <row r="10">
      <c r="B10" s="4" t="s">
        <v>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7" t="s">
        <v>1</v>
      </c>
      <c r="O10" s="5"/>
      <c r="P10" s="5"/>
      <c r="Q10" s="5"/>
      <c r="R10" s="5"/>
      <c r="S10" s="5"/>
      <c r="T10" s="5"/>
      <c r="U10" s="5"/>
      <c r="V10" s="5"/>
      <c r="W10" s="5"/>
      <c r="X10" s="6"/>
      <c r="Y10" s="8" t="s">
        <v>2</v>
      </c>
      <c r="Z10" s="5"/>
      <c r="AA10" s="5"/>
      <c r="AB10" s="5"/>
      <c r="AC10" s="5"/>
      <c r="AD10" s="5"/>
      <c r="AE10" s="5"/>
      <c r="AF10" s="5"/>
      <c r="AG10" s="5"/>
      <c r="AH10" s="5"/>
      <c r="AI10" s="6"/>
      <c r="AJ10" s="7" t="s">
        <v>3</v>
      </c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7" t="s">
        <v>4</v>
      </c>
      <c r="AV10" s="5"/>
      <c r="AW10" s="5"/>
      <c r="AX10" s="5"/>
      <c r="AY10" s="5"/>
      <c r="AZ10" s="5"/>
      <c r="BA10" s="5"/>
      <c r="BB10" s="5"/>
      <c r="BC10" s="5"/>
      <c r="BD10" s="5"/>
      <c r="BE10" s="6"/>
      <c r="BF10" s="8" t="s">
        <v>5</v>
      </c>
      <c r="BG10" s="5"/>
      <c r="BH10" s="5"/>
      <c r="BI10" s="5"/>
      <c r="BJ10" s="5"/>
      <c r="BK10" s="5"/>
      <c r="BL10" s="5"/>
      <c r="BM10" s="5"/>
      <c r="BN10" s="5"/>
      <c r="BO10" s="51"/>
      <c r="BP10" s="13" t="s">
        <v>6</v>
      </c>
      <c r="BQ10" s="14"/>
      <c r="BR10" s="14"/>
      <c r="BS10" s="14"/>
      <c r="BT10" s="14"/>
      <c r="BU10" s="14"/>
      <c r="BV10" s="14"/>
      <c r="BW10" s="14"/>
      <c r="BX10" s="15"/>
    </row>
    <row r="11">
      <c r="B11" s="16"/>
      <c r="C11" s="17"/>
      <c r="D11" s="18" t="s">
        <v>7</v>
      </c>
      <c r="E11" s="19" t="s">
        <v>8</v>
      </c>
      <c r="F11" s="19" t="s">
        <v>9</v>
      </c>
      <c r="G11" s="19" t="s">
        <v>10</v>
      </c>
      <c r="H11" s="19" t="s">
        <v>11</v>
      </c>
      <c r="I11" s="19" t="s">
        <v>12</v>
      </c>
      <c r="J11" s="19" t="s">
        <v>13</v>
      </c>
      <c r="K11" s="19" t="s">
        <v>14</v>
      </c>
      <c r="L11" s="19" t="s">
        <v>15</v>
      </c>
      <c r="M11" s="20" t="s">
        <v>16</v>
      </c>
      <c r="N11" s="17"/>
      <c r="O11" s="18" t="s">
        <v>7</v>
      </c>
      <c r="P11" s="19" t="s">
        <v>8</v>
      </c>
      <c r="Q11" s="19" t="s">
        <v>9</v>
      </c>
      <c r="R11" s="19" t="s">
        <v>10</v>
      </c>
      <c r="S11" s="19" t="s">
        <v>11</v>
      </c>
      <c r="T11" s="19" t="s">
        <v>12</v>
      </c>
      <c r="U11" s="19" t="s">
        <v>13</v>
      </c>
      <c r="V11" s="19" t="s">
        <v>14</v>
      </c>
      <c r="W11" s="19" t="s">
        <v>15</v>
      </c>
      <c r="X11" s="20" t="s">
        <v>16</v>
      </c>
      <c r="Y11" s="17"/>
      <c r="Z11" s="18" t="s">
        <v>7</v>
      </c>
      <c r="AA11" s="19" t="s">
        <v>8</v>
      </c>
      <c r="AB11" s="19" t="s">
        <v>9</v>
      </c>
      <c r="AC11" s="19" t="s">
        <v>10</v>
      </c>
      <c r="AD11" s="19" t="s">
        <v>11</v>
      </c>
      <c r="AE11" s="19" t="s">
        <v>12</v>
      </c>
      <c r="AF11" s="19" t="s">
        <v>13</v>
      </c>
      <c r="AG11" s="19" t="s">
        <v>14</v>
      </c>
      <c r="AH11" s="19" t="s">
        <v>15</v>
      </c>
      <c r="AI11" s="20" t="s">
        <v>16</v>
      </c>
      <c r="AJ11" s="17"/>
      <c r="AK11" s="18" t="s">
        <v>7</v>
      </c>
      <c r="AL11" s="19" t="s">
        <v>8</v>
      </c>
      <c r="AM11" s="19" t="s">
        <v>9</v>
      </c>
      <c r="AN11" s="19" t="s">
        <v>10</v>
      </c>
      <c r="AO11" s="19" t="s">
        <v>11</v>
      </c>
      <c r="AP11" s="19" t="s">
        <v>12</v>
      </c>
      <c r="AQ11" s="19" t="s">
        <v>13</v>
      </c>
      <c r="AR11" s="19" t="s">
        <v>14</v>
      </c>
      <c r="AS11" s="19" t="s">
        <v>15</v>
      </c>
      <c r="AT11" s="20" t="s">
        <v>16</v>
      </c>
      <c r="AU11" s="17"/>
      <c r="AV11" s="18" t="s">
        <v>7</v>
      </c>
      <c r="AW11" s="19" t="s">
        <v>8</v>
      </c>
      <c r="AX11" s="19" t="s">
        <v>9</v>
      </c>
      <c r="AY11" s="19" t="s">
        <v>10</v>
      </c>
      <c r="AZ11" s="19" t="s">
        <v>11</v>
      </c>
      <c r="BA11" s="19" t="s">
        <v>12</v>
      </c>
      <c r="BB11" s="19" t="s">
        <v>13</v>
      </c>
      <c r="BC11" s="19" t="s">
        <v>14</v>
      </c>
      <c r="BD11" s="19" t="s">
        <v>15</v>
      </c>
      <c r="BE11" s="20" t="s">
        <v>16</v>
      </c>
      <c r="BF11" s="18" t="s">
        <v>7</v>
      </c>
      <c r="BG11" s="19" t="s">
        <v>8</v>
      </c>
      <c r="BH11" s="19" t="s">
        <v>9</v>
      </c>
      <c r="BI11" s="19" t="s">
        <v>10</v>
      </c>
      <c r="BJ11" s="19" t="s">
        <v>11</v>
      </c>
      <c r="BK11" s="19" t="s">
        <v>12</v>
      </c>
      <c r="BL11" s="19" t="s">
        <v>13</v>
      </c>
      <c r="BM11" s="19" t="s">
        <v>14</v>
      </c>
      <c r="BN11" s="19" t="s">
        <v>15</v>
      </c>
      <c r="BO11" s="59" t="s">
        <v>16</v>
      </c>
      <c r="BP11" s="21" t="s">
        <v>17</v>
      </c>
      <c r="BQ11" s="18" t="s">
        <v>18</v>
      </c>
      <c r="BR11" s="18" t="s">
        <v>19</v>
      </c>
      <c r="BS11" s="18" t="s">
        <v>20</v>
      </c>
      <c r="BT11" s="18" t="s">
        <v>21</v>
      </c>
      <c r="BU11" s="18" t="s">
        <v>22</v>
      </c>
      <c r="BV11" s="22" t="s">
        <v>23</v>
      </c>
      <c r="BW11" s="18" t="s">
        <v>24</v>
      </c>
      <c r="BX11" s="52" t="s">
        <v>25</v>
      </c>
    </row>
    <row r="12">
      <c r="A12" s="60"/>
      <c r="B12" s="25">
        <v>1.0</v>
      </c>
      <c r="C12" s="24">
        <v>1.0</v>
      </c>
      <c r="D12" s="27">
        <f t="shared" ref="D12:D49" si="3">AVERAGE($C$12:C12)</f>
        <v>1</v>
      </c>
      <c r="E12" s="24">
        <f>IF(AND(C12&gt;=1,C12&lt;=2),1,0)</f>
        <v>1</v>
      </c>
      <c r="F12" s="24">
        <f>IF(AND(C12&gt;=2,C12&lt;=3),1,0)</f>
        <v>0</v>
      </c>
      <c r="G12" s="24">
        <f>IF(AND(C12&gt;=3,C12&lt;=4),1,0)</f>
        <v>0</v>
      </c>
      <c r="H12" s="24">
        <f>IF(AND(C12&gt;=1,C12&lt;=3),1,0)</f>
        <v>1</v>
      </c>
      <c r="I12" s="24">
        <f>IF(AND(C12&gt;=2,C12&lt;=4),1,0)</f>
        <v>0</v>
      </c>
      <c r="J12" s="24">
        <f>IF((C12=0),1,0)</f>
        <v>0</v>
      </c>
      <c r="K12" s="24">
        <f>IF((C12=1),1,0)</f>
        <v>1</v>
      </c>
      <c r="L12" s="24">
        <f>IF((C12=2),1,0)</f>
        <v>0</v>
      </c>
      <c r="M12" s="28">
        <f>IF((C12=3),1,0)</f>
        <v>0</v>
      </c>
      <c r="N12" s="24">
        <v>4.0</v>
      </c>
      <c r="O12" s="27">
        <f t="shared" ref="O12:O49" si="4">AVERAGE($N$12:N12)</f>
        <v>4</v>
      </c>
      <c r="P12" s="24">
        <f>IF(AND(N12&gt;=1,N12&lt;=2),1,0)</f>
        <v>0</v>
      </c>
      <c r="Q12" s="24">
        <f>IF(AND(N12&gt;=2,N12&lt;=3),1,0)</f>
        <v>0</v>
      </c>
      <c r="R12" s="24">
        <f>IF(AND(N12&gt;=3,N12&lt;=4),1,0)</f>
        <v>1</v>
      </c>
      <c r="S12" s="24">
        <f>IF(AND(N12&gt;=1,N12&lt;=3),1,0)</f>
        <v>0</v>
      </c>
      <c r="T12" s="24">
        <f>IF(AND(N12&gt;=2,N12&lt;=4),1,0)</f>
        <v>1</v>
      </c>
      <c r="U12" s="24">
        <f>IF((N12=0),1,0)</f>
        <v>0</v>
      </c>
      <c r="V12" s="24">
        <f>IF((N12=1),1,0)</f>
        <v>0</v>
      </c>
      <c r="W12" s="24">
        <f>IF((N12=2),1,0)</f>
        <v>0</v>
      </c>
      <c r="X12" s="28">
        <f>IF((N12=3),1,0)</f>
        <v>0</v>
      </c>
      <c r="Y12" s="24">
        <v>2.0</v>
      </c>
      <c r="Z12" s="27">
        <f t="shared" ref="Z12:Z49" si="5">AVERAGE($Y$12:Y12)</f>
        <v>2</v>
      </c>
      <c r="AA12" s="24">
        <f>IF(AND(Y12&gt;=1,Y12&lt;=2),1,0)</f>
        <v>1</v>
      </c>
      <c r="AB12" s="24">
        <f>IF(AND(Y12&gt;=2,Y12&lt;=3),1,0)</f>
        <v>1</v>
      </c>
      <c r="AC12" s="24">
        <f>IF(AND(Y12&gt;=3,Y12&lt;=4),1,0)</f>
        <v>0</v>
      </c>
      <c r="AD12" s="24">
        <f>IF(AND(Y12&gt;=1,Y12&lt;=3),1,0)</f>
        <v>1</v>
      </c>
      <c r="AE12" s="24">
        <f>IF(AND(Y12&gt;=2,Y12&lt;=4),1,0)</f>
        <v>1</v>
      </c>
      <c r="AF12" s="24">
        <f>IF((Y12=0),1,0)</f>
        <v>0</v>
      </c>
      <c r="AG12" s="24">
        <f>IF((Y12=1),1,0)</f>
        <v>0</v>
      </c>
      <c r="AH12" s="24">
        <f>IF((Y12=2),1,0)</f>
        <v>1</v>
      </c>
      <c r="AI12" s="28">
        <f>IF((Y12=3),1,0)</f>
        <v>0</v>
      </c>
      <c r="AJ12" s="24">
        <v>2.0</v>
      </c>
      <c r="AK12" s="27">
        <f t="shared" ref="AK12:AK49" si="6">AVERAGE($AJ$12:AJ12)</f>
        <v>2</v>
      </c>
      <c r="AL12" s="24">
        <f>IF(AND(AJ12&gt;=1,AJ12&lt;=2),1,0)</f>
        <v>1</v>
      </c>
      <c r="AM12" s="24">
        <f>IF(AND(AJ12&gt;=2,AJ12&lt;=3),1,0)</f>
        <v>1</v>
      </c>
      <c r="AN12" s="24">
        <f>IF(AND(AJ12&gt;=3,AJ12&lt;=4),1,0)</f>
        <v>0</v>
      </c>
      <c r="AO12" s="24">
        <f>IF(AND(AJ12&gt;=1,AJ12&lt;=3),1,0)</f>
        <v>1</v>
      </c>
      <c r="AP12" s="24">
        <f>IF(AND(AJ12&gt;=2,AJ12&lt;=4),1,0)</f>
        <v>1</v>
      </c>
      <c r="AQ12" s="24">
        <f>IF((AJ12=0),1,0)</f>
        <v>0</v>
      </c>
      <c r="AR12" s="24">
        <f>IF((AJ12=1),1,0)</f>
        <v>0</v>
      </c>
      <c r="AS12" s="24">
        <f>IF((AJ12=2),1,0)</f>
        <v>1</v>
      </c>
      <c r="AT12" s="28">
        <f>IF((AJ12=3),1,0)</f>
        <v>0</v>
      </c>
      <c r="AU12" s="24">
        <v>1.0</v>
      </c>
      <c r="AV12" s="27">
        <f t="shared" ref="AV12:AV49" si="7">AVERAGE($AU$12:AU12)</f>
        <v>1</v>
      </c>
      <c r="AW12" s="24">
        <f>IF(AND(AU12&gt;=1,AU12&lt;=2),1,0)</f>
        <v>1</v>
      </c>
      <c r="AX12" s="24">
        <f>IF(AND(AU12&gt;=2,AU12&lt;=3),1,0)</f>
        <v>0</v>
      </c>
      <c r="AY12" s="24">
        <f>IF(AND(AU12&gt;=3,AU12&lt;=4),1,0)</f>
        <v>0</v>
      </c>
      <c r="AZ12" s="24">
        <f>IF(AND(AU12&gt;=1,AU12&lt;=3),1,0)</f>
        <v>1</v>
      </c>
      <c r="BA12" s="24">
        <f>IF(AND(AU12&gt;=2,AU12&lt;=4),1,0)</f>
        <v>0</v>
      </c>
      <c r="BB12" s="24">
        <f>IF((AU12=0),1,0)</f>
        <v>0</v>
      </c>
      <c r="BC12" s="24">
        <f>IF((AU12=1),1,0)</f>
        <v>1</v>
      </c>
      <c r="BD12" s="24">
        <f>IF((AU12=2),1,0)</f>
        <v>0</v>
      </c>
      <c r="BE12" s="28">
        <f>IF((AU12=3),1,0)</f>
        <v>0</v>
      </c>
      <c r="BF12" s="29">
        <f t="shared" ref="BF12:BO12" si="1">+(AK12+Z12+O12+D12)/4</f>
        <v>2.25</v>
      </c>
      <c r="BG12" s="24">
        <f t="shared" si="1"/>
        <v>0.75</v>
      </c>
      <c r="BH12" s="24">
        <f t="shared" si="1"/>
        <v>0.5</v>
      </c>
      <c r="BI12" s="24">
        <f t="shared" si="1"/>
        <v>0.25</v>
      </c>
      <c r="BJ12" s="24">
        <f t="shared" si="1"/>
        <v>0.75</v>
      </c>
      <c r="BK12" s="24">
        <f t="shared" si="1"/>
        <v>0.75</v>
      </c>
      <c r="BL12" s="24">
        <f t="shared" si="1"/>
        <v>0</v>
      </c>
      <c r="BM12" s="24">
        <f t="shared" si="1"/>
        <v>0.25</v>
      </c>
      <c r="BN12" s="24">
        <f t="shared" si="1"/>
        <v>0.5</v>
      </c>
      <c r="BO12" s="61">
        <f t="shared" si="1"/>
        <v>0</v>
      </c>
      <c r="BP12" s="30">
        <f t="shared" ref="BP12:BP49" si="9">+AV12-BF12</f>
        <v>-1.25</v>
      </c>
      <c r="BQ12" s="31">
        <f t="shared" ref="BQ12:BQ49" si="10">COUNTIF($AU$12:AU12,0)/B12</f>
        <v>0</v>
      </c>
      <c r="BR12" s="31">
        <f t="shared" ref="BR12:BR49" si="11">(COUNTIF($AU$12:AU12,1))/B12</f>
        <v>1</v>
      </c>
      <c r="BS12" s="31">
        <f t="shared" ref="BS12:BS49" si="12">(COUNTIF($AU$12:AU12,2))/B12</f>
        <v>0</v>
      </c>
      <c r="BT12" s="31">
        <f t="shared" ref="BT12:BT49" si="13">(COUNTIF($AU$12:AU12,3))/B12</f>
        <v>0</v>
      </c>
      <c r="BU12" s="31">
        <f t="shared" ref="BU12:BU49" si="14">(COUNTIF($AU$12:AU12,"&gt;=4"))/B12</f>
        <v>0</v>
      </c>
      <c r="BV12" s="31">
        <f t="shared" ref="BV12:BV49" si="15">1-BQ12</f>
        <v>1</v>
      </c>
      <c r="BW12" s="31">
        <f t="shared" ref="BW12:BX12" si="2">+BR12+BS12+BT12</f>
        <v>1</v>
      </c>
      <c r="BX12" s="32">
        <f t="shared" si="2"/>
        <v>0</v>
      </c>
      <c r="BY12" s="60"/>
    </row>
    <row r="13">
      <c r="B13" s="33">
        <v>2.0</v>
      </c>
      <c r="C13" s="2">
        <v>4.0</v>
      </c>
      <c r="D13" s="3">
        <f t="shared" si="3"/>
        <v>2.5</v>
      </c>
      <c r="E13" s="2">
        <f t="shared" ref="E13:E49" si="17">IF(AND(C13&gt;=1,C13&lt;=2),(E12+1),E12)</f>
        <v>1</v>
      </c>
      <c r="F13" s="2">
        <f t="shared" ref="F13:F49" si="18">IF(AND(C13&gt;=2,C13&lt;=3),(F12+1),F12)</f>
        <v>0</v>
      </c>
      <c r="G13" s="2">
        <f t="shared" ref="G13:G49" si="19">IF(AND(C13&gt;=3,C13&lt;=4),(G12+1),G12)</f>
        <v>1</v>
      </c>
      <c r="H13" s="2">
        <f t="shared" ref="H13:H49" si="20">IF(AND(C13&gt;=1,C13&lt;=3),(H12+1),H12)</f>
        <v>1</v>
      </c>
      <c r="I13" s="2">
        <f t="shared" ref="I13:I49" si="21">IF(AND(C13&gt;=2,C13&lt;=4),(I12+1),I12)</f>
        <v>1</v>
      </c>
      <c r="J13" s="2">
        <f t="shared" ref="J13:J49" si="22">IF((C13=0),(J12+1),J12)</f>
        <v>0</v>
      </c>
      <c r="K13" s="2">
        <f t="shared" ref="K13:K49" si="23">IF((C13=1),(K12+1),K12)</f>
        <v>1</v>
      </c>
      <c r="L13" s="2">
        <f t="shared" ref="L13:L49" si="24">IF((C13=2),(L12+1),L12)</f>
        <v>0</v>
      </c>
      <c r="M13" s="34">
        <f t="shared" ref="M13:M49" si="25">IF((C13=3),(M12+1),M12)</f>
        <v>0</v>
      </c>
      <c r="N13" s="2">
        <v>1.0</v>
      </c>
      <c r="O13" s="3">
        <f t="shared" si="4"/>
        <v>2.5</v>
      </c>
      <c r="P13" s="2">
        <f t="shared" ref="P13:P49" si="26">IF(AND(N13&gt;=1,N13&lt;=2),(P12+1),P12)</f>
        <v>1</v>
      </c>
      <c r="Q13" s="2">
        <f t="shared" ref="Q13:Q49" si="27">IF(AND(N13&gt;=2,N13&lt;=3),(Q12+1),Q12)</f>
        <v>0</v>
      </c>
      <c r="R13" s="2">
        <f t="shared" ref="R13:R49" si="28">IF(AND(N13&gt;=3,N13&lt;=4),(R12+1),R12)</f>
        <v>1</v>
      </c>
      <c r="S13" s="2">
        <f t="shared" ref="S13:S49" si="29">IF(AND(N13&gt;=1,N13&lt;=3),(S12+1),S12)</f>
        <v>1</v>
      </c>
      <c r="T13" s="2">
        <f t="shared" ref="T13:T49" si="30">IF(AND(N13&gt;=2,N13&lt;=4),(T12+1),T12)</f>
        <v>1</v>
      </c>
      <c r="U13" s="2">
        <f t="shared" ref="U13:U49" si="31">IF((N13=0),(U12+1),U12)</f>
        <v>0</v>
      </c>
      <c r="V13" s="2">
        <f t="shared" ref="V13:V49" si="32">IF((N13=1),(V12+1),V12)</f>
        <v>1</v>
      </c>
      <c r="W13" s="2">
        <f t="shared" ref="W13:W49" si="33">IF((N13=2),(W12+1),W12)</f>
        <v>0</v>
      </c>
      <c r="X13" s="34">
        <f t="shared" ref="X13:X49" si="34">IF((N13=3),(X12+1),X12)</f>
        <v>0</v>
      </c>
      <c r="Y13" s="2">
        <v>4.0</v>
      </c>
      <c r="Z13" s="3">
        <f t="shared" si="5"/>
        <v>3</v>
      </c>
      <c r="AA13" s="2">
        <f t="shared" ref="AA13:AA49" si="35">IF(AND(Y13&gt;=1,Y13&lt;=2),(AA12+1),AA12)</f>
        <v>1</v>
      </c>
      <c r="AB13" s="2">
        <f t="shared" ref="AB13:AB49" si="36">IF(AND(Y13&gt;=2,Y13&lt;=3),(AB12+1),AB12)</f>
        <v>1</v>
      </c>
      <c r="AC13" s="2">
        <f t="shared" ref="AC13:AC49" si="37">IF(AND(Y13&gt;=3,Y13&lt;=4),(AC12+1),AC12)</f>
        <v>1</v>
      </c>
      <c r="AD13" s="2">
        <f t="shared" ref="AD13:AD49" si="38">IF(AND(Y13&gt;=1,Y13&lt;=3),(AD12+1),AD12)</f>
        <v>1</v>
      </c>
      <c r="AE13" s="2">
        <f t="shared" ref="AE13:AE49" si="39">IF(AND(Y13&gt;=2,Y13&lt;=4),(AE12+1),AE12)</f>
        <v>2</v>
      </c>
      <c r="AF13" s="2">
        <f t="shared" ref="AF13:AF49" si="40">IF((Y13=0),(AF12+1),AF12)</f>
        <v>0</v>
      </c>
      <c r="AG13" s="2">
        <f t="shared" ref="AG13:AG49" si="41">IF((Y13=1),(AG12+1),AG12)</f>
        <v>0</v>
      </c>
      <c r="AH13" s="2">
        <f t="shared" ref="AH13:AH49" si="42">IF((Y13=2),(AH12+1),AH12)</f>
        <v>1</v>
      </c>
      <c r="AI13" s="34">
        <f t="shared" ref="AI13:AI49" si="43">IF((Y13=3),(AI12+1),AI12)</f>
        <v>0</v>
      </c>
      <c r="AJ13" s="2">
        <v>1.0</v>
      </c>
      <c r="AK13" s="3">
        <f t="shared" si="6"/>
        <v>1.5</v>
      </c>
      <c r="AL13" s="2">
        <f t="shared" ref="AL13:AL49" si="44">IF(AND(AJ13&gt;=1,AJ13&lt;=2),(AL12+1),AL12)</f>
        <v>2</v>
      </c>
      <c r="AM13" s="2">
        <f t="shared" ref="AM13:AM49" si="45">IF(AND(AJ13&gt;=2,AJ13&lt;=3),(AM12+1),AM12)</f>
        <v>1</v>
      </c>
      <c r="AN13" s="2">
        <f t="shared" ref="AN13:AN49" si="46">IF(AND(AJ13&gt;=3,AJ13&lt;=4),(AN12+1),AN12)</f>
        <v>0</v>
      </c>
      <c r="AO13" s="2">
        <f t="shared" ref="AO13:AO49" si="47">IF(AND(AJ13&gt;=1,AJ13&lt;=3),(AO12+1),AO12)</f>
        <v>2</v>
      </c>
      <c r="AP13" s="2">
        <f t="shared" ref="AP13:AP49" si="48">IF(AND(AJ13&gt;=2,AJ13&lt;=4),(AP12+1),AP12)</f>
        <v>1</v>
      </c>
      <c r="AQ13" s="2">
        <f t="shared" ref="AQ13:AQ49" si="49">IF((AJ13=0),(AQ12+1),AQ12)</f>
        <v>0</v>
      </c>
      <c r="AR13" s="2">
        <f t="shared" ref="AR13:AR49" si="50">IF((AJ13=1),(AR12+1),AR12)</f>
        <v>1</v>
      </c>
      <c r="AS13" s="2">
        <f t="shared" ref="AS13:AS49" si="51">IF((AJ13=2),(AS12+1),AS12)</f>
        <v>1</v>
      </c>
      <c r="AT13" s="34">
        <f t="shared" ref="AT13:AT49" si="52">IF((AJ13=3),(AT12+1),AT12)</f>
        <v>0</v>
      </c>
      <c r="AU13" s="2">
        <v>2.0</v>
      </c>
      <c r="AV13" s="3">
        <f t="shared" si="7"/>
        <v>1.5</v>
      </c>
      <c r="AW13" s="2">
        <f t="shared" ref="AW13:AW49" si="53">IF(AND(AU13&gt;=1,AU13&lt;=2),(AW12+1),AW12)</f>
        <v>2</v>
      </c>
      <c r="AX13" s="2">
        <f t="shared" ref="AX13:AX49" si="54">IF(AND(AU13&gt;=2,AU13&lt;=3),(AX12+1),AX12)</f>
        <v>1</v>
      </c>
      <c r="AY13" s="2">
        <f t="shared" ref="AY13:AY49" si="55">IF(AND(AU13&gt;=3,AU13&lt;=4),(AY12+1),AY12)</f>
        <v>0</v>
      </c>
      <c r="AZ13" s="2">
        <f t="shared" ref="AZ13:AZ49" si="56">IF(AND(AU13&gt;=1,AU13&lt;=3),(AZ12+1),AZ12)</f>
        <v>2</v>
      </c>
      <c r="BA13" s="2">
        <f t="shared" ref="BA13:BA49" si="57">IF(AND(AU13&gt;=2,AU13&lt;=4),(BA12+1),BA12)</f>
        <v>1</v>
      </c>
      <c r="BB13" s="2">
        <f t="shared" ref="BB13:BB49" si="58">IF((AU13=0),(BB12+1),BB12)</f>
        <v>0</v>
      </c>
      <c r="BC13" s="2">
        <f t="shared" ref="BC13:BC49" si="59">IF((AU13=1),(BC12+1),BC12)</f>
        <v>1</v>
      </c>
      <c r="BD13" s="2">
        <f t="shared" ref="BD13:BD49" si="60">IF((AU13=2),(BD12+1),BD12)</f>
        <v>1</v>
      </c>
      <c r="BE13" s="34">
        <f t="shared" ref="BE13:BE49" si="61">IF((AU13=3),(BE12+1),BE12)</f>
        <v>0</v>
      </c>
      <c r="BF13" s="36">
        <f t="shared" ref="BF13:BO13" si="8">+(AK13+Z13+O13+D13)/4</f>
        <v>2.375</v>
      </c>
      <c r="BG13" s="2">
        <f t="shared" si="8"/>
        <v>1.25</v>
      </c>
      <c r="BH13" s="2">
        <f t="shared" si="8"/>
        <v>0.5</v>
      </c>
      <c r="BI13" s="2">
        <f t="shared" si="8"/>
        <v>0.75</v>
      </c>
      <c r="BJ13" s="2">
        <f t="shared" si="8"/>
        <v>1.25</v>
      </c>
      <c r="BK13" s="2">
        <f t="shared" si="8"/>
        <v>1.25</v>
      </c>
      <c r="BL13" s="2">
        <f t="shared" si="8"/>
        <v>0</v>
      </c>
      <c r="BM13" s="2">
        <f t="shared" si="8"/>
        <v>0.75</v>
      </c>
      <c r="BN13" s="2">
        <f t="shared" si="8"/>
        <v>0.5</v>
      </c>
      <c r="BO13" s="62">
        <f t="shared" si="8"/>
        <v>0</v>
      </c>
      <c r="BP13" s="37">
        <f t="shared" si="9"/>
        <v>-0.875</v>
      </c>
      <c r="BQ13" s="38">
        <f t="shared" si="10"/>
        <v>0</v>
      </c>
      <c r="BR13" s="38">
        <f t="shared" si="11"/>
        <v>0.5</v>
      </c>
      <c r="BS13" s="38">
        <f t="shared" si="12"/>
        <v>0.5</v>
      </c>
      <c r="BT13" s="38">
        <f t="shared" si="13"/>
        <v>0</v>
      </c>
      <c r="BU13" s="38">
        <f t="shared" si="14"/>
        <v>0</v>
      </c>
      <c r="BV13" s="38">
        <f t="shared" si="15"/>
        <v>1</v>
      </c>
      <c r="BW13" s="38">
        <f t="shared" ref="BW13:BX13" si="16">+BR13+BS13+BT13</f>
        <v>1</v>
      </c>
      <c r="BX13" s="39">
        <f t="shared" si="16"/>
        <v>0.5</v>
      </c>
    </row>
    <row r="14">
      <c r="A14" s="60"/>
      <c r="B14" s="40">
        <v>3.0</v>
      </c>
      <c r="C14" s="24">
        <v>2.0</v>
      </c>
      <c r="D14" s="27">
        <f t="shared" si="3"/>
        <v>2.333333333</v>
      </c>
      <c r="E14" s="24">
        <f t="shared" si="17"/>
        <v>2</v>
      </c>
      <c r="F14" s="2">
        <f t="shared" si="18"/>
        <v>1</v>
      </c>
      <c r="G14" s="24">
        <f t="shared" si="19"/>
        <v>1</v>
      </c>
      <c r="H14" s="24">
        <f t="shared" si="20"/>
        <v>2</v>
      </c>
      <c r="I14" s="24">
        <f t="shared" si="21"/>
        <v>2</v>
      </c>
      <c r="J14" s="24">
        <f t="shared" si="22"/>
        <v>0</v>
      </c>
      <c r="K14" s="24">
        <f t="shared" si="23"/>
        <v>1</v>
      </c>
      <c r="L14" s="24">
        <f t="shared" si="24"/>
        <v>1</v>
      </c>
      <c r="M14" s="28">
        <f t="shared" si="25"/>
        <v>0</v>
      </c>
      <c r="N14" s="24">
        <v>2.0</v>
      </c>
      <c r="O14" s="27">
        <f t="shared" si="4"/>
        <v>2.333333333</v>
      </c>
      <c r="P14" s="24">
        <f t="shared" si="26"/>
        <v>2</v>
      </c>
      <c r="Q14" s="2">
        <f t="shared" si="27"/>
        <v>1</v>
      </c>
      <c r="R14" s="24">
        <f t="shared" si="28"/>
        <v>1</v>
      </c>
      <c r="S14" s="24">
        <f t="shared" si="29"/>
        <v>2</v>
      </c>
      <c r="T14" s="24">
        <f t="shared" si="30"/>
        <v>2</v>
      </c>
      <c r="U14" s="24">
        <f t="shared" si="31"/>
        <v>0</v>
      </c>
      <c r="V14" s="24">
        <f t="shared" si="32"/>
        <v>1</v>
      </c>
      <c r="W14" s="24">
        <f t="shared" si="33"/>
        <v>1</v>
      </c>
      <c r="X14" s="28">
        <f t="shared" si="34"/>
        <v>0</v>
      </c>
      <c r="Y14" s="24">
        <v>2.0</v>
      </c>
      <c r="Z14" s="27">
        <f t="shared" si="5"/>
        <v>2.666666667</v>
      </c>
      <c r="AA14" s="24">
        <f t="shared" si="35"/>
        <v>2</v>
      </c>
      <c r="AB14" s="2">
        <f t="shared" si="36"/>
        <v>2</v>
      </c>
      <c r="AC14" s="24">
        <f t="shared" si="37"/>
        <v>1</v>
      </c>
      <c r="AD14" s="24">
        <f t="shared" si="38"/>
        <v>2</v>
      </c>
      <c r="AE14" s="24">
        <f t="shared" si="39"/>
        <v>3</v>
      </c>
      <c r="AF14" s="24">
        <f t="shared" si="40"/>
        <v>0</v>
      </c>
      <c r="AG14" s="24">
        <f t="shared" si="41"/>
        <v>0</v>
      </c>
      <c r="AH14" s="24">
        <f t="shared" si="42"/>
        <v>2</v>
      </c>
      <c r="AI14" s="28">
        <f t="shared" si="43"/>
        <v>0</v>
      </c>
      <c r="AJ14" s="24">
        <v>2.0</v>
      </c>
      <c r="AK14" s="27">
        <f t="shared" si="6"/>
        <v>1.666666667</v>
      </c>
      <c r="AL14" s="24">
        <f t="shared" si="44"/>
        <v>3</v>
      </c>
      <c r="AM14" s="2">
        <f t="shared" si="45"/>
        <v>2</v>
      </c>
      <c r="AN14" s="24">
        <f t="shared" si="46"/>
        <v>0</v>
      </c>
      <c r="AO14" s="24">
        <f t="shared" si="47"/>
        <v>3</v>
      </c>
      <c r="AP14" s="24">
        <f t="shared" si="48"/>
        <v>2</v>
      </c>
      <c r="AQ14" s="24">
        <f t="shared" si="49"/>
        <v>0</v>
      </c>
      <c r="AR14" s="24">
        <f t="shared" si="50"/>
        <v>1</v>
      </c>
      <c r="AS14" s="24">
        <f t="shared" si="51"/>
        <v>2</v>
      </c>
      <c r="AT14" s="28">
        <f t="shared" si="52"/>
        <v>0</v>
      </c>
      <c r="AU14" s="24">
        <v>1.0</v>
      </c>
      <c r="AV14" s="27">
        <f t="shared" si="7"/>
        <v>1.333333333</v>
      </c>
      <c r="AW14" s="24">
        <f t="shared" si="53"/>
        <v>3</v>
      </c>
      <c r="AX14" s="2">
        <f t="shared" si="54"/>
        <v>1</v>
      </c>
      <c r="AY14" s="24">
        <f t="shared" si="55"/>
        <v>0</v>
      </c>
      <c r="AZ14" s="24">
        <f t="shared" si="56"/>
        <v>3</v>
      </c>
      <c r="BA14" s="24">
        <f t="shared" si="57"/>
        <v>1</v>
      </c>
      <c r="BB14" s="24">
        <f t="shared" si="58"/>
        <v>0</v>
      </c>
      <c r="BC14" s="24">
        <f t="shared" si="59"/>
        <v>2</v>
      </c>
      <c r="BD14" s="24">
        <f t="shared" si="60"/>
        <v>1</v>
      </c>
      <c r="BE14" s="28">
        <f t="shared" si="61"/>
        <v>0</v>
      </c>
      <c r="BF14" s="29">
        <f t="shared" ref="BF14:BO14" si="62">+(AK14+Z14+O14+D14)/4</f>
        <v>2.25</v>
      </c>
      <c r="BG14" s="24">
        <f t="shared" si="62"/>
        <v>2.25</v>
      </c>
      <c r="BH14" s="24">
        <f t="shared" si="62"/>
        <v>1.5</v>
      </c>
      <c r="BI14" s="24">
        <f t="shared" si="62"/>
        <v>0.75</v>
      </c>
      <c r="BJ14" s="24">
        <f t="shared" si="62"/>
        <v>2.25</v>
      </c>
      <c r="BK14" s="24">
        <f t="shared" si="62"/>
        <v>2.25</v>
      </c>
      <c r="BL14" s="24">
        <f t="shared" si="62"/>
        <v>0</v>
      </c>
      <c r="BM14" s="24">
        <f t="shared" si="62"/>
        <v>0.75</v>
      </c>
      <c r="BN14" s="24">
        <f t="shared" si="62"/>
        <v>1.5</v>
      </c>
      <c r="BO14" s="61">
        <f t="shared" si="62"/>
        <v>0</v>
      </c>
      <c r="BP14" s="30">
        <f t="shared" si="9"/>
        <v>-0.9166666667</v>
      </c>
      <c r="BQ14" s="31">
        <f t="shared" si="10"/>
        <v>0</v>
      </c>
      <c r="BR14" s="31">
        <f t="shared" si="11"/>
        <v>0.6666666667</v>
      </c>
      <c r="BS14" s="31">
        <f t="shared" si="12"/>
        <v>0.3333333333</v>
      </c>
      <c r="BT14" s="31">
        <f t="shared" si="13"/>
        <v>0</v>
      </c>
      <c r="BU14" s="31">
        <f t="shared" si="14"/>
        <v>0</v>
      </c>
      <c r="BV14" s="31">
        <f t="shared" si="15"/>
        <v>1</v>
      </c>
      <c r="BW14" s="31">
        <f t="shared" ref="BW14:BX14" si="63">+BR14+BS14+BT14</f>
        <v>1</v>
      </c>
      <c r="BX14" s="32">
        <f t="shared" si="63"/>
        <v>0.3333333333</v>
      </c>
      <c r="BY14" s="60"/>
    </row>
    <row r="15">
      <c r="B15" s="33">
        <v>4.0</v>
      </c>
      <c r="C15" s="2">
        <v>1.0</v>
      </c>
      <c r="D15" s="3">
        <f t="shared" si="3"/>
        <v>2</v>
      </c>
      <c r="E15" s="2">
        <f t="shared" si="17"/>
        <v>3</v>
      </c>
      <c r="F15" s="2">
        <f t="shared" si="18"/>
        <v>1</v>
      </c>
      <c r="G15" s="2">
        <f t="shared" si="19"/>
        <v>1</v>
      </c>
      <c r="H15" s="2">
        <f t="shared" si="20"/>
        <v>3</v>
      </c>
      <c r="I15" s="2">
        <f t="shared" si="21"/>
        <v>2</v>
      </c>
      <c r="J15" s="2">
        <f t="shared" si="22"/>
        <v>0</v>
      </c>
      <c r="K15" s="2">
        <f t="shared" si="23"/>
        <v>2</v>
      </c>
      <c r="L15" s="2">
        <f t="shared" si="24"/>
        <v>1</v>
      </c>
      <c r="M15" s="34">
        <f t="shared" si="25"/>
        <v>0</v>
      </c>
      <c r="N15" s="2">
        <v>0.0</v>
      </c>
      <c r="O15" s="3">
        <f t="shared" si="4"/>
        <v>1.75</v>
      </c>
      <c r="P15" s="2">
        <f t="shared" si="26"/>
        <v>2</v>
      </c>
      <c r="Q15" s="2">
        <f t="shared" si="27"/>
        <v>1</v>
      </c>
      <c r="R15" s="2">
        <f t="shared" si="28"/>
        <v>1</v>
      </c>
      <c r="S15" s="2">
        <f t="shared" si="29"/>
        <v>2</v>
      </c>
      <c r="T15" s="2">
        <f t="shared" si="30"/>
        <v>2</v>
      </c>
      <c r="U15" s="2">
        <f t="shared" si="31"/>
        <v>1</v>
      </c>
      <c r="V15" s="2">
        <f t="shared" si="32"/>
        <v>1</v>
      </c>
      <c r="W15" s="2">
        <f t="shared" si="33"/>
        <v>1</v>
      </c>
      <c r="X15" s="34">
        <f t="shared" si="34"/>
        <v>0</v>
      </c>
      <c r="Y15" s="2">
        <v>1.0</v>
      </c>
      <c r="Z15" s="3">
        <f t="shared" si="5"/>
        <v>2.25</v>
      </c>
      <c r="AA15" s="2">
        <f t="shared" si="35"/>
        <v>3</v>
      </c>
      <c r="AB15" s="2">
        <f t="shared" si="36"/>
        <v>2</v>
      </c>
      <c r="AC15" s="2">
        <f t="shared" si="37"/>
        <v>1</v>
      </c>
      <c r="AD15" s="2">
        <f t="shared" si="38"/>
        <v>3</v>
      </c>
      <c r="AE15" s="2">
        <f t="shared" si="39"/>
        <v>3</v>
      </c>
      <c r="AF15" s="2">
        <f t="shared" si="40"/>
        <v>0</v>
      </c>
      <c r="AG15" s="2">
        <f t="shared" si="41"/>
        <v>1</v>
      </c>
      <c r="AH15" s="2">
        <f t="shared" si="42"/>
        <v>2</v>
      </c>
      <c r="AI15" s="34">
        <f t="shared" si="43"/>
        <v>0</v>
      </c>
      <c r="AJ15" s="2">
        <v>4.0</v>
      </c>
      <c r="AK15" s="3">
        <f t="shared" si="6"/>
        <v>2.25</v>
      </c>
      <c r="AL15" s="2">
        <f t="shared" si="44"/>
        <v>3</v>
      </c>
      <c r="AM15" s="2">
        <f t="shared" si="45"/>
        <v>2</v>
      </c>
      <c r="AN15" s="2">
        <f t="shared" si="46"/>
        <v>1</v>
      </c>
      <c r="AO15" s="2">
        <f t="shared" si="47"/>
        <v>3</v>
      </c>
      <c r="AP15" s="2">
        <f t="shared" si="48"/>
        <v>3</v>
      </c>
      <c r="AQ15" s="2">
        <f t="shared" si="49"/>
        <v>0</v>
      </c>
      <c r="AR15" s="2">
        <f t="shared" si="50"/>
        <v>1</v>
      </c>
      <c r="AS15" s="2">
        <f t="shared" si="51"/>
        <v>2</v>
      </c>
      <c r="AT15" s="34">
        <f t="shared" si="52"/>
        <v>0</v>
      </c>
      <c r="AU15" s="2">
        <v>3.0</v>
      </c>
      <c r="AV15" s="3">
        <f t="shared" si="7"/>
        <v>1.75</v>
      </c>
      <c r="AW15" s="2">
        <f t="shared" si="53"/>
        <v>3</v>
      </c>
      <c r="AX15" s="2">
        <f t="shared" si="54"/>
        <v>2</v>
      </c>
      <c r="AY15" s="2">
        <f t="shared" si="55"/>
        <v>1</v>
      </c>
      <c r="AZ15" s="2">
        <f t="shared" si="56"/>
        <v>4</v>
      </c>
      <c r="BA15" s="2">
        <f t="shared" si="57"/>
        <v>2</v>
      </c>
      <c r="BB15" s="2">
        <f t="shared" si="58"/>
        <v>0</v>
      </c>
      <c r="BC15" s="2">
        <f t="shared" si="59"/>
        <v>2</v>
      </c>
      <c r="BD15" s="2">
        <f t="shared" si="60"/>
        <v>1</v>
      </c>
      <c r="BE15" s="34">
        <f t="shared" si="61"/>
        <v>1</v>
      </c>
      <c r="BF15" s="36">
        <f t="shared" ref="BF15:BO15" si="64">+(AK15+Z15+O15+D15)/4</f>
        <v>2.0625</v>
      </c>
      <c r="BG15" s="2">
        <f t="shared" si="64"/>
        <v>2.75</v>
      </c>
      <c r="BH15" s="2">
        <f t="shared" si="64"/>
        <v>1.5</v>
      </c>
      <c r="BI15" s="2">
        <f t="shared" si="64"/>
        <v>1</v>
      </c>
      <c r="BJ15" s="2">
        <f t="shared" si="64"/>
        <v>2.75</v>
      </c>
      <c r="BK15" s="2">
        <f t="shared" si="64"/>
        <v>2.5</v>
      </c>
      <c r="BL15" s="2">
        <f t="shared" si="64"/>
        <v>0.25</v>
      </c>
      <c r="BM15" s="2">
        <f t="shared" si="64"/>
        <v>1.25</v>
      </c>
      <c r="BN15" s="2">
        <f t="shared" si="64"/>
        <v>1.5</v>
      </c>
      <c r="BO15" s="62">
        <f t="shared" si="64"/>
        <v>0</v>
      </c>
      <c r="BP15" s="37">
        <f t="shared" si="9"/>
        <v>-0.3125</v>
      </c>
      <c r="BQ15" s="38">
        <f t="shared" si="10"/>
        <v>0</v>
      </c>
      <c r="BR15" s="38">
        <f t="shared" si="11"/>
        <v>0.5</v>
      </c>
      <c r="BS15" s="38">
        <f t="shared" si="12"/>
        <v>0.25</v>
      </c>
      <c r="BT15" s="38">
        <f t="shared" si="13"/>
        <v>0.25</v>
      </c>
      <c r="BU15" s="38">
        <f t="shared" si="14"/>
        <v>0</v>
      </c>
      <c r="BV15" s="38">
        <f t="shared" si="15"/>
        <v>1</v>
      </c>
      <c r="BW15" s="38">
        <f t="shared" ref="BW15:BX15" si="65">+BR15+BS15+BT15</f>
        <v>1</v>
      </c>
      <c r="BX15" s="39">
        <f t="shared" si="65"/>
        <v>0.5</v>
      </c>
    </row>
    <row r="16">
      <c r="A16" s="60"/>
      <c r="B16" s="40">
        <v>5.0</v>
      </c>
      <c r="C16" s="24">
        <v>2.0</v>
      </c>
      <c r="D16" s="27">
        <f t="shared" si="3"/>
        <v>2</v>
      </c>
      <c r="E16" s="24">
        <f t="shared" si="17"/>
        <v>4</v>
      </c>
      <c r="F16" s="2">
        <f t="shared" si="18"/>
        <v>2</v>
      </c>
      <c r="G16" s="24">
        <f t="shared" si="19"/>
        <v>1</v>
      </c>
      <c r="H16" s="24">
        <f t="shared" si="20"/>
        <v>4</v>
      </c>
      <c r="I16" s="24">
        <f t="shared" si="21"/>
        <v>3</v>
      </c>
      <c r="J16" s="24">
        <f t="shared" si="22"/>
        <v>0</v>
      </c>
      <c r="K16" s="24">
        <f t="shared" si="23"/>
        <v>2</v>
      </c>
      <c r="L16" s="24">
        <f t="shared" si="24"/>
        <v>2</v>
      </c>
      <c r="M16" s="28">
        <f t="shared" si="25"/>
        <v>0</v>
      </c>
      <c r="N16" s="24">
        <v>3.0</v>
      </c>
      <c r="O16" s="27">
        <f t="shared" si="4"/>
        <v>2</v>
      </c>
      <c r="P16" s="24">
        <f t="shared" si="26"/>
        <v>2</v>
      </c>
      <c r="Q16" s="2">
        <f t="shared" si="27"/>
        <v>2</v>
      </c>
      <c r="R16" s="24">
        <f t="shared" si="28"/>
        <v>2</v>
      </c>
      <c r="S16" s="24">
        <f t="shared" si="29"/>
        <v>3</v>
      </c>
      <c r="T16" s="24">
        <f t="shared" si="30"/>
        <v>3</v>
      </c>
      <c r="U16" s="24">
        <f t="shared" si="31"/>
        <v>1</v>
      </c>
      <c r="V16" s="24">
        <f t="shared" si="32"/>
        <v>1</v>
      </c>
      <c r="W16" s="24">
        <f t="shared" si="33"/>
        <v>1</v>
      </c>
      <c r="X16" s="28">
        <f t="shared" si="34"/>
        <v>1</v>
      </c>
      <c r="Y16" s="24">
        <v>1.0</v>
      </c>
      <c r="Z16" s="27">
        <f t="shared" si="5"/>
        <v>2</v>
      </c>
      <c r="AA16" s="24">
        <f t="shared" si="35"/>
        <v>4</v>
      </c>
      <c r="AB16" s="2">
        <f t="shared" si="36"/>
        <v>2</v>
      </c>
      <c r="AC16" s="24">
        <f t="shared" si="37"/>
        <v>1</v>
      </c>
      <c r="AD16" s="24">
        <f t="shared" si="38"/>
        <v>4</v>
      </c>
      <c r="AE16" s="24">
        <f t="shared" si="39"/>
        <v>3</v>
      </c>
      <c r="AF16" s="24">
        <f t="shared" si="40"/>
        <v>0</v>
      </c>
      <c r="AG16" s="24">
        <f t="shared" si="41"/>
        <v>2</v>
      </c>
      <c r="AH16" s="24">
        <f t="shared" si="42"/>
        <v>2</v>
      </c>
      <c r="AI16" s="28">
        <f t="shared" si="43"/>
        <v>0</v>
      </c>
      <c r="AJ16" s="24">
        <v>2.0</v>
      </c>
      <c r="AK16" s="27">
        <f t="shared" si="6"/>
        <v>2.2</v>
      </c>
      <c r="AL16" s="24">
        <f t="shared" si="44"/>
        <v>4</v>
      </c>
      <c r="AM16" s="2">
        <f t="shared" si="45"/>
        <v>3</v>
      </c>
      <c r="AN16" s="24">
        <f t="shared" si="46"/>
        <v>1</v>
      </c>
      <c r="AO16" s="24">
        <f t="shared" si="47"/>
        <v>4</v>
      </c>
      <c r="AP16" s="24">
        <f t="shared" si="48"/>
        <v>4</v>
      </c>
      <c r="AQ16" s="24">
        <f t="shared" si="49"/>
        <v>0</v>
      </c>
      <c r="AR16" s="24">
        <f t="shared" si="50"/>
        <v>1</v>
      </c>
      <c r="AS16" s="24">
        <f t="shared" si="51"/>
        <v>3</v>
      </c>
      <c r="AT16" s="28">
        <f t="shared" si="52"/>
        <v>0</v>
      </c>
      <c r="AU16" s="24">
        <v>2.0</v>
      </c>
      <c r="AV16" s="27">
        <f t="shared" si="7"/>
        <v>1.8</v>
      </c>
      <c r="AW16" s="24">
        <f t="shared" si="53"/>
        <v>4</v>
      </c>
      <c r="AX16" s="2">
        <f t="shared" si="54"/>
        <v>3</v>
      </c>
      <c r="AY16" s="24">
        <f t="shared" si="55"/>
        <v>1</v>
      </c>
      <c r="AZ16" s="24">
        <f t="shared" si="56"/>
        <v>5</v>
      </c>
      <c r="BA16" s="24">
        <f t="shared" si="57"/>
        <v>3</v>
      </c>
      <c r="BB16" s="24">
        <f t="shared" si="58"/>
        <v>0</v>
      </c>
      <c r="BC16" s="24">
        <f t="shared" si="59"/>
        <v>2</v>
      </c>
      <c r="BD16" s="24">
        <f t="shared" si="60"/>
        <v>2</v>
      </c>
      <c r="BE16" s="28">
        <f t="shared" si="61"/>
        <v>1</v>
      </c>
      <c r="BF16" s="29">
        <f t="shared" ref="BF16:BO16" si="66">+(AK16+Z16+O16+D16)/4</f>
        <v>2.05</v>
      </c>
      <c r="BG16" s="24">
        <f t="shared" si="66"/>
        <v>3.5</v>
      </c>
      <c r="BH16" s="24">
        <f t="shared" si="66"/>
        <v>2.25</v>
      </c>
      <c r="BI16" s="24">
        <f t="shared" si="66"/>
        <v>1.25</v>
      </c>
      <c r="BJ16" s="24">
        <f t="shared" si="66"/>
        <v>3.75</v>
      </c>
      <c r="BK16" s="24">
        <f t="shared" si="66"/>
        <v>3.25</v>
      </c>
      <c r="BL16" s="24">
        <f t="shared" si="66"/>
        <v>0.25</v>
      </c>
      <c r="BM16" s="24">
        <f t="shared" si="66"/>
        <v>1.5</v>
      </c>
      <c r="BN16" s="24">
        <f t="shared" si="66"/>
        <v>2</v>
      </c>
      <c r="BO16" s="61">
        <f t="shared" si="66"/>
        <v>0.25</v>
      </c>
      <c r="BP16" s="30">
        <f t="shared" si="9"/>
        <v>-0.25</v>
      </c>
      <c r="BQ16" s="31">
        <f t="shared" si="10"/>
        <v>0</v>
      </c>
      <c r="BR16" s="31">
        <f t="shared" si="11"/>
        <v>0.4</v>
      </c>
      <c r="BS16" s="31">
        <f t="shared" si="12"/>
        <v>0.4</v>
      </c>
      <c r="BT16" s="31">
        <f t="shared" si="13"/>
        <v>0.2</v>
      </c>
      <c r="BU16" s="31">
        <f t="shared" si="14"/>
        <v>0</v>
      </c>
      <c r="BV16" s="31">
        <f t="shared" si="15"/>
        <v>1</v>
      </c>
      <c r="BW16" s="31">
        <f t="shared" ref="BW16:BX16" si="67">+BR16+BS16+BT16</f>
        <v>1</v>
      </c>
      <c r="BX16" s="32">
        <f t="shared" si="67"/>
        <v>0.6</v>
      </c>
      <c r="BY16" s="60"/>
    </row>
    <row r="17">
      <c r="B17" s="33">
        <v>6.0</v>
      </c>
      <c r="C17" s="2">
        <v>2.0</v>
      </c>
      <c r="D17" s="3">
        <f t="shared" si="3"/>
        <v>2</v>
      </c>
      <c r="E17" s="2">
        <f t="shared" si="17"/>
        <v>5</v>
      </c>
      <c r="F17" s="2">
        <f t="shared" si="18"/>
        <v>3</v>
      </c>
      <c r="G17" s="2">
        <f t="shared" si="19"/>
        <v>1</v>
      </c>
      <c r="H17" s="2">
        <f t="shared" si="20"/>
        <v>5</v>
      </c>
      <c r="I17" s="2">
        <f t="shared" si="21"/>
        <v>4</v>
      </c>
      <c r="J17" s="2">
        <f t="shared" si="22"/>
        <v>0</v>
      </c>
      <c r="K17" s="2">
        <f t="shared" si="23"/>
        <v>2</v>
      </c>
      <c r="L17" s="2">
        <f t="shared" si="24"/>
        <v>3</v>
      </c>
      <c r="M17" s="34">
        <f t="shared" si="25"/>
        <v>0</v>
      </c>
      <c r="N17" s="2">
        <v>2.0</v>
      </c>
      <c r="O17" s="3">
        <f t="shared" si="4"/>
        <v>2</v>
      </c>
      <c r="P17" s="2">
        <f t="shared" si="26"/>
        <v>3</v>
      </c>
      <c r="Q17" s="2">
        <f t="shared" si="27"/>
        <v>3</v>
      </c>
      <c r="R17" s="2">
        <f t="shared" si="28"/>
        <v>2</v>
      </c>
      <c r="S17" s="2">
        <f t="shared" si="29"/>
        <v>4</v>
      </c>
      <c r="T17" s="2">
        <f t="shared" si="30"/>
        <v>4</v>
      </c>
      <c r="U17" s="2">
        <f t="shared" si="31"/>
        <v>1</v>
      </c>
      <c r="V17" s="2">
        <f t="shared" si="32"/>
        <v>1</v>
      </c>
      <c r="W17" s="2">
        <f t="shared" si="33"/>
        <v>2</v>
      </c>
      <c r="X17" s="34">
        <f t="shared" si="34"/>
        <v>1</v>
      </c>
      <c r="Y17" s="2">
        <v>3.0</v>
      </c>
      <c r="Z17" s="3">
        <f t="shared" si="5"/>
        <v>2.166666667</v>
      </c>
      <c r="AA17" s="2">
        <f t="shared" si="35"/>
        <v>4</v>
      </c>
      <c r="AB17" s="2">
        <f t="shared" si="36"/>
        <v>3</v>
      </c>
      <c r="AC17" s="2">
        <f t="shared" si="37"/>
        <v>2</v>
      </c>
      <c r="AD17" s="2">
        <f t="shared" si="38"/>
        <v>5</v>
      </c>
      <c r="AE17" s="2">
        <f t="shared" si="39"/>
        <v>4</v>
      </c>
      <c r="AF17" s="2">
        <f t="shared" si="40"/>
        <v>0</v>
      </c>
      <c r="AG17" s="2">
        <f t="shared" si="41"/>
        <v>2</v>
      </c>
      <c r="AH17" s="2">
        <f t="shared" si="42"/>
        <v>2</v>
      </c>
      <c r="AI17" s="34">
        <f t="shared" si="43"/>
        <v>1</v>
      </c>
      <c r="AJ17" s="2">
        <v>3.0</v>
      </c>
      <c r="AK17" s="3">
        <f t="shared" si="6"/>
        <v>2.333333333</v>
      </c>
      <c r="AL17" s="2">
        <f t="shared" si="44"/>
        <v>4</v>
      </c>
      <c r="AM17" s="2">
        <f t="shared" si="45"/>
        <v>4</v>
      </c>
      <c r="AN17" s="2">
        <f t="shared" si="46"/>
        <v>2</v>
      </c>
      <c r="AO17" s="2">
        <f t="shared" si="47"/>
        <v>5</v>
      </c>
      <c r="AP17" s="2">
        <f t="shared" si="48"/>
        <v>5</v>
      </c>
      <c r="AQ17" s="2">
        <f t="shared" si="49"/>
        <v>0</v>
      </c>
      <c r="AR17" s="2">
        <f t="shared" si="50"/>
        <v>1</v>
      </c>
      <c r="AS17" s="2">
        <f t="shared" si="51"/>
        <v>3</v>
      </c>
      <c r="AT17" s="34">
        <f t="shared" si="52"/>
        <v>1</v>
      </c>
      <c r="AU17" s="2">
        <v>0.0</v>
      </c>
      <c r="AV17" s="3">
        <f t="shared" si="7"/>
        <v>1.5</v>
      </c>
      <c r="AW17" s="2">
        <f t="shared" si="53"/>
        <v>4</v>
      </c>
      <c r="AX17" s="2">
        <f t="shared" si="54"/>
        <v>3</v>
      </c>
      <c r="AY17" s="2">
        <f t="shared" si="55"/>
        <v>1</v>
      </c>
      <c r="AZ17" s="2">
        <f t="shared" si="56"/>
        <v>5</v>
      </c>
      <c r="BA17" s="2">
        <f t="shared" si="57"/>
        <v>3</v>
      </c>
      <c r="BB17" s="2">
        <f t="shared" si="58"/>
        <v>1</v>
      </c>
      <c r="BC17" s="2">
        <f t="shared" si="59"/>
        <v>2</v>
      </c>
      <c r="BD17" s="2">
        <f t="shared" si="60"/>
        <v>2</v>
      </c>
      <c r="BE17" s="34">
        <f t="shared" si="61"/>
        <v>1</v>
      </c>
      <c r="BF17" s="36">
        <f t="shared" ref="BF17:BO17" si="68">+(AK17+Z17+O17+D17)/4</f>
        <v>2.125</v>
      </c>
      <c r="BG17" s="2">
        <f t="shared" si="68"/>
        <v>4</v>
      </c>
      <c r="BH17" s="2">
        <f t="shared" si="68"/>
        <v>3.25</v>
      </c>
      <c r="BI17" s="2">
        <f t="shared" si="68"/>
        <v>1.75</v>
      </c>
      <c r="BJ17" s="2">
        <f t="shared" si="68"/>
        <v>4.75</v>
      </c>
      <c r="BK17" s="2">
        <f t="shared" si="68"/>
        <v>4.25</v>
      </c>
      <c r="BL17" s="2">
        <f t="shared" si="68"/>
        <v>0.25</v>
      </c>
      <c r="BM17" s="2">
        <f t="shared" si="68"/>
        <v>1.5</v>
      </c>
      <c r="BN17" s="2">
        <f t="shared" si="68"/>
        <v>2.5</v>
      </c>
      <c r="BO17" s="62">
        <f t="shared" si="68"/>
        <v>0.75</v>
      </c>
      <c r="BP17" s="37">
        <f t="shared" si="9"/>
        <v>-0.625</v>
      </c>
      <c r="BQ17" s="38">
        <f t="shared" si="10"/>
        <v>0.1666666667</v>
      </c>
      <c r="BR17" s="38">
        <f t="shared" si="11"/>
        <v>0.3333333333</v>
      </c>
      <c r="BS17" s="38">
        <f t="shared" si="12"/>
        <v>0.3333333333</v>
      </c>
      <c r="BT17" s="38">
        <f t="shared" si="13"/>
        <v>0.1666666667</v>
      </c>
      <c r="BU17" s="38">
        <f t="shared" si="14"/>
        <v>0</v>
      </c>
      <c r="BV17" s="38">
        <f t="shared" si="15"/>
        <v>0.8333333333</v>
      </c>
      <c r="BW17" s="38">
        <f t="shared" ref="BW17:BX17" si="69">+BR17+BS17+BT17</f>
        <v>0.8333333333</v>
      </c>
      <c r="BX17" s="39">
        <f t="shared" si="69"/>
        <v>0.5</v>
      </c>
    </row>
    <row r="18">
      <c r="A18" s="60"/>
      <c r="B18" s="40">
        <v>7.0</v>
      </c>
      <c r="C18" s="24">
        <v>3.0</v>
      </c>
      <c r="D18" s="27">
        <f t="shared" si="3"/>
        <v>2.142857143</v>
      </c>
      <c r="E18" s="24">
        <f t="shared" si="17"/>
        <v>5</v>
      </c>
      <c r="F18" s="2">
        <f t="shared" si="18"/>
        <v>4</v>
      </c>
      <c r="G18" s="24">
        <f t="shared" si="19"/>
        <v>2</v>
      </c>
      <c r="H18" s="24">
        <f t="shared" si="20"/>
        <v>6</v>
      </c>
      <c r="I18" s="24">
        <f t="shared" si="21"/>
        <v>5</v>
      </c>
      <c r="J18" s="24">
        <f t="shared" si="22"/>
        <v>0</v>
      </c>
      <c r="K18" s="24">
        <f t="shared" si="23"/>
        <v>2</v>
      </c>
      <c r="L18" s="24">
        <f t="shared" si="24"/>
        <v>3</v>
      </c>
      <c r="M18" s="28">
        <f t="shared" si="25"/>
        <v>1</v>
      </c>
      <c r="N18" s="24">
        <v>1.0</v>
      </c>
      <c r="O18" s="27">
        <f t="shared" si="4"/>
        <v>1.857142857</v>
      </c>
      <c r="P18" s="24">
        <f t="shared" si="26"/>
        <v>4</v>
      </c>
      <c r="Q18" s="2">
        <f t="shared" si="27"/>
        <v>3</v>
      </c>
      <c r="R18" s="24">
        <f t="shared" si="28"/>
        <v>2</v>
      </c>
      <c r="S18" s="24">
        <f t="shared" si="29"/>
        <v>5</v>
      </c>
      <c r="T18" s="24">
        <f t="shared" si="30"/>
        <v>4</v>
      </c>
      <c r="U18" s="24">
        <f t="shared" si="31"/>
        <v>1</v>
      </c>
      <c r="V18" s="24">
        <f t="shared" si="32"/>
        <v>2</v>
      </c>
      <c r="W18" s="24">
        <f t="shared" si="33"/>
        <v>2</v>
      </c>
      <c r="X18" s="28">
        <f t="shared" si="34"/>
        <v>1</v>
      </c>
      <c r="Y18" s="24">
        <v>2.0</v>
      </c>
      <c r="Z18" s="27">
        <f t="shared" si="5"/>
        <v>2.142857143</v>
      </c>
      <c r="AA18" s="24">
        <f t="shared" si="35"/>
        <v>5</v>
      </c>
      <c r="AB18" s="2">
        <f t="shared" si="36"/>
        <v>4</v>
      </c>
      <c r="AC18" s="24">
        <f t="shared" si="37"/>
        <v>2</v>
      </c>
      <c r="AD18" s="24">
        <f t="shared" si="38"/>
        <v>6</v>
      </c>
      <c r="AE18" s="24">
        <f t="shared" si="39"/>
        <v>5</v>
      </c>
      <c r="AF18" s="24">
        <f t="shared" si="40"/>
        <v>0</v>
      </c>
      <c r="AG18" s="24">
        <f t="shared" si="41"/>
        <v>2</v>
      </c>
      <c r="AH18" s="24">
        <f t="shared" si="42"/>
        <v>3</v>
      </c>
      <c r="AI18" s="28">
        <f t="shared" si="43"/>
        <v>1</v>
      </c>
      <c r="AJ18" s="24">
        <v>1.0</v>
      </c>
      <c r="AK18" s="27">
        <f t="shared" si="6"/>
        <v>2.142857143</v>
      </c>
      <c r="AL18" s="24">
        <f t="shared" si="44"/>
        <v>5</v>
      </c>
      <c r="AM18" s="2">
        <f t="shared" si="45"/>
        <v>4</v>
      </c>
      <c r="AN18" s="24">
        <f t="shared" si="46"/>
        <v>2</v>
      </c>
      <c r="AO18" s="24">
        <f t="shared" si="47"/>
        <v>6</v>
      </c>
      <c r="AP18" s="24">
        <f t="shared" si="48"/>
        <v>5</v>
      </c>
      <c r="AQ18" s="24">
        <f t="shared" si="49"/>
        <v>0</v>
      </c>
      <c r="AR18" s="24">
        <f t="shared" si="50"/>
        <v>2</v>
      </c>
      <c r="AS18" s="24">
        <f t="shared" si="51"/>
        <v>3</v>
      </c>
      <c r="AT18" s="28">
        <f t="shared" si="52"/>
        <v>1</v>
      </c>
      <c r="AU18" s="24">
        <v>2.0</v>
      </c>
      <c r="AV18" s="27">
        <f t="shared" si="7"/>
        <v>1.571428571</v>
      </c>
      <c r="AW18" s="24">
        <f t="shared" si="53"/>
        <v>5</v>
      </c>
      <c r="AX18" s="2">
        <f t="shared" si="54"/>
        <v>4</v>
      </c>
      <c r="AY18" s="24">
        <f t="shared" si="55"/>
        <v>1</v>
      </c>
      <c r="AZ18" s="24">
        <f t="shared" si="56"/>
        <v>6</v>
      </c>
      <c r="BA18" s="24">
        <f t="shared" si="57"/>
        <v>4</v>
      </c>
      <c r="BB18" s="24">
        <f t="shared" si="58"/>
        <v>1</v>
      </c>
      <c r="BC18" s="24">
        <f t="shared" si="59"/>
        <v>2</v>
      </c>
      <c r="BD18" s="24">
        <f t="shared" si="60"/>
        <v>3</v>
      </c>
      <c r="BE18" s="28">
        <f t="shared" si="61"/>
        <v>1</v>
      </c>
      <c r="BF18" s="29">
        <f t="shared" ref="BF18:BO18" si="70">+(AK18+Z18+O18+D18)/4</f>
        <v>2.071428571</v>
      </c>
      <c r="BG18" s="24">
        <f t="shared" si="70"/>
        <v>4.75</v>
      </c>
      <c r="BH18" s="24">
        <f t="shared" si="70"/>
        <v>3.75</v>
      </c>
      <c r="BI18" s="24">
        <f t="shared" si="70"/>
        <v>2</v>
      </c>
      <c r="BJ18" s="24">
        <f t="shared" si="70"/>
        <v>5.75</v>
      </c>
      <c r="BK18" s="24">
        <f t="shared" si="70"/>
        <v>4.75</v>
      </c>
      <c r="BL18" s="24">
        <f t="shared" si="70"/>
        <v>0.25</v>
      </c>
      <c r="BM18" s="24">
        <f t="shared" si="70"/>
        <v>2</v>
      </c>
      <c r="BN18" s="24">
        <f t="shared" si="70"/>
        <v>2.75</v>
      </c>
      <c r="BO18" s="61">
        <f t="shared" si="70"/>
        <v>1</v>
      </c>
      <c r="BP18" s="30">
        <f t="shared" si="9"/>
        <v>-0.5</v>
      </c>
      <c r="BQ18" s="31">
        <f t="shared" si="10"/>
        <v>0.1428571429</v>
      </c>
      <c r="BR18" s="31">
        <f t="shared" si="11"/>
        <v>0.2857142857</v>
      </c>
      <c r="BS18" s="31">
        <f t="shared" si="12"/>
        <v>0.4285714286</v>
      </c>
      <c r="BT18" s="31">
        <f t="shared" si="13"/>
        <v>0.1428571429</v>
      </c>
      <c r="BU18" s="31">
        <f t="shared" si="14"/>
        <v>0</v>
      </c>
      <c r="BV18" s="31">
        <f t="shared" si="15"/>
        <v>0.8571428571</v>
      </c>
      <c r="BW18" s="31">
        <f t="shared" ref="BW18:BX18" si="71">+BR18+BS18+BT18</f>
        <v>0.8571428571</v>
      </c>
      <c r="BX18" s="32">
        <f t="shared" si="71"/>
        <v>0.5714285714</v>
      </c>
      <c r="BY18" s="60"/>
    </row>
    <row r="19">
      <c r="B19" s="33">
        <v>8.0</v>
      </c>
      <c r="C19" s="2">
        <v>3.0</v>
      </c>
      <c r="D19" s="3">
        <f t="shared" si="3"/>
        <v>2.25</v>
      </c>
      <c r="E19" s="2">
        <f t="shared" si="17"/>
        <v>5</v>
      </c>
      <c r="F19" s="2">
        <f t="shared" si="18"/>
        <v>5</v>
      </c>
      <c r="G19" s="2">
        <f t="shared" si="19"/>
        <v>3</v>
      </c>
      <c r="H19" s="2">
        <f t="shared" si="20"/>
        <v>7</v>
      </c>
      <c r="I19" s="2">
        <f t="shared" si="21"/>
        <v>6</v>
      </c>
      <c r="J19" s="2">
        <f t="shared" si="22"/>
        <v>0</v>
      </c>
      <c r="K19" s="2">
        <f t="shared" si="23"/>
        <v>2</v>
      </c>
      <c r="L19" s="2">
        <f t="shared" si="24"/>
        <v>3</v>
      </c>
      <c r="M19" s="34">
        <f t="shared" si="25"/>
        <v>2</v>
      </c>
      <c r="N19" s="2">
        <v>3.0</v>
      </c>
      <c r="O19" s="3">
        <f t="shared" si="4"/>
        <v>2</v>
      </c>
      <c r="P19" s="2">
        <f t="shared" si="26"/>
        <v>4</v>
      </c>
      <c r="Q19" s="2">
        <f t="shared" si="27"/>
        <v>4</v>
      </c>
      <c r="R19" s="2">
        <f t="shared" si="28"/>
        <v>3</v>
      </c>
      <c r="S19" s="2">
        <f t="shared" si="29"/>
        <v>6</v>
      </c>
      <c r="T19" s="2">
        <f t="shared" si="30"/>
        <v>5</v>
      </c>
      <c r="U19" s="2">
        <f t="shared" si="31"/>
        <v>1</v>
      </c>
      <c r="V19" s="2">
        <f t="shared" si="32"/>
        <v>2</v>
      </c>
      <c r="W19" s="2">
        <f t="shared" si="33"/>
        <v>2</v>
      </c>
      <c r="X19" s="34">
        <f t="shared" si="34"/>
        <v>2</v>
      </c>
      <c r="Y19" s="2">
        <v>1.0</v>
      </c>
      <c r="Z19" s="3">
        <f t="shared" si="5"/>
        <v>2</v>
      </c>
      <c r="AA19" s="2">
        <f t="shared" si="35"/>
        <v>6</v>
      </c>
      <c r="AB19" s="2">
        <f t="shared" si="36"/>
        <v>4</v>
      </c>
      <c r="AC19" s="2">
        <f t="shared" si="37"/>
        <v>2</v>
      </c>
      <c r="AD19" s="2">
        <f t="shared" si="38"/>
        <v>7</v>
      </c>
      <c r="AE19" s="2">
        <f t="shared" si="39"/>
        <v>5</v>
      </c>
      <c r="AF19" s="2">
        <f t="shared" si="40"/>
        <v>0</v>
      </c>
      <c r="AG19" s="2">
        <f t="shared" si="41"/>
        <v>3</v>
      </c>
      <c r="AH19" s="2">
        <f t="shared" si="42"/>
        <v>3</v>
      </c>
      <c r="AI19" s="34">
        <f t="shared" si="43"/>
        <v>1</v>
      </c>
      <c r="AJ19" s="2">
        <v>1.0</v>
      </c>
      <c r="AK19" s="3">
        <f t="shared" si="6"/>
        <v>2</v>
      </c>
      <c r="AL19" s="2">
        <f t="shared" si="44"/>
        <v>6</v>
      </c>
      <c r="AM19" s="2">
        <f t="shared" si="45"/>
        <v>4</v>
      </c>
      <c r="AN19" s="2">
        <f t="shared" si="46"/>
        <v>2</v>
      </c>
      <c r="AO19" s="2">
        <f t="shared" si="47"/>
        <v>7</v>
      </c>
      <c r="AP19" s="2">
        <f t="shared" si="48"/>
        <v>5</v>
      </c>
      <c r="AQ19" s="2">
        <f t="shared" si="49"/>
        <v>0</v>
      </c>
      <c r="AR19" s="2">
        <f t="shared" si="50"/>
        <v>3</v>
      </c>
      <c r="AS19" s="2">
        <f t="shared" si="51"/>
        <v>3</v>
      </c>
      <c r="AT19" s="34">
        <f t="shared" si="52"/>
        <v>1</v>
      </c>
      <c r="AU19" s="2">
        <v>2.0</v>
      </c>
      <c r="AV19" s="3">
        <f t="shared" si="7"/>
        <v>1.625</v>
      </c>
      <c r="AW19" s="2">
        <f t="shared" si="53"/>
        <v>6</v>
      </c>
      <c r="AX19" s="2">
        <f t="shared" si="54"/>
        <v>5</v>
      </c>
      <c r="AY19" s="2">
        <f t="shared" si="55"/>
        <v>1</v>
      </c>
      <c r="AZ19" s="2">
        <f t="shared" si="56"/>
        <v>7</v>
      </c>
      <c r="BA19" s="2">
        <f t="shared" si="57"/>
        <v>5</v>
      </c>
      <c r="BB19" s="2">
        <f t="shared" si="58"/>
        <v>1</v>
      </c>
      <c r="BC19" s="2">
        <f t="shared" si="59"/>
        <v>2</v>
      </c>
      <c r="BD19" s="2">
        <f t="shared" si="60"/>
        <v>4</v>
      </c>
      <c r="BE19" s="34">
        <f t="shared" si="61"/>
        <v>1</v>
      </c>
      <c r="BF19" s="36">
        <f t="shared" ref="BF19:BO19" si="72">+(AK19+Z19+O19+D19)/4</f>
        <v>2.0625</v>
      </c>
      <c r="BG19" s="2">
        <f t="shared" si="72"/>
        <v>5.25</v>
      </c>
      <c r="BH19" s="2">
        <f t="shared" si="72"/>
        <v>4.25</v>
      </c>
      <c r="BI19" s="2">
        <f t="shared" si="72"/>
        <v>2.5</v>
      </c>
      <c r="BJ19" s="2">
        <f t="shared" si="72"/>
        <v>6.75</v>
      </c>
      <c r="BK19" s="2">
        <f t="shared" si="72"/>
        <v>5.25</v>
      </c>
      <c r="BL19" s="2">
        <f t="shared" si="72"/>
        <v>0.25</v>
      </c>
      <c r="BM19" s="2">
        <f t="shared" si="72"/>
        <v>2.5</v>
      </c>
      <c r="BN19" s="2">
        <f t="shared" si="72"/>
        <v>2.75</v>
      </c>
      <c r="BO19" s="62">
        <f t="shared" si="72"/>
        <v>1.5</v>
      </c>
      <c r="BP19" s="37">
        <f t="shared" si="9"/>
        <v>-0.4375</v>
      </c>
      <c r="BQ19" s="38">
        <f t="shared" si="10"/>
        <v>0.125</v>
      </c>
      <c r="BR19" s="38">
        <f t="shared" si="11"/>
        <v>0.25</v>
      </c>
      <c r="BS19" s="38">
        <f t="shared" si="12"/>
        <v>0.5</v>
      </c>
      <c r="BT19" s="38">
        <f t="shared" si="13"/>
        <v>0.125</v>
      </c>
      <c r="BU19" s="38">
        <f t="shared" si="14"/>
        <v>0</v>
      </c>
      <c r="BV19" s="38">
        <f t="shared" si="15"/>
        <v>0.875</v>
      </c>
      <c r="BW19" s="38">
        <f t="shared" ref="BW19:BX19" si="73">+BR19+BS19+BT19</f>
        <v>0.875</v>
      </c>
      <c r="BX19" s="39">
        <f t="shared" si="73"/>
        <v>0.625</v>
      </c>
    </row>
    <row r="20">
      <c r="A20" s="60"/>
      <c r="B20" s="40">
        <v>9.0</v>
      </c>
      <c r="C20" s="24">
        <v>4.0</v>
      </c>
      <c r="D20" s="27">
        <f t="shared" si="3"/>
        <v>2.444444444</v>
      </c>
      <c r="E20" s="24">
        <f t="shared" si="17"/>
        <v>5</v>
      </c>
      <c r="F20" s="2">
        <f t="shared" si="18"/>
        <v>5</v>
      </c>
      <c r="G20" s="24">
        <f t="shared" si="19"/>
        <v>4</v>
      </c>
      <c r="H20" s="24">
        <f t="shared" si="20"/>
        <v>7</v>
      </c>
      <c r="I20" s="24">
        <f t="shared" si="21"/>
        <v>7</v>
      </c>
      <c r="J20" s="24">
        <f t="shared" si="22"/>
        <v>0</v>
      </c>
      <c r="K20" s="24">
        <f t="shared" si="23"/>
        <v>2</v>
      </c>
      <c r="L20" s="24">
        <f t="shared" si="24"/>
        <v>3</v>
      </c>
      <c r="M20" s="28">
        <f t="shared" si="25"/>
        <v>2</v>
      </c>
      <c r="N20" s="24">
        <v>2.0</v>
      </c>
      <c r="O20" s="27">
        <f t="shared" si="4"/>
        <v>2</v>
      </c>
      <c r="P20" s="24">
        <f t="shared" si="26"/>
        <v>5</v>
      </c>
      <c r="Q20" s="2">
        <f t="shared" si="27"/>
        <v>5</v>
      </c>
      <c r="R20" s="24">
        <f t="shared" si="28"/>
        <v>3</v>
      </c>
      <c r="S20" s="24">
        <f t="shared" si="29"/>
        <v>7</v>
      </c>
      <c r="T20" s="24">
        <f t="shared" si="30"/>
        <v>6</v>
      </c>
      <c r="U20" s="24">
        <f t="shared" si="31"/>
        <v>1</v>
      </c>
      <c r="V20" s="24">
        <f t="shared" si="32"/>
        <v>2</v>
      </c>
      <c r="W20" s="24">
        <f t="shared" si="33"/>
        <v>3</v>
      </c>
      <c r="X20" s="28">
        <f t="shared" si="34"/>
        <v>2</v>
      </c>
      <c r="Y20" s="24">
        <v>0.0</v>
      </c>
      <c r="Z20" s="27">
        <f t="shared" si="5"/>
        <v>1.777777778</v>
      </c>
      <c r="AA20" s="24">
        <f t="shared" si="35"/>
        <v>6</v>
      </c>
      <c r="AB20" s="2">
        <f t="shared" si="36"/>
        <v>4</v>
      </c>
      <c r="AC20" s="24">
        <f t="shared" si="37"/>
        <v>2</v>
      </c>
      <c r="AD20" s="24">
        <f t="shared" si="38"/>
        <v>7</v>
      </c>
      <c r="AE20" s="24">
        <f t="shared" si="39"/>
        <v>5</v>
      </c>
      <c r="AF20" s="24">
        <f t="shared" si="40"/>
        <v>1</v>
      </c>
      <c r="AG20" s="24">
        <f t="shared" si="41"/>
        <v>3</v>
      </c>
      <c r="AH20" s="24">
        <f t="shared" si="42"/>
        <v>3</v>
      </c>
      <c r="AI20" s="28">
        <f t="shared" si="43"/>
        <v>1</v>
      </c>
      <c r="AJ20" s="24">
        <v>0.0</v>
      </c>
      <c r="AK20" s="27">
        <f t="shared" si="6"/>
        <v>1.777777778</v>
      </c>
      <c r="AL20" s="24">
        <f t="shared" si="44"/>
        <v>6</v>
      </c>
      <c r="AM20" s="2">
        <f t="shared" si="45"/>
        <v>4</v>
      </c>
      <c r="AN20" s="24">
        <f t="shared" si="46"/>
        <v>2</v>
      </c>
      <c r="AO20" s="24">
        <f t="shared" si="47"/>
        <v>7</v>
      </c>
      <c r="AP20" s="24">
        <f t="shared" si="48"/>
        <v>5</v>
      </c>
      <c r="AQ20" s="24">
        <f t="shared" si="49"/>
        <v>1</v>
      </c>
      <c r="AR20" s="24">
        <f t="shared" si="50"/>
        <v>3</v>
      </c>
      <c r="AS20" s="24">
        <f t="shared" si="51"/>
        <v>3</v>
      </c>
      <c r="AT20" s="28">
        <f t="shared" si="52"/>
        <v>1</v>
      </c>
      <c r="AU20" s="24">
        <v>1.0</v>
      </c>
      <c r="AV20" s="27">
        <f t="shared" si="7"/>
        <v>1.555555556</v>
      </c>
      <c r="AW20" s="24">
        <f t="shared" si="53"/>
        <v>7</v>
      </c>
      <c r="AX20" s="2">
        <f t="shared" si="54"/>
        <v>5</v>
      </c>
      <c r="AY20" s="24">
        <f t="shared" si="55"/>
        <v>1</v>
      </c>
      <c r="AZ20" s="24">
        <f t="shared" si="56"/>
        <v>8</v>
      </c>
      <c r="BA20" s="24">
        <f t="shared" si="57"/>
        <v>5</v>
      </c>
      <c r="BB20" s="24">
        <f t="shared" si="58"/>
        <v>1</v>
      </c>
      <c r="BC20" s="24">
        <f t="shared" si="59"/>
        <v>3</v>
      </c>
      <c r="BD20" s="24">
        <f t="shared" si="60"/>
        <v>4</v>
      </c>
      <c r="BE20" s="28">
        <f t="shared" si="61"/>
        <v>1</v>
      </c>
      <c r="BF20" s="29">
        <f t="shared" ref="BF20:BO20" si="74">+(AK20+Z20+O20+D20)/4</f>
        <v>2</v>
      </c>
      <c r="BG20" s="24">
        <f t="shared" si="74"/>
        <v>5.5</v>
      </c>
      <c r="BH20" s="24">
        <f t="shared" si="74"/>
        <v>4.5</v>
      </c>
      <c r="BI20" s="24">
        <f t="shared" si="74"/>
        <v>2.75</v>
      </c>
      <c r="BJ20" s="24">
        <f t="shared" si="74"/>
        <v>7</v>
      </c>
      <c r="BK20" s="24">
        <f t="shared" si="74"/>
        <v>5.75</v>
      </c>
      <c r="BL20" s="24">
        <f t="shared" si="74"/>
        <v>0.75</v>
      </c>
      <c r="BM20" s="24">
        <f t="shared" si="74"/>
        <v>2.5</v>
      </c>
      <c r="BN20" s="24">
        <f t="shared" si="74"/>
        <v>3</v>
      </c>
      <c r="BO20" s="61">
        <f t="shared" si="74"/>
        <v>1.5</v>
      </c>
      <c r="BP20" s="30">
        <f t="shared" si="9"/>
        <v>-0.4444444444</v>
      </c>
      <c r="BQ20" s="31">
        <f t="shared" si="10"/>
        <v>0.1111111111</v>
      </c>
      <c r="BR20" s="31">
        <f t="shared" si="11"/>
        <v>0.3333333333</v>
      </c>
      <c r="BS20" s="31">
        <f t="shared" si="12"/>
        <v>0.4444444444</v>
      </c>
      <c r="BT20" s="31">
        <f t="shared" si="13"/>
        <v>0.1111111111</v>
      </c>
      <c r="BU20" s="31">
        <f t="shared" si="14"/>
        <v>0</v>
      </c>
      <c r="BV20" s="31">
        <f t="shared" si="15"/>
        <v>0.8888888889</v>
      </c>
      <c r="BW20" s="31">
        <f t="shared" ref="BW20:BX20" si="75">+BR20+BS20+BT20</f>
        <v>0.8888888889</v>
      </c>
      <c r="BX20" s="32">
        <f t="shared" si="75"/>
        <v>0.5555555556</v>
      </c>
      <c r="BY20" s="60"/>
    </row>
    <row r="21">
      <c r="B21" s="42">
        <v>10.0</v>
      </c>
      <c r="C21" s="43">
        <v>1.0</v>
      </c>
      <c r="D21" s="3">
        <f t="shared" si="3"/>
        <v>2.3</v>
      </c>
      <c r="E21" s="43">
        <f t="shared" si="17"/>
        <v>6</v>
      </c>
      <c r="F21" s="2">
        <f t="shared" si="18"/>
        <v>5</v>
      </c>
      <c r="G21" s="43">
        <f t="shared" si="19"/>
        <v>4</v>
      </c>
      <c r="H21" s="43">
        <f t="shared" si="20"/>
        <v>8</v>
      </c>
      <c r="I21" s="43">
        <f t="shared" si="21"/>
        <v>7</v>
      </c>
      <c r="J21" s="43">
        <f t="shared" si="22"/>
        <v>0</v>
      </c>
      <c r="K21" s="43">
        <f t="shared" si="23"/>
        <v>3</v>
      </c>
      <c r="L21" s="43">
        <f t="shared" si="24"/>
        <v>3</v>
      </c>
      <c r="M21" s="44">
        <f t="shared" si="25"/>
        <v>2</v>
      </c>
      <c r="N21" s="43">
        <v>2.0</v>
      </c>
      <c r="O21" s="3">
        <f t="shared" si="4"/>
        <v>2</v>
      </c>
      <c r="P21" s="43">
        <f t="shared" si="26"/>
        <v>6</v>
      </c>
      <c r="Q21" s="2">
        <f t="shared" si="27"/>
        <v>6</v>
      </c>
      <c r="R21" s="43">
        <f t="shared" si="28"/>
        <v>3</v>
      </c>
      <c r="S21" s="43">
        <f t="shared" si="29"/>
        <v>8</v>
      </c>
      <c r="T21" s="43">
        <f t="shared" si="30"/>
        <v>7</v>
      </c>
      <c r="U21" s="43">
        <f t="shared" si="31"/>
        <v>1</v>
      </c>
      <c r="V21" s="43">
        <f t="shared" si="32"/>
        <v>2</v>
      </c>
      <c r="W21" s="43">
        <f t="shared" si="33"/>
        <v>4</v>
      </c>
      <c r="X21" s="44">
        <f t="shared" si="34"/>
        <v>2</v>
      </c>
      <c r="Y21" s="43">
        <v>2.0</v>
      </c>
      <c r="Z21" s="3">
        <f t="shared" si="5"/>
        <v>1.8</v>
      </c>
      <c r="AA21" s="43">
        <f t="shared" si="35"/>
        <v>7</v>
      </c>
      <c r="AB21" s="2">
        <f t="shared" si="36"/>
        <v>5</v>
      </c>
      <c r="AC21" s="43">
        <f t="shared" si="37"/>
        <v>2</v>
      </c>
      <c r="AD21" s="43">
        <f t="shared" si="38"/>
        <v>8</v>
      </c>
      <c r="AE21" s="43">
        <f t="shared" si="39"/>
        <v>6</v>
      </c>
      <c r="AF21" s="43">
        <f t="shared" si="40"/>
        <v>1</v>
      </c>
      <c r="AG21" s="43">
        <f t="shared" si="41"/>
        <v>3</v>
      </c>
      <c r="AH21" s="43">
        <f t="shared" si="42"/>
        <v>4</v>
      </c>
      <c r="AI21" s="44">
        <f t="shared" si="43"/>
        <v>1</v>
      </c>
      <c r="AJ21" s="43">
        <v>1.0</v>
      </c>
      <c r="AK21" s="3">
        <f t="shared" si="6"/>
        <v>1.7</v>
      </c>
      <c r="AL21" s="43">
        <f t="shared" si="44"/>
        <v>7</v>
      </c>
      <c r="AM21" s="2">
        <f t="shared" si="45"/>
        <v>4</v>
      </c>
      <c r="AN21" s="43">
        <f t="shared" si="46"/>
        <v>2</v>
      </c>
      <c r="AO21" s="43">
        <f t="shared" si="47"/>
        <v>8</v>
      </c>
      <c r="AP21" s="43">
        <f t="shared" si="48"/>
        <v>5</v>
      </c>
      <c r="AQ21" s="43">
        <f t="shared" si="49"/>
        <v>1</v>
      </c>
      <c r="AR21" s="43">
        <f t="shared" si="50"/>
        <v>4</v>
      </c>
      <c r="AS21" s="43">
        <f t="shared" si="51"/>
        <v>3</v>
      </c>
      <c r="AT21" s="44">
        <f t="shared" si="52"/>
        <v>1</v>
      </c>
      <c r="AU21" s="43">
        <v>1.0</v>
      </c>
      <c r="AV21" s="3">
        <f t="shared" si="7"/>
        <v>1.5</v>
      </c>
      <c r="AW21" s="43">
        <f t="shared" si="53"/>
        <v>8</v>
      </c>
      <c r="AX21" s="2">
        <f t="shared" si="54"/>
        <v>5</v>
      </c>
      <c r="AY21" s="43">
        <f t="shared" si="55"/>
        <v>1</v>
      </c>
      <c r="AZ21" s="43">
        <f t="shared" si="56"/>
        <v>9</v>
      </c>
      <c r="BA21" s="43">
        <f t="shared" si="57"/>
        <v>5</v>
      </c>
      <c r="BB21" s="43">
        <f t="shared" si="58"/>
        <v>1</v>
      </c>
      <c r="BC21" s="43">
        <f t="shared" si="59"/>
        <v>4</v>
      </c>
      <c r="BD21" s="43">
        <f t="shared" si="60"/>
        <v>4</v>
      </c>
      <c r="BE21" s="44">
        <f t="shared" si="61"/>
        <v>1</v>
      </c>
      <c r="BF21" s="46">
        <f t="shared" ref="BF21:BO21" si="76">+(AK21+Z21+O21+D21)/4</f>
        <v>1.95</v>
      </c>
      <c r="BG21" s="43">
        <f t="shared" si="76"/>
        <v>6.5</v>
      </c>
      <c r="BH21" s="43">
        <f t="shared" si="76"/>
        <v>5</v>
      </c>
      <c r="BI21" s="43">
        <f t="shared" si="76"/>
        <v>2.75</v>
      </c>
      <c r="BJ21" s="43">
        <f t="shared" si="76"/>
        <v>8</v>
      </c>
      <c r="BK21" s="43">
        <f t="shared" si="76"/>
        <v>6.25</v>
      </c>
      <c r="BL21" s="43">
        <f t="shared" si="76"/>
        <v>0.75</v>
      </c>
      <c r="BM21" s="43">
        <f t="shared" si="76"/>
        <v>3</v>
      </c>
      <c r="BN21" s="43">
        <f t="shared" si="76"/>
        <v>3.5</v>
      </c>
      <c r="BO21" s="63">
        <f t="shared" si="76"/>
        <v>1.5</v>
      </c>
      <c r="BP21" s="37">
        <f t="shared" si="9"/>
        <v>-0.45</v>
      </c>
      <c r="BQ21" s="38">
        <f t="shared" si="10"/>
        <v>0.1</v>
      </c>
      <c r="BR21" s="38">
        <f t="shared" si="11"/>
        <v>0.4</v>
      </c>
      <c r="BS21" s="38">
        <f t="shared" si="12"/>
        <v>0.4</v>
      </c>
      <c r="BT21" s="38">
        <f t="shared" si="13"/>
        <v>0.1</v>
      </c>
      <c r="BU21" s="38">
        <f t="shared" si="14"/>
        <v>0</v>
      </c>
      <c r="BV21" s="38">
        <f t="shared" si="15"/>
        <v>0.9</v>
      </c>
      <c r="BW21" s="38">
        <f t="shared" ref="BW21:BX21" si="77">+BR21+BS21+BT21</f>
        <v>0.9</v>
      </c>
      <c r="BX21" s="39">
        <f t="shared" si="77"/>
        <v>0.5</v>
      </c>
    </row>
    <row r="22">
      <c r="A22" s="60"/>
      <c r="B22" s="40">
        <v>11.0</v>
      </c>
      <c r="C22" s="24">
        <v>2.0</v>
      </c>
      <c r="D22" s="27">
        <f t="shared" si="3"/>
        <v>2.272727273</v>
      </c>
      <c r="E22" s="24">
        <f t="shared" si="17"/>
        <v>7</v>
      </c>
      <c r="F22" s="2">
        <f t="shared" si="18"/>
        <v>6</v>
      </c>
      <c r="G22" s="24">
        <f t="shared" si="19"/>
        <v>4</v>
      </c>
      <c r="H22" s="24">
        <f t="shared" si="20"/>
        <v>9</v>
      </c>
      <c r="I22" s="24">
        <f t="shared" si="21"/>
        <v>8</v>
      </c>
      <c r="J22" s="24">
        <f t="shared" si="22"/>
        <v>0</v>
      </c>
      <c r="K22" s="24">
        <f t="shared" si="23"/>
        <v>3</v>
      </c>
      <c r="L22" s="24">
        <f t="shared" si="24"/>
        <v>4</v>
      </c>
      <c r="M22" s="28">
        <f t="shared" si="25"/>
        <v>2</v>
      </c>
      <c r="N22" s="24">
        <v>4.0</v>
      </c>
      <c r="O22" s="27">
        <f t="shared" si="4"/>
        <v>2.181818182</v>
      </c>
      <c r="P22" s="24">
        <f t="shared" si="26"/>
        <v>6</v>
      </c>
      <c r="Q22" s="2">
        <f t="shared" si="27"/>
        <v>6</v>
      </c>
      <c r="R22" s="24">
        <f t="shared" si="28"/>
        <v>4</v>
      </c>
      <c r="S22" s="24">
        <f t="shared" si="29"/>
        <v>8</v>
      </c>
      <c r="T22" s="24">
        <f t="shared" si="30"/>
        <v>8</v>
      </c>
      <c r="U22" s="24">
        <f t="shared" si="31"/>
        <v>1</v>
      </c>
      <c r="V22" s="24">
        <f t="shared" si="32"/>
        <v>2</v>
      </c>
      <c r="W22" s="24">
        <f t="shared" si="33"/>
        <v>4</v>
      </c>
      <c r="X22" s="28">
        <f t="shared" si="34"/>
        <v>2</v>
      </c>
      <c r="Y22" s="24">
        <v>0.0</v>
      </c>
      <c r="Z22" s="27">
        <f t="shared" si="5"/>
        <v>1.636363636</v>
      </c>
      <c r="AA22" s="24">
        <f t="shared" si="35"/>
        <v>7</v>
      </c>
      <c r="AB22" s="2">
        <f t="shared" si="36"/>
        <v>5</v>
      </c>
      <c r="AC22" s="24">
        <f t="shared" si="37"/>
        <v>2</v>
      </c>
      <c r="AD22" s="24">
        <f t="shared" si="38"/>
        <v>8</v>
      </c>
      <c r="AE22" s="24">
        <f t="shared" si="39"/>
        <v>6</v>
      </c>
      <c r="AF22" s="24">
        <f t="shared" si="40"/>
        <v>2</v>
      </c>
      <c r="AG22" s="24">
        <f t="shared" si="41"/>
        <v>3</v>
      </c>
      <c r="AH22" s="24">
        <f t="shared" si="42"/>
        <v>4</v>
      </c>
      <c r="AI22" s="28">
        <f t="shared" si="43"/>
        <v>1</v>
      </c>
      <c r="AJ22" s="24">
        <v>3.0</v>
      </c>
      <c r="AK22" s="27">
        <f t="shared" si="6"/>
        <v>1.818181818</v>
      </c>
      <c r="AL22" s="24">
        <f t="shared" si="44"/>
        <v>7</v>
      </c>
      <c r="AM22" s="2">
        <f t="shared" si="45"/>
        <v>5</v>
      </c>
      <c r="AN22" s="24">
        <f t="shared" si="46"/>
        <v>3</v>
      </c>
      <c r="AO22" s="24">
        <f t="shared" si="47"/>
        <v>9</v>
      </c>
      <c r="AP22" s="24">
        <f t="shared" si="48"/>
        <v>6</v>
      </c>
      <c r="AQ22" s="24">
        <f t="shared" si="49"/>
        <v>1</v>
      </c>
      <c r="AR22" s="24">
        <f t="shared" si="50"/>
        <v>4</v>
      </c>
      <c r="AS22" s="24">
        <f t="shared" si="51"/>
        <v>3</v>
      </c>
      <c r="AT22" s="28">
        <f t="shared" si="52"/>
        <v>2</v>
      </c>
      <c r="AU22" s="24">
        <v>2.0</v>
      </c>
      <c r="AV22" s="27">
        <f t="shared" si="7"/>
        <v>1.545454545</v>
      </c>
      <c r="AW22" s="24">
        <f t="shared" si="53"/>
        <v>9</v>
      </c>
      <c r="AX22" s="2">
        <f t="shared" si="54"/>
        <v>6</v>
      </c>
      <c r="AY22" s="24">
        <f t="shared" si="55"/>
        <v>1</v>
      </c>
      <c r="AZ22" s="24">
        <f t="shared" si="56"/>
        <v>10</v>
      </c>
      <c r="BA22" s="24">
        <f t="shared" si="57"/>
        <v>6</v>
      </c>
      <c r="BB22" s="24">
        <f t="shared" si="58"/>
        <v>1</v>
      </c>
      <c r="BC22" s="24">
        <f t="shared" si="59"/>
        <v>4</v>
      </c>
      <c r="BD22" s="24">
        <f t="shared" si="60"/>
        <v>5</v>
      </c>
      <c r="BE22" s="28">
        <f t="shared" si="61"/>
        <v>1</v>
      </c>
      <c r="BF22" s="29">
        <f t="shared" ref="BF22:BO22" si="78">+(AK22+Z22+O22+D22)/4</f>
        <v>1.977272727</v>
      </c>
      <c r="BG22" s="24">
        <f t="shared" si="78"/>
        <v>6.75</v>
      </c>
      <c r="BH22" s="24">
        <f t="shared" si="78"/>
        <v>5.5</v>
      </c>
      <c r="BI22" s="24">
        <f t="shared" si="78"/>
        <v>3.25</v>
      </c>
      <c r="BJ22" s="24">
        <f t="shared" si="78"/>
        <v>8.5</v>
      </c>
      <c r="BK22" s="24">
        <f t="shared" si="78"/>
        <v>7</v>
      </c>
      <c r="BL22" s="24">
        <f t="shared" si="78"/>
        <v>1</v>
      </c>
      <c r="BM22" s="24">
        <f t="shared" si="78"/>
        <v>3</v>
      </c>
      <c r="BN22" s="24">
        <f t="shared" si="78"/>
        <v>3.75</v>
      </c>
      <c r="BO22" s="61">
        <f t="shared" si="78"/>
        <v>1.75</v>
      </c>
      <c r="BP22" s="30">
        <f t="shared" si="9"/>
        <v>-0.4318181818</v>
      </c>
      <c r="BQ22" s="31">
        <f t="shared" si="10"/>
        <v>0.09090909091</v>
      </c>
      <c r="BR22" s="31">
        <f t="shared" si="11"/>
        <v>0.3636363636</v>
      </c>
      <c r="BS22" s="31">
        <f t="shared" si="12"/>
        <v>0.4545454545</v>
      </c>
      <c r="BT22" s="31">
        <f t="shared" si="13"/>
        <v>0.09090909091</v>
      </c>
      <c r="BU22" s="31">
        <f t="shared" si="14"/>
        <v>0</v>
      </c>
      <c r="BV22" s="31">
        <f t="shared" si="15"/>
        <v>0.9090909091</v>
      </c>
      <c r="BW22" s="31">
        <f t="shared" ref="BW22:BX22" si="79">+BR22+BS22+BT22</f>
        <v>0.9090909091</v>
      </c>
      <c r="BX22" s="32">
        <f t="shared" si="79"/>
        <v>0.5454545455</v>
      </c>
      <c r="BY22" s="60"/>
    </row>
    <row r="23">
      <c r="B23" s="33">
        <v>12.0</v>
      </c>
      <c r="C23" s="2">
        <v>1.0</v>
      </c>
      <c r="D23" s="3">
        <f t="shared" si="3"/>
        <v>2.166666667</v>
      </c>
      <c r="E23" s="2">
        <f t="shared" si="17"/>
        <v>8</v>
      </c>
      <c r="F23" s="2">
        <f t="shared" si="18"/>
        <v>6</v>
      </c>
      <c r="G23" s="2">
        <f t="shared" si="19"/>
        <v>4</v>
      </c>
      <c r="H23" s="2">
        <f t="shared" si="20"/>
        <v>10</v>
      </c>
      <c r="I23" s="2">
        <f t="shared" si="21"/>
        <v>8</v>
      </c>
      <c r="J23" s="2">
        <f t="shared" si="22"/>
        <v>0</v>
      </c>
      <c r="K23" s="2">
        <f t="shared" si="23"/>
        <v>4</v>
      </c>
      <c r="L23" s="2">
        <f t="shared" si="24"/>
        <v>4</v>
      </c>
      <c r="M23" s="34">
        <f t="shared" si="25"/>
        <v>2</v>
      </c>
      <c r="N23" s="2">
        <v>1.0</v>
      </c>
      <c r="O23" s="3">
        <f t="shared" si="4"/>
        <v>2.083333333</v>
      </c>
      <c r="P23" s="2">
        <f t="shared" si="26"/>
        <v>7</v>
      </c>
      <c r="Q23" s="2">
        <f t="shared" si="27"/>
        <v>6</v>
      </c>
      <c r="R23" s="2">
        <f t="shared" si="28"/>
        <v>4</v>
      </c>
      <c r="S23" s="2">
        <f t="shared" si="29"/>
        <v>9</v>
      </c>
      <c r="T23" s="2">
        <f t="shared" si="30"/>
        <v>8</v>
      </c>
      <c r="U23" s="2">
        <f t="shared" si="31"/>
        <v>1</v>
      </c>
      <c r="V23" s="2">
        <f t="shared" si="32"/>
        <v>3</v>
      </c>
      <c r="W23" s="2">
        <f t="shared" si="33"/>
        <v>4</v>
      </c>
      <c r="X23" s="34">
        <f t="shared" si="34"/>
        <v>2</v>
      </c>
      <c r="Y23" s="2">
        <v>2.0</v>
      </c>
      <c r="Z23" s="3">
        <f t="shared" si="5"/>
        <v>1.666666667</v>
      </c>
      <c r="AA23" s="2">
        <f t="shared" si="35"/>
        <v>8</v>
      </c>
      <c r="AB23" s="2">
        <f t="shared" si="36"/>
        <v>6</v>
      </c>
      <c r="AC23" s="2">
        <f t="shared" si="37"/>
        <v>2</v>
      </c>
      <c r="AD23" s="2">
        <f t="shared" si="38"/>
        <v>9</v>
      </c>
      <c r="AE23" s="2">
        <f t="shared" si="39"/>
        <v>7</v>
      </c>
      <c r="AF23" s="2">
        <f t="shared" si="40"/>
        <v>2</v>
      </c>
      <c r="AG23" s="2">
        <f t="shared" si="41"/>
        <v>3</v>
      </c>
      <c r="AH23" s="2">
        <f t="shared" si="42"/>
        <v>5</v>
      </c>
      <c r="AI23" s="34">
        <f t="shared" si="43"/>
        <v>1</v>
      </c>
      <c r="AJ23" s="2">
        <v>0.0</v>
      </c>
      <c r="AK23" s="3">
        <f t="shared" si="6"/>
        <v>1.666666667</v>
      </c>
      <c r="AL23" s="2">
        <f t="shared" si="44"/>
        <v>7</v>
      </c>
      <c r="AM23" s="2">
        <f t="shared" si="45"/>
        <v>5</v>
      </c>
      <c r="AN23" s="2">
        <f t="shared" si="46"/>
        <v>3</v>
      </c>
      <c r="AO23" s="2">
        <f t="shared" si="47"/>
        <v>9</v>
      </c>
      <c r="AP23" s="2">
        <f t="shared" si="48"/>
        <v>6</v>
      </c>
      <c r="AQ23" s="2">
        <f t="shared" si="49"/>
        <v>2</v>
      </c>
      <c r="AR23" s="2">
        <f t="shared" si="50"/>
        <v>4</v>
      </c>
      <c r="AS23" s="2">
        <f t="shared" si="51"/>
        <v>3</v>
      </c>
      <c r="AT23" s="34">
        <f t="shared" si="52"/>
        <v>2</v>
      </c>
      <c r="AU23" s="2">
        <v>1.0</v>
      </c>
      <c r="AV23" s="3">
        <f t="shared" si="7"/>
        <v>1.5</v>
      </c>
      <c r="AW23" s="2">
        <f t="shared" si="53"/>
        <v>10</v>
      </c>
      <c r="AX23" s="2">
        <f t="shared" si="54"/>
        <v>6</v>
      </c>
      <c r="AY23" s="2">
        <f t="shared" si="55"/>
        <v>1</v>
      </c>
      <c r="AZ23" s="2">
        <f t="shared" si="56"/>
        <v>11</v>
      </c>
      <c r="BA23" s="2">
        <f t="shared" si="57"/>
        <v>6</v>
      </c>
      <c r="BB23" s="2">
        <f t="shared" si="58"/>
        <v>1</v>
      </c>
      <c r="BC23" s="2">
        <f t="shared" si="59"/>
        <v>5</v>
      </c>
      <c r="BD23" s="2">
        <f t="shared" si="60"/>
        <v>5</v>
      </c>
      <c r="BE23" s="34">
        <f t="shared" si="61"/>
        <v>1</v>
      </c>
      <c r="BF23" s="36">
        <f t="shared" ref="BF23:BO23" si="80">+(AK23+Z23+O23+D23)/4</f>
        <v>1.895833333</v>
      </c>
      <c r="BG23" s="2">
        <f t="shared" si="80"/>
        <v>7.5</v>
      </c>
      <c r="BH23" s="2">
        <f t="shared" si="80"/>
        <v>5.75</v>
      </c>
      <c r="BI23" s="2">
        <f t="shared" si="80"/>
        <v>3.25</v>
      </c>
      <c r="BJ23" s="2">
        <f t="shared" si="80"/>
        <v>9.25</v>
      </c>
      <c r="BK23" s="2">
        <f t="shared" si="80"/>
        <v>7.25</v>
      </c>
      <c r="BL23" s="2">
        <f t="shared" si="80"/>
        <v>1.25</v>
      </c>
      <c r="BM23" s="2">
        <f t="shared" si="80"/>
        <v>3.5</v>
      </c>
      <c r="BN23" s="2">
        <f t="shared" si="80"/>
        <v>4</v>
      </c>
      <c r="BO23" s="62">
        <f t="shared" si="80"/>
        <v>1.75</v>
      </c>
      <c r="BP23" s="37">
        <f t="shared" si="9"/>
        <v>-0.3958333333</v>
      </c>
      <c r="BQ23" s="38">
        <f t="shared" si="10"/>
        <v>0.08333333333</v>
      </c>
      <c r="BR23" s="38">
        <f t="shared" si="11"/>
        <v>0.4166666667</v>
      </c>
      <c r="BS23" s="38">
        <f t="shared" si="12"/>
        <v>0.4166666667</v>
      </c>
      <c r="BT23" s="38">
        <f t="shared" si="13"/>
        <v>0.08333333333</v>
      </c>
      <c r="BU23" s="38">
        <f t="shared" si="14"/>
        <v>0</v>
      </c>
      <c r="BV23" s="38">
        <f t="shared" si="15"/>
        <v>0.9166666667</v>
      </c>
      <c r="BW23" s="38">
        <f t="shared" ref="BW23:BX23" si="81">+BR23+BS23+BT23</f>
        <v>0.9166666667</v>
      </c>
      <c r="BX23" s="39">
        <f t="shared" si="81"/>
        <v>0.5</v>
      </c>
    </row>
    <row r="24">
      <c r="A24" s="60"/>
      <c r="B24" s="40">
        <v>13.0</v>
      </c>
      <c r="C24" s="24">
        <v>3.0</v>
      </c>
      <c r="D24" s="27">
        <f t="shared" si="3"/>
        <v>2.230769231</v>
      </c>
      <c r="E24" s="24">
        <f t="shared" si="17"/>
        <v>8</v>
      </c>
      <c r="F24" s="2">
        <f t="shared" si="18"/>
        <v>7</v>
      </c>
      <c r="G24" s="24">
        <f t="shared" si="19"/>
        <v>5</v>
      </c>
      <c r="H24" s="24">
        <f t="shared" si="20"/>
        <v>11</v>
      </c>
      <c r="I24" s="24">
        <f t="shared" si="21"/>
        <v>9</v>
      </c>
      <c r="J24" s="24">
        <f t="shared" si="22"/>
        <v>0</v>
      </c>
      <c r="K24" s="24">
        <f t="shared" si="23"/>
        <v>4</v>
      </c>
      <c r="L24" s="24">
        <f t="shared" si="24"/>
        <v>4</v>
      </c>
      <c r="M24" s="28">
        <f t="shared" si="25"/>
        <v>3</v>
      </c>
      <c r="N24" s="24">
        <v>2.0</v>
      </c>
      <c r="O24" s="27">
        <f t="shared" si="4"/>
        <v>2.076923077</v>
      </c>
      <c r="P24" s="24">
        <f t="shared" si="26"/>
        <v>8</v>
      </c>
      <c r="Q24" s="2">
        <f t="shared" si="27"/>
        <v>7</v>
      </c>
      <c r="R24" s="24">
        <f t="shared" si="28"/>
        <v>4</v>
      </c>
      <c r="S24" s="24">
        <f t="shared" si="29"/>
        <v>10</v>
      </c>
      <c r="T24" s="24">
        <f t="shared" si="30"/>
        <v>9</v>
      </c>
      <c r="U24" s="24">
        <f t="shared" si="31"/>
        <v>1</v>
      </c>
      <c r="V24" s="24">
        <f t="shared" si="32"/>
        <v>3</v>
      </c>
      <c r="W24" s="24">
        <f t="shared" si="33"/>
        <v>5</v>
      </c>
      <c r="X24" s="28">
        <f t="shared" si="34"/>
        <v>2</v>
      </c>
      <c r="Y24" s="24">
        <v>1.0</v>
      </c>
      <c r="Z24" s="27">
        <f t="shared" si="5"/>
        <v>1.615384615</v>
      </c>
      <c r="AA24" s="24">
        <f t="shared" si="35"/>
        <v>9</v>
      </c>
      <c r="AB24" s="2">
        <f t="shared" si="36"/>
        <v>6</v>
      </c>
      <c r="AC24" s="24">
        <f t="shared" si="37"/>
        <v>2</v>
      </c>
      <c r="AD24" s="24">
        <f t="shared" si="38"/>
        <v>10</v>
      </c>
      <c r="AE24" s="24">
        <f t="shared" si="39"/>
        <v>7</v>
      </c>
      <c r="AF24" s="24">
        <f t="shared" si="40"/>
        <v>2</v>
      </c>
      <c r="AG24" s="24">
        <f t="shared" si="41"/>
        <v>4</v>
      </c>
      <c r="AH24" s="24">
        <f t="shared" si="42"/>
        <v>5</v>
      </c>
      <c r="AI24" s="28">
        <f t="shared" si="43"/>
        <v>1</v>
      </c>
      <c r="AJ24" s="24">
        <v>3.0</v>
      </c>
      <c r="AK24" s="27">
        <f t="shared" si="6"/>
        <v>1.769230769</v>
      </c>
      <c r="AL24" s="24">
        <f t="shared" si="44"/>
        <v>7</v>
      </c>
      <c r="AM24" s="2">
        <f t="shared" si="45"/>
        <v>6</v>
      </c>
      <c r="AN24" s="24">
        <f t="shared" si="46"/>
        <v>4</v>
      </c>
      <c r="AO24" s="24">
        <f t="shared" si="47"/>
        <v>10</v>
      </c>
      <c r="AP24" s="24">
        <f t="shared" si="48"/>
        <v>7</v>
      </c>
      <c r="AQ24" s="24">
        <f t="shared" si="49"/>
        <v>2</v>
      </c>
      <c r="AR24" s="24">
        <f t="shared" si="50"/>
        <v>4</v>
      </c>
      <c r="AS24" s="24">
        <f t="shared" si="51"/>
        <v>3</v>
      </c>
      <c r="AT24" s="28">
        <f t="shared" si="52"/>
        <v>3</v>
      </c>
      <c r="AU24" s="24">
        <v>1.0</v>
      </c>
      <c r="AV24" s="27">
        <f t="shared" si="7"/>
        <v>1.461538462</v>
      </c>
      <c r="AW24" s="24">
        <f t="shared" si="53"/>
        <v>11</v>
      </c>
      <c r="AX24" s="2">
        <f t="shared" si="54"/>
        <v>6</v>
      </c>
      <c r="AY24" s="24">
        <f t="shared" si="55"/>
        <v>1</v>
      </c>
      <c r="AZ24" s="24">
        <f t="shared" si="56"/>
        <v>12</v>
      </c>
      <c r="BA24" s="24">
        <f t="shared" si="57"/>
        <v>6</v>
      </c>
      <c r="BB24" s="24">
        <f t="shared" si="58"/>
        <v>1</v>
      </c>
      <c r="BC24" s="24">
        <f t="shared" si="59"/>
        <v>6</v>
      </c>
      <c r="BD24" s="24">
        <f t="shared" si="60"/>
        <v>5</v>
      </c>
      <c r="BE24" s="28">
        <f t="shared" si="61"/>
        <v>1</v>
      </c>
      <c r="BF24" s="29">
        <f t="shared" ref="BF24:BO24" si="82">+(AK24+Z24+O24+D24)/4</f>
        <v>1.923076923</v>
      </c>
      <c r="BG24" s="24">
        <f t="shared" si="82"/>
        <v>8</v>
      </c>
      <c r="BH24" s="24">
        <f t="shared" si="82"/>
        <v>6.5</v>
      </c>
      <c r="BI24" s="24">
        <f t="shared" si="82"/>
        <v>3.75</v>
      </c>
      <c r="BJ24" s="24">
        <f t="shared" si="82"/>
        <v>10.25</v>
      </c>
      <c r="BK24" s="24">
        <f t="shared" si="82"/>
        <v>8</v>
      </c>
      <c r="BL24" s="24">
        <f t="shared" si="82"/>
        <v>1.25</v>
      </c>
      <c r="BM24" s="24">
        <f t="shared" si="82"/>
        <v>3.75</v>
      </c>
      <c r="BN24" s="24">
        <f t="shared" si="82"/>
        <v>4.25</v>
      </c>
      <c r="BO24" s="61">
        <f t="shared" si="82"/>
        <v>2.25</v>
      </c>
      <c r="BP24" s="30">
        <f t="shared" si="9"/>
        <v>-0.4615384615</v>
      </c>
      <c r="BQ24" s="31">
        <f t="shared" si="10"/>
        <v>0.07692307692</v>
      </c>
      <c r="BR24" s="31">
        <f t="shared" si="11"/>
        <v>0.4615384615</v>
      </c>
      <c r="BS24" s="31">
        <f t="shared" si="12"/>
        <v>0.3846153846</v>
      </c>
      <c r="BT24" s="31">
        <f t="shared" si="13"/>
        <v>0.07692307692</v>
      </c>
      <c r="BU24" s="31">
        <f t="shared" si="14"/>
        <v>0</v>
      </c>
      <c r="BV24" s="31">
        <f t="shared" si="15"/>
        <v>0.9230769231</v>
      </c>
      <c r="BW24" s="31">
        <f t="shared" ref="BW24:BX24" si="83">+BR24+BS24+BT24</f>
        <v>0.9230769231</v>
      </c>
      <c r="BX24" s="32">
        <f t="shared" si="83"/>
        <v>0.4615384615</v>
      </c>
      <c r="BY24" s="60"/>
    </row>
    <row r="25">
      <c r="B25" s="33">
        <v>14.0</v>
      </c>
      <c r="C25" s="2">
        <v>1.0</v>
      </c>
      <c r="D25" s="3">
        <f t="shared" si="3"/>
        <v>2.142857143</v>
      </c>
      <c r="E25" s="2">
        <f t="shared" si="17"/>
        <v>9</v>
      </c>
      <c r="F25" s="2">
        <f t="shared" si="18"/>
        <v>7</v>
      </c>
      <c r="G25" s="2">
        <f t="shared" si="19"/>
        <v>5</v>
      </c>
      <c r="H25" s="2">
        <f t="shared" si="20"/>
        <v>12</v>
      </c>
      <c r="I25" s="2">
        <f t="shared" si="21"/>
        <v>9</v>
      </c>
      <c r="J25" s="2">
        <f t="shared" si="22"/>
        <v>0</v>
      </c>
      <c r="K25" s="2">
        <f t="shared" si="23"/>
        <v>5</v>
      </c>
      <c r="L25" s="2">
        <f t="shared" si="24"/>
        <v>4</v>
      </c>
      <c r="M25" s="34">
        <f t="shared" si="25"/>
        <v>3</v>
      </c>
      <c r="N25" s="2">
        <v>0.0</v>
      </c>
      <c r="O25" s="3">
        <f t="shared" si="4"/>
        <v>1.928571429</v>
      </c>
      <c r="P25" s="2">
        <f t="shared" si="26"/>
        <v>8</v>
      </c>
      <c r="Q25" s="2">
        <f t="shared" si="27"/>
        <v>7</v>
      </c>
      <c r="R25" s="2">
        <f t="shared" si="28"/>
        <v>4</v>
      </c>
      <c r="S25" s="2">
        <f t="shared" si="29"/>
        <v>10</v>
      </c>
      <c r="T25" s="2">
        <f t="shared" si="30"/>
        <v>9</v>
      </c>
      <c r="U25" s="2">
        <f t="shared" si="31"/>
        <v>2</v>
      </c>
      <c r="V25" s="2">
        <f t="shared" si="32"/>
        <v>3</v>
      </c>
      <c r="W25" s="2">
        <f t="shared" si="33"/>
        <v>5</v>
      </c>
      <c r="X25" s="34">
        <f t="shared" si="34"/>
        <v>2</v>
      </c>
      <c r="Y25" s="2">
        <v>3.0</v>
      </c>
      <c r="Z25" s="3">
        <f t="shared" si="5"/>
        <v>1.714285714</v>
      </c>
      <c r="AA25" s="2">
        <f t="shared" si="35"/>
        <v>9</v>
      </c>
      <c r="AB25" s="2">
        <f t="shared" si="36"/>
        <v>7</v>
      </c>
      <c r="AC25" s="2">
        <f t="shared" si="37"/>
        <v>3</v>
      </c>
      <c r="AD25" s="2">
        <f t="shared" si="38"/>
        <v>11</v>
      </c>
      <c r="AE25" s="2">
        <f t="shared" si="39"/>
        <v>8</v>
      </c>
      <c r="AF25" s="2">
        <f t="shared" si="40"/>
        <v>2</v>
      </c>
      <c r="AG25" s="2">
        <f t="shared" si="41"/>
        <v>4</v>
      </c>
      <c r="AH25" s="2">
        <f t="shared" si="42"/>
        <v>5</v>
      </c>
      <c r="AI25" s="34">
        <f t="shared" si="43"/>
        <v>2</v>
      </c>
      <c r="AJ25" s="2">
        <v>1.0</v>
      </c>
      <c r="AK25" s="3">
        <f t="shared" si="6"/>
        <v>1.714285714</v>
      </c>
      <c r="AL25" s="2">
        <f t="shared" si="44"/>
        <v>8</v>
      </c>
      <c r="AM25" s="2">
        <f t="shared" si="45"/>
        <v>6</v>
      </c>
      <c r="AN25" s="2">
        <f t="shared" si="46"/>
        <v>4</v>
      </c>
      <c r="AO25" s="2">
        <f t="shared" si="47"/>
        <v>11</v>
      </c>
      <c r="AP25" s="2">
        <f t="shared" si="48"/>
        <v>7</v>
      </c>
      <c r="AQ25" s="2">
        <f t="shared" si="49"/>
        <v>2</v>
      </c>
      <c r="AR25" s="2">
        <f t="shared" si="50"/>
        <v>5</v>
      </c>
      <c r="AS25" s="2">
        <f t="shared" si="51"/>
        <v>3</v>
      </c>
      <c r="AT25" s="34">
        <f t="shared" si="52"/>
        <v>3</v>
      </c>
      <c r="AU25" s="2">
        <v>3.0</v>
      </c>
      <c r="AV25" s="3">
        <f t="shared" si="7"/>
        <v>1.571428571</v>
      </c>
      <c r="AW25" s="2">
        <f t="shared" si="53"/>
        <v>11</v>
      </c>
      <c r="AX25" s="2">
        <f t="shared" si="54"/>
        <v>7</v>
      </c>
      <c r="AY25" s="2">
        <f t="shared" si="55"/>
        <v>2</v>
      </c>
      <c r="AZ25" s="2">
        <f t="shared" si="56"/>
        <v>13</v>
      </c>
      <c r="BA25" s="2">
        <f t="shared" si="57"/>
        <v>7</v>
      </c>
      <c r="BB25" s="2">
        <f t="shared" si="58"/>
        <v>1</v>
      </c>
      <c r="BC25" s="2">
        <f t="shared" si="59"/>
        <v>6</v>
      </c>
      <c r="BD25" s="2">
        <f t="shared" si="60"/>
        <v>5</v>
      </c>
      <c r="BE25" s="34">
        <f t="shared" si="61"/>
        <v>2</v>
      </c>
      <c r="BF25" s="36">
        <f t="shared" ref="BF25:BO25" si="84">+(AK25+Z25+O25+D25)/4</f>
        <v>1.875</v>
      </c>
      <c r="BG25" s="2">
        <f t="shared" si="84"/>
        <v>8.5</v>
      </c>
      <c r="BH25" s="2">
        <f t="shared" si="84"/>
        <v>6.75</v>
      </c>
      <c r="BI25" s="2">
        <f t="shared" si="84"/>
        <v>4</v>
      </c>
      <c r="BJ25" s="2">
        <f t="shared" si="84"/>
        <v>11</v>
      </c>
      <c r="BK25" s="2">
        <f t="shared" si="84"/>
        <v>8.25</v>
      </c>
      <c r="BL25" s="2">
        <f t="shared" si="84"/>
        <v>1.5</v>
      </c>
      <c r="BM25" s="2">
        <f t="shared" si="84"/>
        <v>4.25</v>
      </c>
      <c r="BN25" s="2">
        <f t="shared" si="84"/>
        <v>4.25</v>
      </c>
      <c r="BO25" s="62">
        <f t="shared" si="84"/>
        <v>2.5</v>
      </c>
      <c r="BP25" s="37">
        <f t="shared" si="9"/>
        <v>-0.3035714286</v>
      </c>
      <c r="BQ25" s="38">
        <f t="shared" si="10"/>
        <v>0.07142857143</v>
      </c>
      <c r="BR25" s="38">
        <f t="shared" si="11"/>
        <v>0.4285714286</v>
      </c>
      <c r="BS25" s="38">
        <f t="shared" si="12"/>
        <v>0.3571428571</v>
      </c>
      <c r="BT25" s="38">
        <f t="shared" si="13"/>
        <v>0.1428571429</v>
      </c>
      <c r="BU25" s="38">
        <f t="shared" si="14"/>
        <v>0</v>
      </c>
      <c r="BV25" s="38">
        <f t="shared" si="15"/>
        <v>0.9285714286</v>
      </c>
      <c r="BW25" s="38">
        <f t="shared" ref="BW25:BX25" si="85">+BR25+BS25+BT25</f>
        <v>0.9285714286</v>
      </c>
      <c r="BX25" s="39">
        <f t="shared" si="85"/>
        <v>0.5</v>
      </c>
    </row>
    <row r="26">
      <c r="A26" s="60"/>
      <c r="B26" s="40">
        <v>15.0</v>
      </c>
      <c r="C26" s="24">
        <v>3.0</v>
      </c>
      <c r="D26" s="27">
        <f t="shared" si="3"/>
        <v>2.2</v>
      </c>
      <c r="E26" s="24">
        <f t="shared" si="17"/>
        <v>9</v>
      </c>
      <c r="F26" s="2">
        <f t="shared" si="18"/>
        <v>8</v>
      </c>
      <c r="G26" s="24">
        <f t="shared" si="19"/>
        <v>6</v>
      </c>
      <c r="H26" s="24">
        <f t="shared" si="20"/>
        <v>13</v>
      </c>
      <c r="I26" s="24">
        <f t="shared" si="21"/>
        <v>10</v>
      </c>
      <c r="J26" s="24">
        <f t="shared" si="22"/>
        <v>0</v>
      </c>
      <c r="K26" s="24">
        <f t="shared" si="23"/>
        <v>5</v>
      </c>
      <c r="L26" s="24">
        <f t="shared" si="24"/>
        <v>4</v>
      </c>
      <c r="M26" s="28">
        <f t="shared" si="25"/>
        <v>4</v>
      </c>
      <c r="N26" s="24">
        <v>2.0</v>
      </c>
      <c r="O26" s="27">
        <f t="shared" si="4"/>
        <v>1.933333333</v>
      </c>
      <c r="P26" s="24">
        <f t="shared" si="26"/>
        <v>9</v>
      </c>
      <c r="Q26" s="2">
        <f t="shared" si="27"/>
        <v>8</v>
      </c>
      <c r="R26" s="24">
        <f t="shared" si="28"/>
        <v>4</v>
      </c>
      <c r="S26" s="24">
        <f t="shared" si="29"/>
        <v>11</v>
      </c>
      <c r="T26" s="24">
        <f t="shared" si="30"/>
        <v>10</v>
      </c>
      <c r="U26" s="24">
        <f t="shared" si="31"/>
        <v>2</v>
      </c>
      <c r="V26" s="24">
        <f t="shared" si="32"/>
        <v>3</v>
      </c>
      <c r="W26" s="24">
        <f t="shared" si="33"/>
        <v>6</v>
      </c>
      <c r="X26" s="28">
        <f t="shared" si="34"/>
        <v>2</v>
      </c>
      <c r="Y26" s="24">
        <v>2.0</v>
      </c>
      <c r="Z26" s="27">
        <f t="shared" si="5"/>
        <v>1.733333333</v>
      </c>
      <c r="AA26" s="24">
        <f t="shared" si="35"/>
        <v>10</v>
      </c>
      <c r="AB26" s="2">
        <f t="shared" si="36"/>
        <v>8</v>
      </c>
      <c r="AC26" s="24">
        <f t="shared" si="37"/>
        <v>3</v>
      </c>
      <c r="AD26" s="24">
        <f t="shared" si="38"/>
        <v>12</v>
      </c>
      <c r="AE26" s="24">
        <f t="shared" si="39"/>
        <v>9</v>
      </c>
      <c r="AF26" s="24">
        <f t="shared" si="40"/>
        <v>2</v>
      </c>
      <c r="AG26" s="24">
        <f t="shared" si="41"/>
        <v>4</v>
      </c>
      <c r="AH26" s="24">
        <f t="shared" si="42"/>
        <v>6</v>
      </c>
      <c r="AI26" s="28">
        <f t="shared" si="43"/>
        <v>2</v>
      </c>
      <c r="AJ26" s="24">
        <v>0.0</v>
      </c>
      <c r="AK26" s="27">
        <f t="shared" si="6"/>
        <v>1.6</v>
      </c>
      <c r="AL26" s="24">
        <f t="shared" si="44"/>
        <v>8</v>
      </c>
      <c r="AM26" s="2">
        <f t="shared" si="45"/>
        <v>6</v>
      </c>
      <c r="AN26" s="24">
        <f t="shared" si="46"/>
        <v>4</v>
      </c>
      <c r="AO26" s="24">
        <f t="shared" si="47"/>
        <v>11</v>
      </c>
      <c r="AP26" s="24">
        <f t="shared" si="48"/>
        <v>7</v>
      </c>
      <c r="AQ26" s="24">
        <f t="shared" si="49"/>
        <v>3</v>
      </c>
      <c r="AR26" s="24">
        <f t="shared" si="50"/>
        <v>5</v>
      </c>
      <c r="AS26" s="24">
        <f t="shared" si="51"/>
        <v>3</v>
      </c>
      <c r="AT26" s="28">
        <f t="shared" si="52"/>
        <v>3</v>
      </c>
      <c r="AU26" s="24">
        <v>2.0</v>
      </c>
      <c r="AV26" s="27">
        <f t="shared" si="7"/>
        <v>1.6</v>
      </c>
      <c r="AW26" s="24">
        <f t="shared" si="53"/>
        <v>12</v>
      </c>
      <c r="AX26" s="2">
        <f t="shared" si="54"/>
        <v>8</v>
      </c>
      <c r="AY26" s="24">
        <f t="shared" si="55"/>
        <v>2</v>
      </c>
      <c r="AZ26" s="24">
        <f t="shared" si="56"/>
        <v>14</v>
      </c>
      <c r="BA26" s="24">
        <f t="shared" si="57"/>
        <v>8</v>
      </c>
      <c r="BB26" s="24">
        <f t="shared" si="58"/>
        <v>1</v>
      </c>
      <c r="BC26" s="24">
        <f t="shared" si="59"/>
        <v>6</v>
      </c>
      <c r="BD26" s="24">
        <f t="shared" si="60"/>
        <v>6</v>
      </c>
      <c r="BE26" s="28">
        <f t="shared" si="61"/>
        <v>2</v>
      </c>
      <c r="BF26" s="29">
        <f t="shared" ref="BF26:BO26" si="86">+(AK26+Z26+O26+D26)/4</f>
        <v>1.866666667</v>
      </c>
      <c r="BG26" s="24">
        <f t="shared" si="86"/>
        <v>9</v>
      </c>
      <c r="BH26" s="24">
        <f t="shared" si="86"/>
        <v>7.5</v>
      </c>
      <c r="BI26" s="24">
        <f t="shared" si="86"/>
        <v>4.25</v>
      </c>
      <c r="BJ26" s="24">
        <f t="shared" si="86"/>
        <v>11.75</v>
      </c>
      <c r="BK26" s="24">
        <f t="shared" si="86"/>
        <v>9</v>
      </c>
      <c r="BL26" s="24">
        <f t="shared" si="86"/>
        <v>1.75</v>
      </c>
      <c r="BM26" s="24">
        <f t="shared" si="86"/>
        <v>4.25</v>
      </c>
      <c r="BN26" s="24">
        <f t="shared" si="86"/>
        <v>4.75</v>
      </c>
      <c r="BO26" s="61">
        <f t="shared" si="86"/>
        <v>2.75</v>
      </c>
      <c r="BP26" s="30">
        <f t="shared" si="9"/>
        <v>-0.2666666667</v>
      </c>
      <c r="BQ26" s="31">
        <f t="shared" si="10"/>
        <v>0.06666666667</v>
      </c>
      <c r="BR26" s="31">
        <f t="shared" si="11"/>
        <v>0.4</v>
      </c>
      <c r="BS26" s="31">
        <f t="shared" si="12"/>
        <v>0.4</v>
      </c>
      <c r="BT26" s="31">
        <f t="shared" si="13"/>
        <v>0.1333333333</v>
      </c>
      <c r="BU26" s="31">
        <f t="shared" si="14"/>
        <v>0</v>
      </c>
      <c r="BV26" s="31">
        <f t="shared" si="15"/>
        <v>0.9333333333</v>
      </c>
      <c r="BW26" s="31">
        <f t="shared" ref="BW26:BX26" si="87">+BR26+BS26+BT26</f>
        <v>0.9333333333</v>
      </c>
      <c r="BX26" s="32">
        <f t="shared" si="87"/>
        <v>0.5333333333</v>
      </c>
      <c r="BY26" s="60"/>
    </row>
    <row r="27">
      <c r="B27" s="33">
        <v>16.0</v>
      </c>
      <c r="C27" s="2">
        <v>2.0</v>
      </c>
      <c r="D27" s="3">
        <f t="shared" si="3"/>
        <v>2.1875</v>
      </c>
      <c r="E27" s="2">
        <f t="shared" si="17"/>
        <v>10</v>
      </c>
      <c r="F27" s="2">
        <f t="shared" si="18"/>
        <v>9</v>
      </c>
      <c r="G27" s="2">
        <f t="shared" si="19"/>
        <v>6</v>
      </c>
      <c r="H27" s="2">
        <f t="shared" si="20"/>
        <v>14</v>
      </c>
      <c r="I27" s="2">
        <f t="shared" si="21"/>
        <v>11</v>
      </c>
      <c r="J27" s="2">
        <f t="shared" si="22"/>
        <v>0</v>
      </c>
      <c r="K27" s="2">
        <f t="shared" si="23"/>
        <v>5</v>
      </c>
      <c r="L27" s="2">
        <f t="shared" si="24"/>
        <v>5</v>
      </c>
      <c r="M27" s="34">
        <f t="shared" si="25"/>
        <v>4</v>
      </c>
      <c r="N27" s="2">
        <v>2.0</v>
      </c>
      <c r="O27" s="3">
        <f t="shared" si="4"/>
        <v>1.9375</v>
      </c>
      <c r="P27" s="2">
        <f t="shared" si="26"/>
        <v>10</v>
      </c>
      <c r="Q27" s="2">
        <f t="shared" si="27"/>
        <v>9</v>
      </c>
      <c r="R27" s="2">
        <f t="shared" si="28"/>
        <v>4</v>
      </c>
      <c r="S27" s="2">
        <f t="shared" si="29"/>
        <v>12</v>
      </c>
      <c r="T27" s="2">
        <f t="shared" si="30"/>
        <v>11</v>
      </c>
      <c r="U27" s="2">
        <f t="shared" si="31"/>
        <v>2</v>
      </c>
      <c r="V27" s="2">
        <f t="shared" si="32"/>
        <v>3</v>
      </c>
      <c r="W27" s="2">
        <f t="shared" si="33"/>
        <v>7</v>
      </c>
      <c r="X27" s="34">
        <f t="shared" si="34"/>
        <v>2</v>
      </c>
      <c r="Y27" s="2">
        <v>3.0</v>
      </c>
      <c r="Z27" s="3">
        <f t="shared" si="5"/>
        <v>1.8125</v>
      </c>
      <c r="AA27" s="2">
        <f t="shared" si="35"/>
        <v>10</v>
      </c>
      <c r="AB27" s="2">
        <f t="shared" si="36"/>
        <v>9</v>
      </c>
      <c r="AC27" s="2">
        <f t="shared" si="37"/>
        <v>4</v>
      </c>
      <c r="AD27" s="2">
        <f t="shared" si="38"/>
        <v>13</v>
      </c>
      <c r="AE27" s="2">
        <f t="shared" si="39"/>
        <v>10</v>
      </c>
      <c r="AF27" s="2">
        <f t="shared" si="40"/>
        <v>2</v>
      </c>
      <c r="AG27" s="2">
        <f t="shared" si="41"/>
        <v>4</v>
      </c>
      <c r="AH27" s="2">
        <f t="shared" si="42"/>
        <v>6</v>
      </c>
      <c r="AI27" s="34">
        <f t="shared" si="43"/>
        <v>3</v>
      </c>
      <c r="AJ27" s="2">
        <v>1.0</v>
      </c>
      <c r="AK27" s="3">
        <f t="shared" si="6"/>
        <v>1.5625</v>
      </c>
      <c r="AL27" s="2">
        <f t="shared" si="44"/>
        <v>9</v>
      </c>
      <c r="AM27" s="2">
        <f t="shared" si="45"/>
        <v>6</v>
      </c>
      <c r="AN27" s="2">
        <f t="shared" si="46"/>
        <v>4</v>
      </c>
      <c r="AO27" s="2">
        <f t="shared" si="47"/>
        <v>12</v>
      </c>
      <c r="AP27" s="2">
        <f t="shared" si="48"/>
        <v>7</v>
      </c>
      <c r="AQ27" s="2">
        <f t="shared" si="49"/>
        <v>3</v>
      </c>
      <c r="AR27" s="2">
        <f t="shared" si="50"/>
        <v>6</v>
      </c>
      <c r="AS27" s="2">
        <f t="shared" si="51"/>
        <v>3</v>
      </c>
      <c r="AT27" s="34">
        <f t="shared" si="52"/>
        <v>3</v>
      </c>
      <c r="AU27" s="47">
        <v>3.0</v>
      </c>
      <c r="AV27" s="3">
        <f t="shared" si="7"/>
        <v>1.6875</v>
      </c>
      <c r="AW27" s="2">
        <f t="shared" si="53"/>
        <v>12</v>
      </c>
      <c r="AX27" s="2">
        <f t="shared" si="54"/>
        <v>9</v>
      </c>
      <c r="AY27" s="2">
        <f t="shared" si="55"/>
        <v>3</v>
      </c>
      <c r="AZ27" s="2">
        <f t="shared" si="56"/>
        <v>15</v>
      </c>
      <c r="BA27" s="2">
        <f t="shared" si="57"/>
        <v>9</v>
      </c>
      <c r="BB27" s="2">
        <f t="shared" si="58"/>
        <v>1</v>
      </c>
      <c r="BC27" s="2">
        <f t="shared" si="59"/>
        <v>6</v>
      </c>
      <c r="BD27" s="2">
        <f t="shared" si="60"/>
        <v>6</v>
      </c>
      <c r="BE27" s="34">
        <f t="shared" si="61"/>
        <v>3</v>
      </c>
      <c r="BF27" s="36">
        <f t="shared" ref="BF27:BO27" si="88">+(AK27+Z27+O27+D27)/4</f>
        <v>1.875</v>
      </c>
      <c r="BG27" s="2">
        <f t="shared" si="88"/>
        <v>9.75</v>
      </c>
      <c r="BH27" s="2">
        <f t="shared" si="88"/>
        <v>8.25</v>
      </c>
      <c r="BI27" s="2">
        <f t="shared" si="88"/>
        <v>4.5</v>
      </c>
      <c r="BJ27" s="2">
        <f t="shared" si="88"/>
        <v>12.75</v>
      </c>
      <c r="BK27" s="2">
        <f t="shared" si="88"/>
        <v>9.75</v>
      </c>
      <c r="BL27" s="2">
        <f t="shared" si="88"/>
        <v>1.75</v>
      </c>
      <c r="BM27" s="2">
        <f t="shared" si="88"/>
        <v>4.5</v>
      </c>
      <c r="BN27" s="2">
        <f t="shared" si="88"/>
        <v>5.25</v>
      </c>
      <c r="BO27" s="62">
        <f t="shared" si="88"/>
        <v>3</v>
      </c>
      <c r="BP27" s="37">
        <f t="shared" si="9"/>
        <v>-0.1875</v>
      </c>
      <c r="BQ27" s="38">
        <f t="shared" si="10"/>
        <v>0.0625</v>
      </c>
      <c r="BR27" s="38">
        <f t="shared" si="11"/>
        <v>0.375</v>
      </c>
      <c r="BS27" s="38">
        <f t="shared" si="12"/>
        <v>0.375</v>
      </c>
      <c r="BT27" s="38">
        <f t="shared" si="13"/>
        <v>0.1875</v>
      </c>
      <c r="BU27" s="38">
        <f t="shared" si="14"/>
        <v>0</v>
      </c>
      <c r="BV27" s="38">
        <f t="shared" si="15"/>
        <v>0.9375</v>
      </c>
      <c r="BW27" s="38">
        <f t="shared" ref="BW27:BX27" si="89">+BR27+BS27+BT27</f>
        <v>0.9375</v>
      </c>
      <c r="BX27" s="39">
        <f t="shared" si="89"/>
        <v>0.5625</v>
      </c>
    </row>
    <row r="28" ht="15.75" customHeight="1">
      <c r="A28" s="60"/>
      <c r="B28" s="40">
        <v>17.0</v>
      </c>
      <c r="C28" s="24">
        <v>1.0</v>
      </c>
      <c r="D28" s="27">
        <f t="shared" si="3"/>
        <v>2.117647059</v>
      </c>
      <c r="E28" s="24">
        <f t="shared" si="17"/>
        <v>11</v>
      </c>
      <c r="F28" s="2">
        <f t="shared" si="18"/>
        <v>9</v>
      </c>
      <c r="G28" s="24">
        <f t="shared" si="19"/>
        <v>6</v>
      </c>
      <c r="H28" s="24">
        <f t="shared" si="20"/>
        <v>15</v>
      </c>
      <c r="I28" s="24">
        <f t="shared" si="21"/>
        <v>11</v>
      </c>
      <c r="J28" s="24">
        <f t="shared" si="22"/>
        <v>0</v>
      </c>
      <c r="K28" s="24">
        <f t="shared" si="23"/>
        <v>6</v>
      </c>
      <c r="L28" s="24">
        <f t="shared" si="24"/>
        <v>5</v>
      </c>
      <c r="M28" s="28">
        <f t="shared" si="25"/>
        <v>4</v>
      </c>
      <c r="N28" s="24">
        <v>2.0</v>
      </c>
      <c r="O28" s="27">
        <f t="shared" si="4"/>
        <v>1.941176471</v>
      </c>
      <c r="P28" s="24">
        <f t="shared" si="26"/>
        <v>11</v>
      </c>
      <c r="Q28" s="2">
        <f t="shared" si="27"/>
        <v>10</v>
      </c>
      <c r="R28" s="24">
        <f t="shared" si="28"/>
        <v>4</v>
      </c>
      <c r="S28" s="24">
        <f t="shared" si="29"/>
        <v>13</v>
      </c>
      <c r="T28" s="24">
        <f t="shared" si="30"/>
        <v>12</v>
      </c>
      <c r="U28" s="24">
        <f t="shared" si="31"/>
        <v>2</v>
      </c>
      <c r="V28" s="24">
        <f t="shared" si="32"/>
        <v>3</v>
      </c>
      <c r="W28" s="24">
        <f t="shared" si="33"/>
        <v>8</v>
      </c>
      <c r="X28" s="28">
        <f t="shared" si="34"/>
        <v>2</v>
      </c>
      <c r="Y28" s="24">
        <v>2.0</v>
      </c>
      <c r="Z28" s="27">
        <f t="shared" si="5"/>
        <v>1.823529412</v>
      </c>
      <c r="AA28" s="24">
        <f t="shared" si="35"/>
        <v>11</v>
      </c>
      <c r="AB28" s="2">
        <f t="shared" si="36"/>
        <v>10</v>
      </c>
      <c r="AC28" s="24">
        <f t="shared" si="37"/>
        <v>4</v>
      </c>
      <c r="AD28" s="24">
        <f t="shared" si="38"/>
        <v>14</v>
      </c>
      <c r="AE28" s="24">
        <f t="shared" si="39"/>
        <v>11</v>
      </c>
      <c r="AF28" s="24">
        <f t="shared" si="40"/>
        <v>2</v>
      </c>
      <c r="AG28" s="24">
        <f t="shared" si="41"/>
        <v>4</v>
      </c>
      <c r="AH28" s="24">
        <f t="shared" si="42"/>
        <v>7</v>
      </c>
      <c r="AI28" s="28">
        <f t="shared" si="43"/>
        <v>3</v>
      </c>
      <c r="AJ28" s="24">
        <v>1.0</v>
      </c>
      <c r="AK28" s="27">
        <f t="shared" si="6"/>
        <v>1.529411765</v>
      </c>
      <c r="AL28" s="24">
        <f t="shared" si="44"/>
        <v>10</v>
      </c>
      <c r="AM28" s="2">
        <f t="shared" si="45"/>
        <v>6</v>
      </c>
      <c r="AN28" s="24">
        <f t="shared" si="46"/>
        <v>4</v>
      </c>
      <c r="AO28" s="24">
        <f t="shared" si="47"/>
        <v>13</v>
      </c>
      <c r="AP28" s="24">
        <f t="shared" si="48"/>
        <v>7</v>
      </c>
      <c r="AQ28" s="24">
        <f t="shared" si="49"/>
        <v>3</v>
      </c>
      <c r="AR28" s="24">
        <f t="shared" si="50"/>
        <v>7</v>
      </c>
      <c r="AS28" s="24">
        <f t="shared" si="51"/>
        <v>3</v>
      </c>
      <c r="AT28" s="28">
        <f t="shared" si="52"/>
        <v>3</v>
      </c>
      <c r="AU28" s="41">
        <v>1.0</v>
      </c>
      <c r="AV28" s="27">
        <f t="shared" si="7"/>
        <v>1.647058824</v>
      </c>
      <c r="AW28" s="24">
        <f t="shared" si="53"/>
        <v>13</v>
      </c>
      <c r="AX28" s="2">
        <f t="shared" si="54"/>
        <v>9</v>
      </c>
      <c r="AY28" s="24">
        <f t="shared" si="55"/>
        <v>3</v>
      </c>
      <c r="AZ28" s="24">
        <f t="shared" si="56"/>
        <v>16</v>
      </c>
      <c r="BA28" s="24">
        <f t="shared" si="57"/>
        <v>9</v>
      </c>
      <c r="BB28" s="24">
        <f t="shared" si="58"/>
        <v>1</v>
      </c>
      <c r="BC28" s="24">
        <f t="shared" si="59"/>
        <v>7</v>
      </c>
      <c r="BD28" s="24">
        <f t="shared" si="60"/>
        <v>6</v>
      </c>
      <c r="BE28" s="28">
        <f t="shared" si="61"/>
        <v>3</v>
      </c>
      <c r="BF28" s="29">
        <f t="shared" ref="BF28:BO28" si="90">+(AK28+Z28+O28+D28)/4</f>
        <v>1.852941176</v>
      </c>
      <c r="BG28" s="24">
        <f t="shared" si="90"/>
        <v>10.75</v>
      </c>
      <c r="BH28" s="24">
        <f t="shared" si="90"/>
        <v>8.75</v>
      </c>
      <c r="BI28" s="24">
        <f t="shared" si="90"/>
        <v>4.5</v>
      </c>
      <c r="BJ28" s="24">
        <f t="shared" si="90"/>
        <v>13.75</v>
      </c>
      <c r="BK28" s="24">
        <f t="shared" si="90"/>
        <v>10.25</v>
      </c>
      <c r="BL28" s="24">
        <f t="shared" si="90"/>
        <v>1.75</v>
      </c>
      <c r="BM28" s="24">
        <f t="shared" si="90"/>
        <v>5</v>
      </c>
      <c r="BN28" s="24">
        <f t="shared" si="90"/>
        <v>5.75</v>
      </c>
      <c r="BO28" s="61">
        <f t="shared" si="90"/>
        <v>3</v>
      </c>
      <c r="BP28" s="30">
        <f t="shared" si="9"/>
        <v>-0.2058823529</v>
      </c>
      <c r="BQ28" s="31">
        <f t="shared" si="10"/>
        <v>0.05882352941</v>
      </c>
      <c r="BR28" s="31">
        <f t="shared" si="11"/>
        <v>0.4117647059</v>
      </c>
      <c r="BS28" s="31">
        <f t="shared" si="12"/>
        <v>0.3529411765</v>
      </c>
      <c r="BT28" s="31">
        <f t="shared" si="13"/>
        <v>0.1764705882</v>
      </c>
      <c r="BU28" s="31">
        <f t="shared" si="14"/>
        <v>0</v>
      </c>
      <c r="BV28" s="31">
        <f t="shared" si="15"/>
        <v>0.9411764706</v>
      </c>
      <c r="BW28" s="31">
        <f t="shared" ref="BW28:BX28" si="91">+BR28+BS28+BT28</f>
        <v>0.9411764706</v>
      </c>
      <c r="BX28" s="32">
        <f t="shared" si="91"/>
        <v>0.5294117647</v>
      </c>
      <c r="BY28" s="60"/>
    </row>
    <row r="29" ht="15.75" customHeight="1">
      <c r="B29" s="33">
        <v>18.0</v>
      </c>
      <c r="C29" s="2">
        <v>0.0</v>
      </c>
      <c r="D29" s="3">
        <f t="shared" si="3"/>
        <v>2</v>
      </c>
      <c r="E29" s="2">
        <f t="shared" si="17"/>
        <v>11</v>
      </c>
      <c r="F29" s="2">
        <f t="shared" si="18"/>
        <v>9</v>
      </c>
      <c r="G29" s="2">
        <f t="shared" si="19"/>
        <v>6</v>
      </c>
      <c r="H29" s="2">
        <f t="shared" si="20"/>
        <v>15</v>
      </c>
      <c r="I29" s="2">
        <f t="shared" si="21"/>
        <v>11</v>
      </c>
      <c r="J29" s="2">
        <f t="shared" si="22"/>
        <v>1</v>
      </c>
      <c r="K29" s="2">
        <f t="shared" si="23"/>
        <v>6</v>
      </c>
      <c r="L29" s="2">
        <f t="shared" si="24"/>
        <v>5</v>
      </c>
      <c r="M29" s="34">
        <f t="shared" si="25"/>
        <v>4</v>
      </c>
      <c r="N29" s="2">
        <v>2.0</v>
      </c>
      <c r="O29" s="3">
        <f t="shared" si="4"/>
        <v>1.944444444</v>
      </c>
      <c r="P29" s="2">
        <f t="shared" si="26"/>
        <v>12</v>
      </c>
      <c r="Q29" s="2">
        <f t="shared" si="27"/>
        <v>11</v>
      </c>
      <c r="R29" s="2">
        <f t="shared" si="28"/>
        <v>4</v>
      </c>
      <c r="S29" s="2">
        <f t="shared" si="29"/>
        <v>14</v>
      </c>
      <c r="T29" s="2">
        <f t="shared" si="30"/>
        <v>13</v>
      </c>
      <c r="U29" s="2">
        <f t="shared" si="31"/>
        <v>2</v>
      </c>
      <c r="V29" s="2">
        <f t="shared" si="32"/>
        <v>3</v>
      </c>
      <c r="W29" s="2">
        <f t="shared" si="33"/>
        <v>9</v>
      </c>
      <c r="X29" s="34">
        <f t="shared" si="34"/>
        <v>2</v>
      </c>
      <c r="Y29" s="2">
        <v>1.0</v>
      </c>
      <c r="Z29" s="3">
        <f t="shared" si="5"/>
        <v>1.777777778</v>
      </c>
      <c r="AA29" s="2">
        <f t="shared" si="35"/>
        <v>12</v>
      </c>
      <c r="AB29" s="2">
        <f t="shared" si="36"/>
        <v>10</v>
      </c>
      <c r="AC29" s="2">
        <f t="shared" si="37"/>
        <v>4</v>
      </c>
      <c r="AD29" s="2">
        <f t="shared" si="38"/>
        <v>15</v>
      </c>
      <c r="AE29" s="2">
        <f t="shared" si="39"/>
        <v>11</v>
      </c>
      <c r="AF29" s="2">
        <f t="shared" si="40"/>
        <v>2</v>
      </c>
      <c r="AG29" s="2">
        <f t="shared" si="41"/>
        <v>5</v>
      </c>
      <c r="AH29" s="2">
        <f t="shared" si="42"/>
        <v>7</v>
      </c>
      <c r="AI29" s="34">
        <f t="shared" si="43"/>
        <v>3</v>
      </c>
      <c r="AJ29" s="2">
        <v>1.0</v>
      </c>
      <c r="AK29" s="3">
        <f t="shared" si="6"/>
        <v>1.5</v>
      </c>
      <c r="AL29" s="2">
        <f t="shared" si="44"/>
        <v>11</v>
      </c>
      <c r="AM29" s="2">
        <f t="shared" si="45"/>
        <v>6</v>
      </c>
      <c r="AN29" s="2">
        <f t="shared" si="46"/>
        <v>4</v>
      </c>
      <c r="AO29" s="2">
        <f t="shared" si="47"/>
        <v>14</v>
      </c>
      <c r="AP29" s="2">
        <f t="shared" si="48"/>
        <v>7</v>
      </c>
      <c r="AQ29" s="2">
        <f t="shared" si="49"/>
        <v>3</v>
      </c>
      <c r="AR29" s="2">
        <f t="shared" si="50"/>
        <v>8</v>
      </c>
      <c r="AS29" s="2">
        <f t="shared" si="51"/>
        <v>3</v>
      </c>
      <c r="AT29" s="34">
        <f t="shared" si="52"/>
        <v>3</v>
      </c>
      <c r="AU29" s="2"/>
      <c r="AV29" s="3">
        <f t="shared" si="7"/>
        <v>1.647058824</v>
      </c>
      <c r="AW29" s="2">
        <f t="shared" si="53"/>
        <v>13</v>
      </c>
      <c r="AX29" s="2">
        <f t="shared" si="54"/>
        <v>9</v>
      </c>
      <c r="AY29" s="2">
        <f t="shared" si="55"/>
        <v>3</v>
      </c>
      <c r="AZ29" s="2">
        <f t="shared" si="56"/>
        <v>16</v>
      </c>
      <c r="BA29" s="2">
        <f t="shared" si="57"/>
        <v>9</v>
      </c>
      <c r="BB29" s="2">
        <f t="shared" si="58"/>
        <v>2</v>
      </c>
      <c r="BC29" s="2">
        <f t="shared" si="59"/>
        <v>7</v>
      </c>
      <c r="BD29" s="2">
        <f t="shared" si="60"/>
        <v>6</v>
      </c>
      <c r="BE29" s="34">
        <f t="shared" si="61"/>
        <v>3</v>
      </c>
      <c r="BF29" s="36">
        <f t="shared" ref="BF29:BO29" si="92">+(AK29+Z29+O29+D29)/4</f>
        <v>1.805555556</v>
      </c>
      <c r="BG29" s="2">
        <f t="shared" si="92"/>
        <v>11.5</v>
      </c>
      <c r="BH29" s="2">
        <f t="shared" si="92"/>
        <v>9</v>
      </c>
      <c r="BI29" s="2">
        <f t="shared" si="92"/>
        <v>4.5</v>
      </c>
      <c r="BJ29" s="2">
        <f t="shared" si="92"/>
        <v>14.5</v>
      </c>
      <c r="BK29" s="2">
        <f t="shared" si="92"/>
        <v>10.5</v>
      </c>
      <c r="BL29" s="2">
        <f t="shared" si="92"/>
        <v>2</v>
      </c>
      <c r="BM29" s="2">
        <f t="shared" si="92"/>
        <v>5.5</v>
      </c>
      <c r="BN29" s="2">
        <f t="shared" si="92"/>
        <v>6</v>
      </c>
      <c r="BO29" s="62">
        <f t="shared" si="92"/>
        <v>3</v>
      </c>
      <c r="BP29" s="37">
        <f t="shared" si="9"/>
        <v>-0.158496732</v>
      </c>
      <c r="BQ29" s="38">
        <f t="shared" si="10"/>
        <v>0.05555555556</v>
      </c>
      <c r="BR29" s="38">
        <f t="shared" si="11"/>
        <v>0.3888888889</v>
      </c>
      <c r="BS29" s="38">
        <f t="shared" si="12"/>
        <v>0.3333333333</v>
      </c>
      <c r="BT29" s="38">
        <f t="shared" si="13"/>
        <v>0.1666666667</v>
      </c>
      <c r="BU29" s="38">
        <f t="shared" si="14"/>
        <v>0</v>
      </c>
      <c r="BV29" s="38">
        <f t="shared" si="15"/>
        <v>0.9444444444</v>
      </c>
      <c r="BW29" s="38">
        <f t="shared" ref="BW29:BX29" si="93">+BR29+BS29+BT29</f>
        <v>0.8888888889</v>
      </c>
      <c r="BX29" s="39">
        <f t="shared" si="93"/>
        <v>0.5</v>
      </c>
    </row>
    <row r="30" ht="15.75" customHeight="1">
      <c r="A30" s="60"/>
      <c r="B30" s="40">
        <v>19.0</v>
      </c>
      <c r="C30" s="24">
        <v>4.0</v>
      </c>
      <c r="D30" s="27">
        <f t="shared" si="3"/>
        <v>2.105263158</v>
      </c>
      <c r="E30" s="24">
        <f t="shared" si="17"/>
        <v>11</v>
      </c>
      <c r="F30" s="2">
        <f t="shared" si="18"/>
        <v>9</v>
      </c>
      <c r="G30" s="24">
        <f t="shared" si="19"/>
        <v>7</v>
      </c>
      <c r="H30" s="24">
        <f t="shared" si="20"/>
        <v>15</v>
      </c>
      <c r="I30" s="24">
        <f t="shared" si="21"/>
        <v>12</v>
      </c>
      <c r="J30" s="24">
        <f t="shared" si="22"/>
        <v>1</v>
      </c>
      <c r="K30" s="24">
        <f t="shared" si="23"/>
        <v>6</v>
      </c>
      <c r="L30" s="24">
        <f t="shared" si="24"/>
        <v>5</v>
      </c>
      <c r="M30" s="28">
        <f t="shared" si="25"/>
        <v>4</v>
      </c>
      <c r="N30" s="24">
        <v>4.0</v>
      </c>
      <c r="O30" s="27">
        <f t="shared" si="4"/>
        <v>2.052631579</v>
      </c>
      <c r="P30" s="24">
        <f t="shared" si="26"/>
        <v>12</v>
      </c>
      <c r="Q30" s="2">
        <f t="shared" si="27"/>
        <v>11</v>
      </c>
      <c r="R30" s="24">
        <f t="shared" si="28"/>
        <v>5</v>
      </c>
      <c r="S30" s="24">
        <f t="shared" si="29"/>
        <v>14</v>
      </c>
      <c r="T30" s="24">
        <f t="shared" si="30"/>
        <v>14</v>
      </c>
      <c r="U30" s="24">
        <f t="shared" si="31"/>
        <v>2</v>
      </c>
      <c r="V30" s="24">
        <f t="shared" si="32"/>
        <v>3</v>
      </c>
      <c r="W30" s="24">
        <f t="shared" si="33"/>
        <v>9</v>
      </c>
      <c r="X30" s="28">
        <f t="shared" si="34"/>
        <v>2</v>
      </c>
      <c r="Y30" s="24">
        <v>3.0</v>
      </c>
      <c r="Z30" s="27">
        <f t="shared" si="5"/>
        <v>1.842105263</v>
      </c>
      <c r="AA30" s="24">
        <f t="shared" si="35"/>
        <v>12</v>
      </c>
      <c r="AB30" s="2">
        <f t="shared" si="36"/>
        <v>11</v>
      </c>
      <c r="AC30" s="24">
        <f t="shared" si="37"/>
        <v>5</v>
      </c>
      <c r="AD30" s="24">
        <f t="shared" si="38"/>
        <v>16</v>
      </c>
      <c r="AE30" s="24">
        <f t="shared" si="39"/>
        <v>12</v>
      </c>
      <c r="AF30" s="24">
        <f t="shared" si="40"/>
        <v>2</v>
      </c>
      <c r="AG30" s="24">
        <f t="shared" si="41"/>
        <v>5</v>
      </c>
      <c r="AH30" s="24">
        <f t="shared" si="42"/>
        <v>7</v>
      </c>
      <c r="AI30" s="28">
        <f t="shared" si="43"/>
        <v>4</v>
      </c>
      <c r="AJ30" s="24">
        <v>2.0</v>
      </c>
      <c r="AK30" s="27">
        <f t="shared" si="6"/>
        <v>1.526315789</v>
      </c>
      <c r="AL30" s="24">
        <f t="shared" si="44"/>
        <v>12</v>
      </c>
      <c r="AM30" s="2">
        <f t="shared" si="45"/>
        <v>7</v>
      </c>
      <c r="AN30" s="24">
        <f t="shared" si="46"/>
        <v>4</v>
      </c>
      <c r="AO30" s="24">
        <f t="shared" si="47"/>
        <v>15</v>
      </c>
      <c r="AP30" s="24">
        <f t="shared" si="48"/>
        <v>8</v>
      </c>
      <c r="AQ30" s="24">
        <f t="shared" si="49"/>
        <v>3</v>
      </c>
      <c r="AR30" s="24">
        <f t="shared" si="50"/>
        <v>8</v>
      </c>
      <c r="AS30" s="24">
        <f t="shared" si="51"/>
        <v>4</v>
      </c>
      <c r="AT30" s="28">
        <f t="shared" si="52"/>
        <v>3</v>
      </c>
      <c r="AU30" s="24"/>
      <c r="AV30" s="27">
        <f t="shared" si="7"/>
        <v>1.647058824</v>
      </c>
      <c r="AW30" s="24">
        <f t="shared" si="53"/>
        <v>13</v>
      </c>
      <c r="AX30" s="2">
        <f t="shared" si="54"/>
        <v>9</v>
      </c>
      <c r="AY30" s="24">
        <f t="shared" si="55"/>
        <v>3</v>
      </c>
      <c r="AZ30" s="24">
        <f t="shared" si="56"/>
        <v>16</v>
      </c>
      <c r="BA30" s="24">
        <f t="shared" si="57"/>
        <v>9</v>
      </c>
      <c r="BB30" s="24">
        <f t="shared" si="58"/>
        <v>3</v>
      </c>
      <c r="BC30" s="24">
        <f t="shared" si="59"/>
        <v>7</v>
      </c>
      <c r="BD30" s="24">
        <f t="shared" si="60"/>
        <v>6</v>
      </c>
      <c r="BE30" s="28">
        <f t="shared" si="61"/>
        <v>3</v>
      </c>
      <c r="BF30" s="29">
        <f t="shared" ref="BF30:BO30" si="94">+(AK30+Z30+O30+D30)/4</f>
        <v>1.881578947</v>
      </c>
      <c r="BG30" s="24">
        <f t="shared" si="94"/>
        <v>11.75</v>
      </c>
      <c r="BH30" s="24">
        <f t="shared" si="94"/>
        <v>9.5</v>
      </c>
      <c r="BI30" s="24">
        <f t="shared" si="94"/>
        <v>5.25</v>
      </c>
      <c r="BJ30" s="24">
        <f t="shared" si="94"/>
        <v>15</v>
      </c>
      <c r="BK30" s="24">
        <f t="shared" si="94"/>
        <v>11.5</v>
      </c>
      <c r="BL30" s="24">
        <f t="shared" si="94"/>
        <v>2</v>
      </c>
      <c r="BM30" s="24">
        <f t="shared" si="94"/>
        <v>5.5</v>
      </c>
      <c r="BN30" s="24">
        <f t="shared" si="94"/>
        <v>6.25</v>
      </c>
      <c r="BO30" s="61">
        <f t="shared" si="94"/>
        <v>3.25</v>
      </c>
      <c r="BP30" s="30">
        <f t="shared" si="9"/>
        <v>-0.2345201238</v>
      </c>
      <c r="BQ30" s="31">
        <f t="shared" si="10"/>
        <v>0.05263157895</v>
      </c>
      <c r="BR30" s="31">
        <f t="shared" si="11"/>
        <v>0.3684210526</v>
      </c>
      <c r="BS30" s="31">
        <f t="shared" si="12"/>
        <v>0.3157894737</v>
      </c>
      <c r="BT30" s="31">
        <f t="shared" si="13"/>
        <v>0.1578947368</v>
      </c>
      <c r="BU30" s="31">
        <f t="shared" si="14"/>
        <v>0</v>
      </c>
      <c r="BV30" s="31">
        <f t="shared" si="15"/>
        <v>0.9473684211</v>
      </c>
      <c r="BW30" s="31">
        <f t="shared" ref="BW30:BX30" si="95">+BR30+BS30+BT30</f>
        <v>0.8421052632</v>
      </c>
      <c r="BX30" s="32">
        <f t="shared" si="95"/>
        <v>0.4736842105</v>
      </c>
      <c r="BY30" s="60"/>
    </row>
    <row r="31" ht="15.75" customHeight="1">
      <c r="B31" s="33">
        <v>20.0</v>
      </c>
      <c r="C31" s="2">
        <v>3.0</v>
      </c>
      <c r="D31" s="3">
        <f t="shared" si="3"/>
        <v>2.15</v>
      </c>
      <c r="E31" s="2">
        <f t="shared" si="17"/>
        <v>11</v>
      </c>
      <c r="F31" s="2">
        <f t="shared" si="18"/>
        <v>10</v>
      </c>
      <c r="G31" s="2">
        <f t="shared" si="19"/>
        <v>8</v>
      </c>
      <c r="H31" s="2">
        <f t="shared" si="20"/>
        <v>16</v>
      </c>
      <c r="I31" s="2">
        <f t="shared" si="21"/>
        <v>13</v>
      </c>
      <c r="J31" s="2">
        <f t="shared" si="22"/>
        <v>1</v>
      </c>
      <c r="K31" s="2">
        <f t="shared" si="23"/>
        <v>6</v>
      </c>
      <c r="L31" s="2">
        <f t="shared" si="24"/>
        <v>5</v>
      </c>
      <c r="M31" s="34">
        <f t="shared" si="25"/>
        <v>5</v>
      </c>
      <c r="N31" s="2">
        <v>5.0</v>
      </c>
      <c r="O31" s="3">
        <f t="shared" si="4"/>
        <v>2.2</v>
      </c>
      <c r="P31" s="2">
        <f t="shared" si="26"/>
        <v>12</v>
      </c>
      <c r="Q31" s="2">
        <f t="shared" si="27"/>
        <v>11</v>
      </c>
      <c r="R31" s="2">
        <f t="shared" si="28"/>
        <v>5</v>
      </c>
      <c r="S31" s="2">
        <f t="shared" si="29"/>
        <v>14</v>
      </c>
      <c r="T31" s="2">
        <f t="shared" si="30"/>
        <v>14</v>
      </c>
      <c r="U31" s="2">
        <f t="shared" si="31"/>
        <v>2</v>
      </c>
      <c r="V31" s="2">
        <f t="shared" si="32"/>
        <v>3</v>
      </c>
      <c r="W31" s="2">
        <f t="shared" si="33"/>
        <v>9</v>
      </c>
      <c r="X31" s="34">
        <f t="shared" si="34"/>
        <v>2</v>
      </c>
      <c r="Y31" s="2">
        <v>3.0</v>
      </c>
      <c r="Z31" s="3">
        <f t="shared" si="5"/>
        <v>1.9</v>
      </c>
      <c r="AA31" s="2">
        <f t="shared" si="35"/>
        <v>12</v>
      </c>
      <c r="AB31" s="2">
        <f t="shared" si="36"/>
        <v>12</v>
      </c>
      <c r="AC31" s="2">
        <f t="shared" si="37"/>
        <v>6</v>
      </c>
      <c r="AD31" s="2">
        <f t="shared" si="38"/>
        <v>17</v>
      </c>
      <c r="AE31" s="2">
        <f t="shared" si="39"/>
        <v>13</v>
      </c>
      <c r="AF31" s="2">
        <f t="shared" si="40"/>
        <v>2</v>
      </c>
      <c r="AG31" s="2">
        <f t="shared" si="41"/>
        <v>5</v>
      </c>
      <c r="AH31" s="2">
        <f t="shared" si="42"/>
        <v>7</v>
      </c>
      <c r="AI31" s="34">
        <f t="shared" si="43"/>
        <v>5</v>
      </c>
      <c r="AJ31" s="2">
        <v>0.0</v>
      </c>
      <c r="AK31" s="3">
        <f t="shared" si="6"/>
        <v>1.45</v>
      </c>
      <c r="AL31" s="2">
        <f t="shared" si="44"/>
        <v>12</v>
      </c>
      <c r="AM31" s="2">
        <f t="shared" si="45"/>
        <v>7</v>
      </c>
      <c r="AN31" s="2">
        <f t="shared" si="46"/>
        <v>4</v>
      </c>
      <c r="AO31" s="2">
        <f t="shared" si="47"/>
        <v>15</v>
      </c>
      <c r="AP31" s="2">
        <f t="shared" si="48"/>
        <v>8</v>
      </c>
      <c r="AQ31" s="2">
        <f t="shared" si="49"/>
        <v>4</v>
      </c>
      <c r="AR31" s="2">
        <f t="shared" si="50"/>
        <v>8</v>
      </c>
      <c r="AS31" s="2">
        <f t="shared" si="51"/>
        <v>4</v>
      </c>
      <c r="AT31" s="34">
        <f t="shared" si="52"/>
        <v>3</v>
      </c>
      <c r="AU31" s="2"/>
      <c r="AV31" s="3">
        <f t="shared" si="7"/>
        <v>1.647058824</v>
      </c>
      <c r="AW31" s="2">
        <f t="shared" si="53"/>
        <v>13</v>
      </c>
      <c r="AX31" s="2">
        <f t="shared" si="54"/>
        <v>9</v>
      </c>
      <c r="AY31" s="2">
        <f t="shared" si="55"/>
        <v>3</v>
      </c>
      <c r="AZ31" s="2">
        <f t="shared" si="56"/>
        <v>16</v>
      </c>
      <c r="BA31" s="2">
        <f t="shared" si="57"/>
        <v>9</v>
      </c>
      <c r="BB31" s="2">
        <f t="shared" si="58"/>
        <v>4</v>
      </c>
      <c r="BC31" s="2">
        <f t="shared" si="59"/>
        <v>7</v>
      </c>
      <c r="BD31" s="2">
        <f t="shared" si="60"/>
        <v>6</v>
      </c>
      <c r="BE31" s="34">
        <f t="shared" si="61"/>
        <v>3</v>
      </c>
      <c r="BF31" s="36">
        <f t="shared" ref="BF31:BO31" si="96">+(AK31+Z31+O31+D31)/4</f>
        <v>1.925</v>
      </c>
      <c r="BG31" s="2">
        <f t="shared" si="96"/>
        <v>11.75</v>
      </c>
      <c r="BH31" s="2">
        <f t="shared" si="96"/>
        <v>10</v>
      </c>
      <c r="BI31" s="2">
        <f t="shared" si="96"/>
        <v>5.75</v>
      </c>
      <c r="BJ31" s="2">
        <f t="shared" si="96"/>
        <v>15.5</v>
      </c>
      <c r="BK31" s="2">
        <f t="shared" si="96"/>
        <v>12</v>
      </c>
      <c r="BL31" s="2">
        <f t="shared" si="96"/>
        <v>2.25</v>
      </c>
      <c r="BM31" s="2">
        <f t="shared" si="96"/>
        <v>5.5</v>
      </c>
      <c r="BN31" s="2">
        <f t="shared" si="96"/>
        <v>6.25</v>
      </c>
      <c r="BO31" s="62">
        <f t="shared" si="96"/>
        <v>3.75</v>
      </c>
      <c r="BP31" s="37">
        <f t="shared" si="9"/>
        <v>-0.2779411765</v>
      </c>
      <c r="BQ31" s="38">
        <f t="shared" si="10"/>
        <v>0.05</v>
      </c>
      <c r="BR31" s="38">
        <f t="shared" si="11"/>
        <v>0.35</v>
      </c>
      <c r="BS31" s="38">
        <f t="shared" si="12"/>
        <v>0.3</v>
      </c>
      <c r="BT31" s="38">
        <f t="shared" si="13"/>
        <v>0.15</v>
      </c>
      <c r="BU31" s="38">
        <f t="shared" si="14"/>
        <v>0</v>
      </c>
      <c r="BV31" s="38">
        <f t="shared" si="15"/>
        <v>0.95</v>
      </c>
      <c r="BW31" s="38">
        <f t="shared" ref="BW31:BX31" si="97">+BR31+BS31+BT31</f>
        <v>0.8</v>
      </c>
      <c r="BX31" s="39">
        <f t="shared" si="97"/>
        <v>0.45</v>
      </c>
    </row>
    <row r="32" ht="15.75" customHeight="1">
      <c r="A32" s="60"/>
      <c r="B32" s="40">
        <v>21.0</v>
      </c>
      <c r="C32" s="24">
        <v>3.0</v>
      </c>
      <c r="D32" s="27">
        <f t="shared" si="3"/>
        <v>2.19047619</v>
      </c>
      <c r="E32" s="24">
        <f t="shared" si="17"/>
        <v>11</v>
      </c>
      <c r="F32" s="2">
        <f t="shared" si="18"/>
        <v>11</v>
      </c>
      <c r="G32" s="24">
        <f t="shared" si="19"/>
        <v>9</v>
      </c>
      <c r="H32" s="24">
        <f t="shared" si="20"/>
        <v>17</v>
      </c>
      <c r="I32" s="24">
        <f t="shared" si="21"/>
        <v>14</v>
      </c>
      <c r="J32" s="24">
        <f t="shared" si="22"/>
        <v>1</v>
      </c>
      <c r="K32" s="24">
        <f t="shared" si="23"/>
        <v>6</v>
      </c>
      <c r="L32" s="24">
        <f t="shared" si="24"/>
        <v>5</v>
      </c>
      <c r="M32" s="28">
        <f t="shared" si="25"/>
        <v>6</v>
      </c>
      <c r="N32" s="24">
        <v>0.0</v>
      </c>
      <c r="O32" s="27">
        <f t="shared" si="4"/>
        <v>2.095238095</v>
      </c>
      <c r="P32" s="24">
        <f t="shared" si="26"/>
        <v>12</v>
      </c>
      <c r="Q32" s="2">
        <f t="shared" si="27"/>
        <v>11</v>
      </c>
      <c r="R32" s="24">
        <f t="shared" si="28"/>
        <v>5</v>
      </c>
      <c r="S32" s="24">
        <f t="shared" si="29"/>
        <v>14</v>
      </c>
      <c r="T32" s="24">
        <f t="shared" si="30"/>
        <v>14</v>
      </c>
      <c r="U32" s="24">
        <f t="shared" si="31"/>
        <v>3</v>
      </c>
      <c r="V32" s="24">
        <f t="shared" si="32"/>
        <v>3</v>
      </c>
      <c r="W32" s="24">
        <f t="shared" si="33"/>
        <v>9</v>
      </c>
      <c r="X32" s="28">
        <f t="shared" si="34"/>
        <v>2</v>
      </c>
      <c r="Y32" s="24">
        <v>3.0</v>
      </c>
      <c r="Z32" s="27">
        <f t="shared" si="5"/>
        <v>1.952380952</v>
      </c>
      <c r="AA32" s="24">
        <f t="shared" si="35"/>
        <v>12</v>
      </c>
      <c r="AB32" s="2">
        <f t="shared" si="36"/>
        <v>13</v>
      </c>
      <c r="AC32" s="24">
        <f t="shared" si="37"/>
        <v>7</v>
      </c>
      <c r="AD32" s="24">
        <f t="shared" si="38"/>
        <v>18</v>
      </c>
      <c r="AE32" s="24">
        <f t="shared" si="39"/>
        <v>14</v>
      </c>
      <c r="AF32" s="24">
        <f t="shared" si="40"/>
        <v>2</v>
      </c>
      <c r="AG32" s="24">
        <f t="shared" si="41"/>
        <v>5</v>
      </c>
      <c r="AH32" s="24">
        <f t="shared" si="42"/>
        <v>7</v>
      </c>
      <c r="AI32" s="28">
        <f t="shared" si="43"/>
        <v>6</v>
      </c>
      <c r="AJ32" s="24">
        <v>3.0</v>
      </c>
      <c r="AK32" s="27">
        <f t="shared" si="6"/>
        <v>1.523809524</v>
      </c>
      <c r="AL32" s="24">
        <f t="shared" si="44"/>
        <v>12</v>
      </c>
      <c r="AM32" s="2">
        <f t="shared" si="45"/>
        <v>8</v>
      </c>
      <c r="AN32" s="24">
        <f t="shared" si="46"/>
        <v>5</v>
      </c>
      <c r="AO32" s="24">
        <f t="shared" si="47"/>
        <v>16</v>
      </c>
      <c r="AP32" s="24">
        <f t="shared" si="48"/>
        <v>9</v>
      </c>
      <c r="AQ32" s="24">
        <f t="shared" si="49"/>
        <v>4</v>
      </c>
      <c r="AR32" s="24">
        <f t="shared" si="50"/>
        <v>8</v>
      </c>
      <c r="AS32" s="24">
        <f t="shared" si="51"/>
        <v>4</v>
      </c>
      <c r="AT32" s="28">
        <f t="shared" si="52"/>
        <v>4</v>
      </c>
      <c r="AU32" s="24"/>
      <c r="AV32" s="27">
        <f t="shared" si="7"/>
        <v>1.647058824</v>
      </c>
      <c r="AW32" s="24">
        <f t="shared" si="53"/>
        <v>13</v>
      </c>
      <c r="AX32" s="2">
        <f t="shared" si="54"/>
        <v>9</v>
      </c>
      <c r="AY32" s="24">
        <f t="shared" si="55"/>
        <v>3</v>
      </c>
      <c r="AZ32" s="24">
        <f t="shared" si="56"/>
        <v>16</v>
      </c>
      <c r="BA32" s="24">
        <f t="shared" si="57"/>
        <v>9</v>
      </c>
      <c r="BB32" s="24">
        <f t="shared" si="58"/>
        <v>5</v>
      </c>
      <c r="BC32" s="24">
        <f t="shared" si="59"/>
        <v>7</v>
      </c>
      <c r="BD32" s="24">
        <f t="shared" si="60"/>
        <v>6</v>
      </c>
      <c r="BE32" s="28">
        <f t="shared" si="61"/>
        <v>3</v>
      </c>
      <c r="BF32" s="29">
        <f t="shared" ref="BF32:BO32" si="98">+(AK32+Z32+O32+D32)/4</f>
        <v>1.94047619</v>
      </c>
      <c r="BG32" s="24">
        <f t="shared" si="98"/>
        <v>11.75</v>
      </c>
      <c r="BH32" s="24">
        <f t="shared" si="98"/>
        <v>10.75</v>
      </c>
      <c r="BI32" s="24">
        <f t="shared" si="98"/>
        <v>6.5</v>
      </c>
      <c r="BJ32" s="24">
        <f t="shared" si="98"/>
        <v>16.25</v>
      </c>
      <c r="BK32" s="24">
        <f t="shared" si="98"/>
        <v>12.75</v>
      </c>
      <c r="BL32" s="24">
        <f t="shared" si="98"/>
        <v>2.5</v>
      </c>
      <c r="BM32" s="24">
        <f t="shared" si="98"/>
        <v>5.5</v>
      </c>
      <c r="BN32" s="24">
        <f t="shared" si="98"/>
        <v>6.25</v>
      </c>
      <c r="BO32" s="61">
        <f t="shared" si="98"/>
        <v>4.5</v>
      </c>
      <c r="BP32" s="30">
        <f t="shared" si="9"/>
        <v>-0.2934173669</v>
      </c>
      <c r="BQ32" s="31">
        <f t="shared" si="10"/>
        <v>0.04761904762</v>
      </c>
      <c r="BR32" s="31">
        <f t="shared" si="11"/>
        <v>0.3333333333</v>
      </c>
      <c r="BS32" s="31">
        <f t="shared" si="12"/>
        <v>0.2857142857</v>
      </c>
      <c r="BT32" s="31">
        <f t="shared" si="13"/>
        <v>0.1428571429</v>
      </c>
      <c r="BU32" s="31">
        <f t="shared" si="14"/>
        <v>0</v>
      </c>
      <c r="BV32" s="31">
        <f t="shared" si="15"/>
        <v>0.9523809524</v>
      </c>
      <c r="BW32" s="31">
        <f t="shared" ref="BW32:BX32" si="99">+BR32+BS32+BT32</f>
        <v>0.7619047619</v>
      </c>
      <c r="BX32" s="32">
        <f t="shared" si="99"/>
        <v>0.4285714286</v>
      </c>
      <c r="BY32" s="60"/>
    </row>
    <row r="33" ht="15.75" customHeight="1">
      <c r="B33" s="33">
        <v>22.0</v>
      </c>
      <c r="C33" s="2">
        <v>1.0</v>
      </c>
      <c r="D33" s="3">
        <f t="shared" si="3"/>
        <v>2.136363636</v>
      </c>
      <c r="E33" s="2">
        <f t="shared" si="17"/>
        <v>12</v>
      </c>
      <c r="F33" s="2">
        <f t="shared" si="18"/>
        <v>11</v>
      </c>
      <c r="G33" s="2">
        <f t="shared" si="19"/>
        <v>9</v>
      </c>
      <c r="H33" s="2">
        <f t="shared" si="20"/>
        <v>18</v>
      </c>
      <c r="I33" s="2">
        <f t="shared" si="21"/>
        <v>14</v>
      </c>
      <c r="J33" s="2">
        <f t="shared" si="22"/>
        <v>1</v>
      </c>
      <c r="K33" s="2">
        <f t="shared" si="23"/>
        <v>7</v>
      </c>
      <c r="L33" s="2">
        <f t="shared" si="24"/>
        <v>5</v>
      </c>
      <c r="M33" s="34">
        <f t="shared" si="25"/>
        <v>6</v>
      </c>
      <c r="N33" s="2">
        <v>1.0</v>
      </c>
      <c r="O33" s="3">
        <f t="shared" si="4"/>
        <v>2.045454545</v>
      </c>
      <c r="P33" s="2">
        <f t="shared" si="26"/>
        <v>13</v>
      </c>
      <c r="Q33" s="2">
        <f t="shared" si="27"/>
        <v>11</v>
      </c>
      <c r="R33" s="2">
        <f t="shared" si="28"/>
        <v>5</v>
      </c>
      <c r="S33" s="2">
        <f t="shared" si="29"/>
        <v>15</v>
      </c>
      <c r="T33" s="2">
        <f t="shared" si="30"/>
        <v>14</v>
      </c>
      <c r="U33" s="2">
        <f t="shared" si="31"/>
        <v>3</v>
      </c>
      <c r="V33" s="2">
        <f t="shared" si="32"/>
        <v>4</v>
      </c>
      <c r="W33" s="2">
        <f t="shared" si="33"/>
        <v>9</v>
      </c>
      <c r="X33" s="34">
        <f t="shared" si="34"/>
        <v>2</v>
      </c>
      <c r="Y33" s="2">
        <v>2.0</v>
      </c>
      <c r="Z33" s="3">
        <f t="shared" si="5"/>
        <v>1.954545455</v>
      </c>
      <c r="AA33" s="2">
        <f t="shared" si="35"/>
        <v>13</v>
      </c>
      <c r="AB33" s="2">
        <f t="shared" si="36"/>
        <v>14</v>
      </c>
      <c r="AC33" s="2">
        <f t="shared" si="37"/>
        <v>7</v>
      </c>
      <c r="AD33" s="2">
        <f t="shared" si="38"/>
        <v>19</v>
      </c>
      <c r="AE33" s="2">
        <f t="shared" si="39"/>
        <v>15</v>
      </c>
      <c r="AF33" s="2">
        <f t="shared" si="40"/>
        <v>2</v>
      </c>
      <c r="AG33" s="2">
        <f t="shared" si="41"/>
        <v>5</v>
      </c>
      <c r="AH33" s="2">
        <f t="shared" si="42"/>
        <v>8</v>
      </c>
      <c r="AI33" s="34">
        <f t="shared" si="43"/>
        <v>6</v>
      </c>
      <c r="AJ33" s="2">
        <v>1.0</v>
      </c>
      <c r="AK33" s="3">
        <f t="shared" si="6"/>
        <v>1.5</v>
      </c>
      <c r="AL33" s="2">
        <f t="shared" si="44"/>
        <v>13</v>
      </c>
      <c r="AM33" s="2">
        <f t="shared" si="45"/>
        <v>8</v>
      </c>
      <c r="AN33" s="2">
        <f t="shared" si="46"/>
        <v>5</v>
      </c>
      <c r="AO33" s="2">
        <f t="shared" si="47"/>
        <v>17</v>
      </c>
      <c r="AP33" s="2">
        <f t="shared" si="48"/>
        <v>9</v>
      </c>
      <c r="AQ33" s="2">
        <f t="shared" si="49"/>
        <v>4</v>
      </c>
      <c r="AR33" s="2">
        <f t="shared" si="50"/>
        <v>9</v>
      </c>
      <c r="AS33" s="2">
        <f t="shared" si="51"/>
        <v>4</v>
      </c>
      <c r="AT33" s="34">
        <f t="shared" si="52"/>
        <v>4</v>
      </c>
      <c r="AU33" s="2"/>
      <c r="AV33" s="3">
        <f t="shared" si="7"/>
        <v>1.647058824</v>
      </c>
      <c r="AW33" s="2">
        <f t="shared" si="53"/>
        <v>13</v>
      </c>
      <c r="AX33" s="2">
        <f t="shared" si="54"/>
        <v>9</v>
      </c>
      <c r="AY33" s="2">
        <f t="shared" si="55"/>
        <v>3</v>
      </c>
      <c r="AZ33" s="2">
        <f t="shared" si="56"/>
        <v>16</v>
      </c>
      <c r="BA33" s="2">
        <f t="shared" si="57"/>
        <v>9</v>
      </c>
      <c r="BB33" s="2">
        <f t="shared" si="58"/>
        <v>6</v>
      </c>
      <c r="BC33" s="2">
        <f t="shared" si="59"/>
        <v>7</v>
      </c>
      <c r="BD33" s="2">
        <f t="shared" si="60"/>
        <v>6</v>
      </c>
      <c r="BE33" s="34">
        <f t="shared" si="61"/>
        <v>3</v>
      </c>
      <c r="BF33" s="36">
        <f t="shared" ref="BF33:BO33" si="100">+(AK33+Z33+O33+D33)/4</f>
        <v>1.909090909</v>
      </c>
      <c r="BG33" s="2">
        <f t="shared" si="100"/>
        <v>12.75</v>
      </c>
      <c r="BH33" s="2">
        <f t="shared" si="100"/>
        <v>11</v>
      </c>
      <c r="BI33" s="2">
        <f t="shared" si="100"/>
        <v>6.5</v>
      </c>
      <c r="BJ33" s="2">
        <f t="shared" si="100"/>
        <v>17.25</v>
      </c>
      <c r="BK33" s="2">
        <f t="shared" si="100"/>
        <v>13</v>
      </c>
      <c r="BL33" s="2">
        <f t="shared" si="100"/>
        <v>2.5</v>
      </c>
      <c r="BM33" s="2">
        <f t="shared" si="100"/>
        <v>6.25</v>
      </c>
      <c r="BN33" s="2">
        <f t="shared" si="100"/>
        <v>6.5</v>
      </c>
      <c r="BO33" s="62">
        <f t="shared" si="100"/>
        <v>4.5</v>
      </c>
      <c r="BP33" s="37">
        <f t="shared" si="9"/>
        <v>-0.2620320856</v>
      </c>
      <c r="BQ33" s="38">
        <f t="shared" si="10"/>
        <v>0.04545454545</v>
      </c>
      <c r="BR33" s="38">
        <f t="shared" si="11"/>
        <v>0.3181818182</v>
      </c>
      <c r="BS33" s="38">
        <f t="shared" si="12"/>
        <v>0.2727272727</v>
      </c>
      <c r="BT33" s="38">
        <f t="shared" si="13"/>
        <v>0.1363636364</v>
      </c>
      <c r="BU33" s="38">
        <f t="shared" si="14"/>
        <v>0</v>
      </c>
      <c r="BV33" s="38">
        <f t="shared" si="15"/>
        <v>0.9545454545</v>
      </c>
      <c r="BW33" s="38">
        <f t="shared" ref="BW33:BX33" si="101">+BR33+BS33+BT33</f>
        <v>0.7272727273</v>
      </c>
      <c r="BX33" s="39">
        <f t="shared" si="101"/>
        <v>0.4090909091</v>
      </c>
    </row>
    <row r="34" ht="15.75" customHeight="1">
      <c r="A34" s="60"/>
      <c r="B34" s="40">
        <v>23.0</v>
      </c>
      <c r="C34" s="24">
        <v>0.0</v>
      </c>
      <c r="D34" s="27">
        <f t="shared" si="3"/>
        <v>2.043478261</v>
      </c>
      <c r="E34" s="24">
        <f t="shared" si="17"/>
        <v>12</v>
      </c>
      <c r="F34" s="2">
        <f t="shared" si="18"/>
        <v>11</v>
      </c>
      <c r="G34" s="24">
        <f t="shared" si="19"/>
        <v>9</v>
      </c>
      <c r="H34" s="24">
        <f t="shared" si="20"/>
        <v>18</v>
      </c>
      <c r="I34" s="24">
        <f t="shared" si="21"/>
        <v>14</v>
      </c>
      <c r="J34" s="24">
        <f t="shared" si="22"/>
        <v>2</v>
      </c>
      <c r="K34" s="24">
        <f t="shared" si="23"/>
        <v>7</v>
      </c>
      <c r="L34" s="24">
        <f t="shared" si="24"/>
        <v>5</v>
      </c>
      <c r="M34" s="28">
        <f t="shared" si="25"/>
        <v>6</v>
      </c>
      <c r="N34" s="24">
        <v>1.0</v>
      </c>
      <c r="O34" s="27">
        <f t="shared" si="4"/>
        <v>2</v>
      </c>
      <c r="P34" s="24">
        <f t="shared" si="26"/>
        <v>14</v>
      </c>
      <c r="Q34" s="2">
        <f t="shared" si="27"/>
        <v>11</v>
      </c>
      <c r="R34" s="24">
        <f t="shared" si="28"/>
        <v>5</v>
      </c>
      <c r="S34" s="24">
        <f t="shared" si="29"/>
        <v>16</v>
      </c>
      <c r="T34" s="24">
        <f t="shared" si="30"/>
        <v>14</v>
      </c>
      <c r="U34" s="24">
        <f t="shared" si="31"/>
        <v>3</v>
      </c>
      <c r="V34" s="24">
        <f t="shared" si="32"/>
        <v>5</v>
      </c>
      <c r="W34" s="24">
        <f t="shared" si="33"/>
        <v>9</v>
      </c>
      <c r="X34" s="28">
        <f t="shared" si="34"/>
        <v>2</v>
      </c>
      <c r="Y34" s="24">
        <v>3.0</v>
      </c>
      <c r="Z34" s="27">
        <f t="shared" si="5"/>
        <v>2</v>
      </c>
      <c r="AA34" s="24">
        <f t="shared" si="35"/>
        <v>13</v>
      </c>
      <c r="AB34" s="2">
        <f t="shared" si="36"/>
        <v>15</v>
      </c>
      <c r="AC34" s="24">
        <f t="shared" si="37"/>
        <v>8</v>
      </c>
      <c r="AD34" s="24">
        <f t="shared" si="38"/>
        <v>20</v>
      </c>
      <c r="AE34" s="24">
        <f t="shared" si="39"/>
        <v>16</v>
      </c>
      <c r="AF34" s="24">
        <f t="shared" si="40"/>
        <v>2</v>
      </c>
      <c r="AG34" s="24">
        <f t="shared" si="41"/>
        <v>5</v>
      </c>
      <c r="AH34" s="24">
        <f t="shared" si="42"/>
        <v>8</v>
      </c>
      <c r="AI34" s="28">
        <f t="shared" si="43"/>
        <v>7</v>
      </c>
      <c r="AJ34" s="24">
        <v>2.0</v>
      </c>
      <c r="AK34" s="27">
        <f t="shared" si="6"/>
        <v>1.52173913</v>
      </c>
      <c r="AL34" s="24">
        <f t="shared" si="44"/>
        <v>14</v>
      </c>
      <c r="AM34" s="2">
        <f t="shared" si="45"/>
        <v>9</v>
      </c>
      <c r="AN34" s="24">
        <f t="shared" si="46"/>
        <v>5</v>
      </c>
      <c r="AO34" s="24">
        <f t="shared" si="47"/>
        <v>18</v>
      </c>
      <c r="AP34" s="24">
        <f t="shared" si="48"/>
        <v>10</v>
      </c>
      <c r="AQ34" s="24">
        <f t="shared" si="49"/>
        <v>4</v>
      </c>
      <c r="AR34" s="24">
        <f t="shared" si="50"/>
        <v>9</v>
      </c>
      <c r="AS34" s="24">
        <f t="shared" si="51"/>
        <v>5</v>
      </c>
      <c r="AT34" s="28">
        <f t="shared" si="52"/>
        <v>4</v>
      </c>
      <c r="AU34" s="24"/>
      <c r="AV34" s="27">
        <f t="shared" si="7"/>
        <v>1.647058824</v>
      </c>
      <c r="AW34" s="24">
        <f t="shared" si="53"/>
        <v>13</v>
      </c>
      <c r="AX34" s="2">
        <f t="shared" si="54"/>
        <v>9</v>
      </c>
      <c r="AY34" s="24">
        <f t="shared" si="55"/>
        <v>3</v>
      </c>
      <c r="AZ34" s="24">
        <f t="shared" si="56"/>
        <v>16</v>
      </c>
      <c r="BA34" s="24">
        <f t="shared" si="57"/>
        <v>9</v>
      </c>
      <c r="BB34" s="24">
        <f t="shared" si="58"/>
        <v>7</v>
      </c>
      <c r="BC34" s="24">
        <f t="shared" si="59"/>
        <v>7</v>
      </c>
      <c r="BD34" s="24">
        <f t="shared" si="60"/>
        <v>6</v>
      </c>
      <c r="BE34" s="28">
        <f t="shared" si="61"/>
        <v>3</v>
      </c>
      <c r="BF34" s="29">
        <f t="shared" ref="BF34:BO34" si="102">+(AK34+Z34+O34+D34)/4</f>
        <v>1.891304348</v>
      </c>
      <c r="BG34" s="24">
        <f t="shared" si="102"/>
        <v>13.25</v>
      </c>
      <c r="BH34" s="24">
        <f t="shared" si="102"/>
        <v>11.5</v>
      </c>
      <c r="BI34" s="24">
        <f t="shared" si="102"/>
        <v>6.75</v>
      </c>
      <c r="BJ34" s="24">
        <f t="shared" si="102"/>
        <v>18</v>
      </c>
      <c r="BK34" s="24">
        <f t="shared" si="102"/>
        <v>13.5</v>
      </c>
      <c r="BL34" s="24">
        <f t="shared" si="102"/>
        <v>2.75</v>
      </c>
      <c r="BM34" s="24">
        <f t="shared" si="102"/>
        <v>6.5</v>
      </c>
      <c r="BN34" s="24">
        <f t="shared" si="102"/>
        <v>6.75</v>
      </c>
      <c r="BO34" s="61">
        <f t="shared" si="102"/>
        <v>4.75</v>
      </c>
      <c r="BP34" s="30">
        <f t="shared" si="9"/>
        <v>-0.2442455243</v>
      </c>
      <c r="BQ34" s="31">
        <f t="shared" si="10"/>
        <v>0.04347826087</v>
      </c>
      <c r="BR34" s="31">
        <f t="shared" si="11"/>
        <v>0.3043478261</v>
      </c>
      <c r="BS34" s="31">
        <f t="shared" si="12"/>
        <v>0.2608695652</v>
      </c>
      <c r="BT34" s="31">
        <f t="shared" si="13"/>
        <v>0.1304347826</v>
      </c>
      <c r="BU34" s="31">
        <f t="shared" si="14"/>
        <v>0</v>
      </c>
      <c r="BV34" s="31">
        <f t="shared" si="15"/>
        <v>0.9565217391</v>
      </c>
      <c r="BW34" s="31">
        <f t="shared" ref="BW34:BX34" si="103">+BR34+BS34+BT34</f>
        <v>0.6956521739</v>
      </c>
      <c r="BX34" s="32">
        <f t="shared" si="103"/>
        <v>0.3913043478</v>
      </c>
      <c r="BY34" s="60"/>
    </row>
    <row r="35" ht="15.75" customHeight="1">
      <c r="B35" s="33">
        <v>24.0</v>
      </c>
      <c r="C35" s="2">
        <v>2.0</v>
      </c>
      <c r="D35" s="3">
        <f t="shared" si="3"/>
        <v>2.041666667</v>
      </c>
      <c r="E35" s="2">
        <f t="shared" si="17"/>
        <v>13</v>
      </c>
      <c r="F35" s="2">
        <f t="shared" si="18"/>
        <v>12</v>
      </c>
      <c r="G35" s="2">
        <f t="shared" si="19"/>
        <v>9</v>
      </c>
      <c r="H35" s="2">
        <f t="shared" si="20"/>
        <v>19</v>
      </c>
      <c r="I35" s="2">
        <f t="shared" si="21"/>
        <v>15</v>
      </c>
      <c r="J35" s="2">
        <f t="shared" si="22"/>
        <v>2</v>
      </c>
      <c r="K35" s="2">
        <f t="shared" si="23"/>
        <v>7</v>
      </c>
      <c r="L35" s="2">
        <f t="shared" si="24"/>
        <v>6</v>
      </c>
      <c r="M35" s="34">
        <f t="shared" si="25"/>
        <v>6</v>
      </c>
      <c r="N35" s="2">
        <v>2.0</v>
      </c>
      <c r="O35" s="3">
        <f t="shared" si="4"/>
        <v>2</v>
      </c>
      <c r="P35" s="2">
        <f t="shared" si="26"/>
        <v>15</v>
      </c>
      <c r="Q35" s="2">
        <f t="shared" si="27"/>
        <v>12</v>
      </c>
      <c r="R35" s="2">
        <f t="shared" si="28"/>
        <v>5</v>
      </c>
      <c r="S35" s="2">
        <f t="shared" si="29"/>
        <v>17</v>
      </c>
      <c r="T35" s="2">
        <f t="shared" si="30"/>
        <v>15</v>
      </c>
      <c r="U35" s="2">
        <f t="shared" si="31"/>
        <v>3</v>
      </c>
      <c r="V35" s="2">
        <f t="shared" si="32"/>
        <v>5</v>
      </c>
      <c r="W35" s="2">
        <f t="shared" si="33"/>
        <v>10</v>
      </c>
      <c r="X35" s="34">
        <f t="shared" si="34"/>
        <v>2</v>
      </c>
      <c r="Y35" s="2">
        <v>1.0</v>
      </c>
      <c r="Z35" s="3">
        <f t="shared" si="5"/>
        <v>1.958333333</v>
      </c>
      <c r="AA35" s="2">
        <f t="shared" si="35"/>
        <v>14</v>
      </c>
      <c r="AB35" s="2">
        <f t="shared" si="36"/>
        <v>15</v>
      </c>
      <c r="AC35" s="2">
        <f t="shared" si="37"/>
        <v>8</v>
      </c>
      <c r="AD35" s="2">
        <f t="shared" si="38"/>
        <v>21</v>
      </c>
      <c r="AE35" s="2">
        <f t="shared" si="39"/>
        <v>16</v>
      </c>
      <c r="AF35" s="2">
        <f t="shared" si="40"/>
        <v>2</v>
      </c>
      <c r="AG35" s="2">
        <f t="shared" si="41"/>
        <v>6</v>
      </c>
      <c r="AH35" s="2">
        <f t="shared" si="42"/>
        <v>8</v>
      </c>
      <c r="AI35" s="34">
        <f t="shared" si="43"/>
        <v>7</v>
      </c>
      <c r="AJ35" s="2">
        <v>1.0</v>
      </c>
      <c r="AK35" s="3">
        <f t="shared" si="6"/>
        <v>1.5</v>
      </c>
      <c r="AL35" s="2">
        <f t="shared" si="44"/>
        <v>15</v>
      </c>
      <c r="AM35" s="2">
        <f t="shared" si="45"/>
        <v>9</v>
      </c>
      <c r="AN35" s="2">
        <f t="shared" si="46"/>
        <v>5</v>
      </c>
      <c r="AO35" s="2">
        <f t="shared" si="47"/>
        <v>19</v>
      </c>
      <c r="AP35" s="2">
        <f t="shared" si="48"/>
        <v>10</v>
      </c>
      <c r="AQ35" s="2">
        <f t="shared" si="49"/>
        <v>4</v>
      </c>
      <c r="AR35" s="2">
        <f t="shared" si="50"/>
        <v>10</v>
      </c>
      <c r="AS35" s="2">
        <f t="shared" si="51"/>
        <v>5</v>
      </c>
      <c r="AT35" s="34">
        <f t="shared" si="52"/>
        <v>4</v>
      </c>
      <c r="AU35" s="2"/>
      <c r="AV35" s="3">
        <f t="shared" si="7"/>
        <v>1.647058824</v>
      </c>
      <c r="AW35" s="2">
        <f t="shared" si="53"/>
        <v>13</v>
      </c>
      <c r="AX35" s="2">
        <f t="shared" si="54"/>
        <v>9</v>
      </c>
      <c r="AY35" s="2">
        <f t="shared" si="55"/>
        <v>3</v>
      </c>
      <c r="AZ35" s="2">
        <f t="shared" si="56"/>
        <v>16</v>
      </c>
      <c r="BA35" s="2">
        <f t="shared" si="57"/>
        <v>9</v>
      </c>
      <c r="BB35" s="2">
        <f t="shared" si="58"/>
        <v>8</v>
      </c>
      <c r="BC35" s="2">
        <f t="shared" si="59"/>
        <v>7</v>
      </c>
      <c r="BD35" s="2">
        <f t="shared" si="60"/>
        <v>6</v>
      </c>
      <c r="BE35" s="34">
        <f t="shared" si="61"/>
        <v>3</v>
      </c>
      <c r="BF35" s="36">
        <f t="shared" ref="BF35:BO35" si="104">+(AK35+Z35+O35+D35)/4</f>
        <v>1.875</v>
      </c>
      <c r="BG35" s="2">
        <f t="shared" si="104"/>
        <v>14.25</v>
      </c>
      <c r="BH35" s="2">
        <f t="shared" si="104"/>
        <v>12</v>
      </c>
      <c r="BI35" s="2">
        <f t="shared" si="104"/>
        <v>6.75</v>
      </c>
      <c r="BJ35" s="2">
        <f t="shared" si="104"/>
        <v>19</v>
      </c>
      <c r="BK35" s="2">
        <f t="shared" si="104"/>
        <v>14</v>
      </c>
      <c r="BL35" s="2">
        <f t="shared" si="104"/>
        <v>2.75</v>
      </c>
      <c r="BM35" s="2">
        <f t="shared" si="104"/>
        <v>7</v>
      </c>
      <c r="BN35" s="2">
        <f t="shared" si="104"/>
        <v>7.25</v>
      </c>
      <c r="BO35" s="62">
        <f t="shared" si="104"/>
        <v>4.75</v>
      </c>
      <c r="BP35" s="37">
        <f t="shared" si="9"/>
        <v>-0.2279411765</v>
      </c>
      <c r="BQ35" s="38">
        <f t="shared" si="10"/>
        <v>0.04166666667</v>
      </c>
      <c r="BR35" s="38">
        <f t="shared" si="11"/>
        <v>0.2916666667</v>
      </c>
      <c r="BS35" s="38">
        <f t="shared" si="12"/>
        <v>0.25</v>
      </c>
      <c r="BT35" s="38">
        <f t="shared" si="13"/>
        <v>0.125</v>
      </c>
      <c r="BU35" s="38">
        <f t="shared" si="14"/>
        <v>0</v>
      </c>
      <c r="BV35" s="38">
        <f t="shared" si="15"/>
        <v>0.9583333333</v>
      </c>
      <c r="BW35" s="38">
        <f t="shared" ref="BW35:BX35" si="105">+BR35+BS35+BT35</f>
        <v>0.6666666667</v>
      </c>
      <c r="BX35" s="39">
        <f t="shared" si="105"/>
        <v>0.375</v>
      </c>
    </row>
    <row r="36" ht="15.75" customHeight="1">
      <c r="A36" s="60"/>
      <c r="B36" s="40">
        <v>25.0</v>
      </c>
      <c r="C36" s="24">
        <v>1.0</v>
      </c>
      <c r="D36" s="27">
        <f t="shared" si="3"/>
        <v>2</v>
      </c>
      <c r="E36" s="24">
        <f t="shared" si="17"/>
        <v>14</v>
      </c>
      <c r="F36" s="2">
        <f t="shared" si="18"/>
        <v>12</v>
      </c>
      <c r="G36" s="24">
        <f t="shared" si="19"/>
        <v>9</v>
      </c>
      <c r="H36" s="24">
        <f t="shared" si="20"/>
        <v>20</v>
      </c>
      <c r="I36" s="24">
        <f t="shared" si="21"/>
        <v>15</v>
      </c>
      <c r="J36" s="24">
        <f t="shared" si="22"/>
        <v>2</v>
      </c>
      <c r="K36" s="24">
        <f t="shared" si="23"/>
        <v>8</v>
      </c>
      <c r="L36" s="24">
        <f t="shared" si="24"/>
        <v>6</v>
      </c>
      <c r="M36" s="28">
        <f t="shared" si="25"/>
        <v>6</v>
      </c>
      <c r="N36" s="24">
        <v>1.0</v>
      </c>
      <c r="O36" s="27">
        <f t="shared" si="4"/>
        <v>1.96</v>
      </c>
      <c r="P36" s="24">
        <f t="shared" si="26"/>
        <v>16</v>
      </c>
      <c r="Q36" s="2">
        <f t="shared" si="27"/>
        <v>12</v>
      </c>
      <c r="R36" s="24">
        <f t="shared" si="28"/>
        <v>5</v>
      </c>
      <c r="S36" s="24">
        <f t="shared" si="29"/>
        <v>18</v>
      </c>
      <c r="T36" s="24">
        <f t="shared" si="30"/>
        <v>15</v>
      </c>
      <c r="U36" s="24">
        <f t="shared" si="31"/>
        <v>3</v>
      </c>
      <c r="V36" s="24">
        <f t="shared" si="32"/>
        <v>6</v>
      </c>
      <c r="W36" s="24">
        <f t="shared" si="33"/>
        <v>10</v>
      </c>
      <c r="X36" s="28">
        <f t="shared" si="34"/>
        <v>2</v>
      </c>
      <c r="Y36" s="24">
        <v>2.0</v>
      </c>
      <c r="Z36" s="27">
        <f t="shared" si="5"/>
        <v>1.96</v>
      </c>
      <c r="AA36" s="24">
        <f t="shared" si="35"/>
        <v>15</v>
      </c>
      <c r="AB36" s="2">
        <f t="shared" si="36"/>
        <v>16</v>
      </c>
      <c r="AC36" s="24">
        <f t="shared" si="37"/>
        <v>8</v>
      </c>
      <c r="AD36" s="24">
        <f t="shared" si="38"/>
        <v>22</v>
      </c>
      <c r="AE36" s="24">
        <f t="shared" si="39"/>
        <v>17</v>
      </c>
      <c r="AF36" s="24">
        <f t="shared" si="40"/>
        <v>2</v>
      </c>
      <c r="AG36" s="24">
        <f t="shared" si="41"/>
        <v>6</v>
      </c>
      <c r="AH36" s="24">
        <f t="shared" si="42"/>
        <v>9</v>
      </c>
      <c r="AI36" s="28">
        <f t="shared" si="43"/>
        <v>7</v>
      </c>
      <c r="AJ36" s="24">
        <v>1.0</v>
      </c>
      <c r="AK36" s="27">
        <f t="shared" si="6"/>
        <v>1.48</v>
      </c>
      <c r="AL36" s="24">
        <f t="shared" si="44"/>
        <v>16</v>
      </c>
      <c r="AM36" s="2">
        <f t="shared" si="45"/>
        <v>9</v>
      </c>
      <c r="AN36" s="24">
        <f t="shared" si="46"/>
        <v>5</v>
      </c>
      <c r="AO36" s="24">
        <f t="shared" si="47"/>
        <v>20</v>
      </c>
      <c r="AP36" s="24">
        <f t="shared" si="48"/>
        <v>10</v>
      </c>
      <c r="AQ36" s="24">
        <f t="shared" si="49"/>
        <v>4</v>
      </c>
      <c r="AR36" s="24">
        <f t="shared" si="50"/>
        <v>11</v>
      </c>
      <c r="AS36" s="24">
        <f t="shared" si="51"/>
        <v>5</v>
      </c>
      <c r="AT36" s="28">
        <f t="shared" si="52"/>
        <v>4</v>
      </c>
      <c r="AU36" s="24"/>
      <c r="AV36" s="27">
        <f t="shared" si="7"/>
        <v>1.647058824</v>
      </c>
      <c r="AW36" s="24">
        <f t="shared" si="53"/>
        <v>13</v>
      </c>
      <c r="AX36" s="2">
        <f t="shared" si="54"/>
        <v>9</v>
      </c>
      <c r="AY36" s="24">
        <f t="shared" si="55"/>
        <v>3</v>
      </c>
      <c r="AZ36" s="24">
        <f t="shared" si="56"/>
        <v>16</v>
      </c>
      <c r="BA36" s="24">
        <f t="shared" si="57"/>
        <v>9</v>
      </c>
      <c r="BB36" s="24">
        <f t="shared" si="58"/>
        <v>9</v>
      </c>
      <c r="BC36" s="24">
        <f t="shared" si="59"/>
        <v>7</v>
      </c>
      <c r="BD36" s="24">
        <f t="shared" si="60"/>
        <v>6</v>
      </c>
      <c r="BE36" s="28">
        <f t="shared" si="61"/>
        <v>3</v>
      </c>
      <c r="BF36" s="29">
        <f t="shared" ref="BF36:BO36" si="106">+(AK36+Z36+O36+D36)/4</f>
        <v>1.85</v>
      </c>
      <c r="BG36" s="24">
        <f t="shared" si="106"/>
        <v>15.25</v>
      </c>
      <c r="BH36" s="24">
        <f t="shared" si="106"/>
        <v>12.25</v>
      </c>
      <c r="BI36" s="24">
        <f t="shared" si="106"/>
        <v>6.75</v>
      </c>
      <c r="BJ36" s="24">
        <f t="shared" si="106"/>
        <v>20</v>
      </c>
      <c r="BK36" s="24">
        <f t="shared" si="106"/>
        <v>14.25</v>
      </c>
      <c r="BL36" s="24">
        <f t="shared" si="106"/>
        <v>2.75</v>
      </c>
      <c r="BM36" s="24">
        <f t="shared" si="106"/>
        <v>7.75</v>
      </c>
      <c r="BN36" s="24">
        <f t="shared" si="106"/>
        <v>7.5</v>
      </c>
      <c r="BO36" s="61">
        <f t="shared" si="106"/>
        <v>4.75</v>
      </c>
      <c r="BP36" s="30">
        <f t="shared" si="9"/>
        <v>-0.2029411765</v>
      </c>
      <c r="BQ36" s="31">
        <f t="shared" si="10"/>
        <v>0.04</v>
      </c>
      <c r="BR36" s="31">
        <f t="shared" si="11"/>
        <v>0.28</v>
      </c>
      <c r="BS36" s="31">
        <f t="shared" si="12"/>
        <v>0.24</v>
      </c>
      <c r="BT36" s="31">
        <f t="shared" si="13"/>
        <v>0.12</v>
      </c>
      <c r="BU36" s="31">
        <f t="shared" si="14"/>
        <v>0</v>
      </c>
      <c r="BV36" s="31">
        <f t="shared" si="15"/>
        <v>0.96</v>
      </c>
      <c r="BW36" s="31">
        <f t="shared" ref="BW36:BX36" si="107">+BR36+BS36+BT36</f>
        <v>0.64</v>
      </c>
      <c r="BX36" s="32">
        <f t="shared" si="107"/>
        <v>0.36</v>
      </c>
      <c r="BY36" s="60"/>
    </row>
    <row r="37" ht="15.75" customHeight="1">
      <c r="B37" s="33">
        <v>26.0</v>
      </c>
      <c r="C37" s="2">
        <v>2.0</v>
      </c>
      <c r="D37" s="3">
        <f t="shared" si="3"/>
        <v>2</v>
      </c>
      <c r="E37" s="2">
        <f t="shared" si="17"/>
        <v>15</v>
      </c>
      <c r="F37" s="2">
        <f t="shared" si="18"/>
        <v>13</v>
      </c>
      <c r="G37" s="2">
        <f t="shared" si="19"/>
        <v>9</v>
      </c>
      <c r="H37" s="2">
        <f t="shared" si="20"/>
        <v>21</v>
      </c>
      <c r="I37" s="2">
        <f t="shared" si="21"/>
        <v>16</v>
      </c>
      <c r="J37" s="2">
        <f t="shared" si="22"/>
        <v>2</v>
      </c>
      <c r="K37" s="2">
        <f t="shared" si="23"/>
        <v>8</v>
      </c>
      <c r="L37" s="2">
        <f t="shared" si="24"/>
        <v>7</v>
      </c>
      <c r="M37" s="34">
        <f t="shared" si="25"/>
        <v>6</v>
      </c>
      <c r="N37" s="2">
        <v>1.0</v>
      </c>
      <c r="O37" s="3">
        <f t="shared" si="4"/>
        <v>1.923076923</v>
      </c>
      <c r="P37" s="2">
        <f t="shared" si="26"/>
        <v>17</v>
      </c>
      <c r="Q37" s="2">
        <f t="shared" si="27"/>
        <v>12</v>
      </c>
      <c r="R37" s="2">
        <f t="shared" si="28"/>
        <v>5</v>
      </c>
      <c r="S37" s="2">
        <f t="shared" si="29"/>
        <v>19</v>
      </c>
      <c r="T37" s="2">
        <f t="shared" si="30"/>
        <v>15</v>
      </c>
      <c r="U37" s="2">
        <f t="shared" si="31"/>
        <v>3</v>
      </c>
      <c r="V37" s="2">
        <f t="shared" si="32"/>
        <v>7</v>
      </c>
      <c r="W37" s="2">
        <f t="shared" si="33"/>
        <v>10</v>
      </c>
      <c r="X37" s="34">
        <f t="shared" si="34"/>
        <v>2</v>
      </c>
      <c r="Y37" s="2">
        <v>1.0</v>
      </c>
      <c r="Z37" s="3">
        <f t="shared" si="5"/>
        <v>1.923076923</v>
      </c>
      <c r="AA37" s="2">
        <f t="shared" si="35"/>
        <v>16</v>
      </c>
      <c r="AB37" s="2">
        <f t="shared" si="36"/>
        <v>16</v>
      </c>
      <c r="AC37" s="2">
        <f t="shared" si="37"/>
        <v>8</v>
      </c>
      <c r="AD37" s="2">
        <f t="shared" si="38"/>
        <v>23</v>
      </c>
      <c r="AE37" s="2">
        <f t="shared" si="39"/>
        <v>17</v>
      </c>
      <c r="AF37" s="2">
        <f t="shared" si="40"/>
        <v>2</v>
      </c>
      <c r="AG37" s="2">
        <f t="shared" si="41"/>
        <v>7</v>
      </c>
      <c r="AH37" s="2">
        <f t="shared" si="42"/>
        <v>9</v>
      </c>
      <c r="AI37" s="34">
        <f t="shared" si="43"/>
        <v>7</v>
      </c>
      <c r="AJ37" s="2">
        <v>1.0</v>
      </c>
      <c r="AK37" s="3">
        <f t="shared" si="6"/>
        <v>1.461538462</v>
      </c>
      <c r="AL37" s="2">
        <f t="shared" si="44"/>
        <v>17</v>
      </c>
      <c r="AM37" s="2">
        <f t="shared" si="45"/>
        <v>9</v>
      </c>
      <c r="AN37" s="2">
        <f t="shared" si="46"/>
        <v>5</v>
      </c>
      <c r="AO37" s="2">
        <f t="shared" si="47"/>
        <v>21</v>
      </c>
      <c r="AP37" s="2">
        <f t="shared" si="48"/>
        <v>10</v>
      </c>
      <c r="AQ37" s="2">
        <f t="shared" si="49"/>
        <v>4</v>
      </c>
      <c r="AR37" s="2">
        <f t="shared" si="50"/>
        <v>12</v>
      </c>
      <c r="AS37" s="2">
        <f t="shared" si="51"/>
        <v>5</v>
      </c>
      <c r="AT37" s="34">
        <f t="shared" si="52"/>
        <v>4</v>
      </c>
      <c r="AU37" s="2"/>
      <c r="AV37" s="3">
        <f t="shared" si="7"/>
        <v>1.647058824</v>
      </c>
      <c r="AW37" s="2">
        <f t="shared" si="53"/>
        <v>13</v>
      </c>
      <c r="AX37" s="2">
        <f t="shared" si="54"/>
        <v>9</v>
      </c>
      <c r="AY37" s="2">
        <f t="shared" si="55"/>
        <v>3</v>
      </c>
      <c r="AZ37" s="2">
        <f t="shared" si="56"/>
        <v>16</v>
      </c>
      <c r="BA37" s="2">
        <f t="shared" si="57"/>
        <v>9</v>
      </c>
      <c r="BB37" s="2">
        <f t="shared" si="58"/>
        <v>10</v>
      </c>
      <c r="BC37" s="2">
        <f t="shared" si="59"/>
        <v>7</v>
      </c>
      <c r="BD37" s="2">
        <f t="shared" si="60"/>
        <v>6</v>
      </c>
      <c r="BE37" s="34">
        <f t="shared" si="61"/>
        <v>3</v>
      </c>
      <c r="BF37" s="36">
        <f t="shared" ref="BF37:BO37" si="108">+(AK37+Z37+O37+D37)/4</f>
        <v>1.826923077</v>
      </c>
      <c r="BG37" s="2">
        <f t="shared" si="108"/>
        <v>16.25</v>
      </c>
      <c r="BH37" s="2">
        <f t="shared" si="108"/>
        <v>12.5</v>
      </c>
      <c r="BI37" s="2">
        <f t="shared" si="108"/>
        <v>6.75</v>
      </c>
      <c r="BJ37" s="2">
        <f t="shared" si="108"/>
        <v>21</v>
      </c>
      <c r="BK37" s="2">
        <f t="shared" si="108"/>
        <v>14.5</v>
      </c>
      <c r="BL37" s="2">
        <f t="shared" si="108"/>
        <v>2.75</v>
      </c>
      <c r="BM37" s="2">
        <f t="shared" si="108"/>
        <v>8.5</v>
      </c>
      <c r="BN37" s="2">
        <f t="shared" si="108"/>
        <v>7.75</v>
      </c>
      <c r="BO37" s="62">
        <f t="shared" si="108"/>
        <v>4.75</v>
      </c>
      <c r="BP37" s="37">
        <f t="shared" si="9"/>
        <v>-0.1798642534</v>
      </c>
      <c r="BQ37" s="38">
        <f t="shared" si="10"/>
        <v>0.03846153846</v>
      </c>
      <c r="BR37" s="38">
        <f t="shared" si="11"/>
        <v>0.2692307692</v>
      </c>
      <c r="BS37" s="38">
        <f t="shared" si="12"/>
        <v>0.2307692308</v>
      </c>
      <c r="BT37" s="38">
        <f t="shared" si="13"/>
        <v>0.1153846154</v>
      </c>
      <c r="BU37" s="38">
        <f t="shared" si="14"/>
        <v>0</v>
      </c>
      <c r="BV37" s="38">
        <f t="shared" si="15"/>
        <v>0.9615384615</v>
      </c>
      <c r="BW37" s="38">
        <f t="shared" ref="BW37:BX37" si="109">+BR37+BS37+BT37</f>
        <v>0.6153846154</v>
      </c>
      <c r="BX37" s="39">
        <f t="shared" si="109"/>
        <v>0.3461538462</v>
      </c>
    </row>
    <row r="38" ht="15.75" customHeight="1">
      <c r="A38" s="60"/>
      <c r="B38" s="40">
        <v>27.0</v>
      </c>
      <c r="C38" s="24">
        <v>1.0</v>
      </c>
      <c r="D38" s="27">
        <f t="shared" si="3"/>
        <v>1.962962963</v>
      </c>
      <c r="E38" s="24">
        <f t="shared" si="17"/>
        <v>16</v>
      </c>
      <c r="F38" s="2">
        <f t="shared" si="18"/>
        <v>13</v>
      </c>
      <c r="G38" s="24">
        <f t="shared" si="19"/>
        <v>9</v>
      </c>
      <c r="H38" s="24">
        <f t="shared" si="20"/>
        <v>22</v>
      </c>
      <c r="I38" s="24">
        <f t="shared" si="21"/>
        <v>16</v>
      </c>
      <c r="J38" s="24">
        <f t="shared" si="22"/>
        <v>2</v>
      </c>
      <c r="K38" s="24">
        <f t="shared" si="23"/>
        <v>9</v>
      </c>
      <c r="L38" s="24">
        <f t="shared" si="24"/>
        <v>7</v>
      </c>
      <c r="M38" s="28">
        <f t="shared" si="25"/>
        <v>6</v>
      </c>
      <c r="N38" s="24">
        <v>1.0</v>
      </c>
      <c r="O38" s="27">
        <f t="shared" si="4"/>
        <v>1.888888889</v>
      </c>
      <c r="P38" s="24">
        <f t="shared" si="26"/>
        <v>18</v>
      </c>
      <c r="Q38" s="2">
        <f t="shared" si="27"/>
        <v>12</v>
      </c>
      <c r="R38" s="24">
        <f t="shared" si="28"/>
        <v>5</v>
      </c>
      <c r="S38" s="24">
        <f t="shared" si="29"/>
        <v>20</v>
      </c>
      <c r="T38" s="24">
        <f t="shared" si="30"/>
        <v>15</v>
      </c>
      <c r="U38" s="24">
        <f t="shared" si="31"/>
        <v>3</v>
      </c>
      <c r="V38" s="24">
        <f t="shared" si="32"/>
        <v>8</v>
      </c>
      <c r="W38" s="24">
        <f t="shared" si="33"/>
        <v>10</v>
      </c>
      <c r="X38" s="28">
        <f t="shared" si="34"/>
        <v>2</v>
      </c>
      <c r="Y38" s="24">
        <v>1.0</v>
      </c>
      <c r="Z38" s="27">
        <f t="shared" si="5"/>
        <v>1.888888889</v>
      </c>
      <c r="AA38" s="24">
        <f t="shared" si="35"/>
        <v>17</v>
      </c>
      <c r="AB38" s="2">
        <f t="shared" si="36"/>
        <v>16</v>
      </c>
      <c r="AC38" s="24">
        <f t="shared" si="37"/>
        <v>8</v>
      </c>
      <c r="AD38" s="24">
        <f t="shared" si="38"/>
        <v>24</v>
      </c>
      <c r="AE38" s="24">
        <f t="shared" si="39"/>
        <v>17</v>
      </c>
      <c r="AF38" s="24">
        <f t="shared" si="40"/>
        <v>2</v>
      </c>
      <c r="AG38" s="24">
        <f t="shared" si="41"/>
        <v>8</v>
      </c>
      <c r="AH38" s="24">
        <f t="shared" si="42"/>
        <v>9</v>
      </c>
      <c r="AI38" s="28">
        <f t="shared" si="43"/>
        <v>7</v>
      </c>
      <c r="AJ38" s="24">
        <v>1.0</v>
      </c>
      <c r="AK38" s="27">
        <f t="shared" si="6"/>
        <v>1.444444444</v>
      </c>
      <c r="AL38" s="24">
        <f t="shared" si="44"/>
        <v>18</v>
      </c>
      <c r="AM38" s="2">
        <f t="shared" si="45"/>
        <v>9</v>
      </c>
      <c r="AN38" s="24">
        <f t="shared" si="46"/>
        <v>5</v>
      </c>
      <c r="AO38" s="24">
        <f t="shared" si="47"/>
        <v>22</v>
      </c>
      <c r="AP38" s="24">
        <f t="shared" si="48"/>
        <v>10</v>
      </c>
      <c r="AQ38" s="24">
        <f t="shared" si="49"/>
        <v>4</v>
      </c>
      <c r="AR38" s="24">
        <f t="shared" si="50"/>
        <v>13</v>
      </c>
      <c r="AS38" s="24">
        <f t="shared" si="51"/>
        <v>5</v>
      </c>
      <c r="AT38" s="28">
        <f t="shared" si="52"/>
        <v>4</v>
      </c>
      <c r="AU38" s="24"/>
      <c r="AV38" s="27">
        <f t="shared" si="7"/>
        <v>1.647058824</v>
      </c>
      <c r="AW38" s="24">
        <f t="shared" si="53"/>
        <v>13</v>
      </c>
      <c r="AX38" s="2">
        <f t="shared" si="54"/>
        <v>9</v>
      </c>
      <c r="AY38" s="24">
        <f t="shared" si="55"/>
        <v>3</v>
      </c>
      <c r="AZ38" s="24">
        <f t="shared" si="56"/>
        <v>16</v>
      </c>
      <c r="BA38" s="24">
        <f t="shared" si="57"/>
        <v>9</v>
      </c>
      <c r="BB38" s="24">
        <f t="shared" si="58"/>
        <v>11</v>
      </c>
      <c r="BC38" s="24">
        <f t="shared" si="59"/>
        <v>7</v>
      </c>
      <c r="BD38" s="24">
        <f t="shared" si="60"/>
        <v>6</v>
      </c>
      <c r="BE38" s="28">
        <f t="shared" si="61"/>
        <v>3</v>
      </c>
      <c r="BF38" s="29">
        <f t="shared" ref="BF38:BO38" si="110">+(AK38+Z38+O38+D38)/4</f>
        <v>1.796296296</v>
      </c>
      <c r="BG38" s="24">
        <f t="shared" si="110"/>
        <v>17.25</v>
      </c>
      <c r="BH38" s="24">
        <f t="shared" si="110"/>
        <v>12.5</v>
      </c>
      <c r="BI38" s="24">
        <f t="shared" si="110"/>
        <v>6.75</v>
      </c>
      <c r="BJ38" s="24">
        <f t="shared" si="110"/>
        <v>22</v>
      </c>
      <c r="BK38" s="24">
        <f t="shared" si="110"/>
        <v>14.5</v>
      </c>
      <c r="BL38" s="24">
        <f t="shared" si="110"/>
        <v>2.75</v>
      </c>
      <c r="BM38" s="24">
        <f t="shared" si="110"/>
        <v>9.5</v>
      </c>
      <c r="BN38" s="24">
        <f t="shared" si="110"/>
        <v>7.75</v>
      </c>
      <c r="BO38" s="61">
        <f t="shared" si="110"/>
        <v>4.75</v>
      </c>
      <c r="BP38" s="30">
        <f t="shared" si="9"/>
        <v>-0.1492374728</v>
      </c>
      <c r="BQ38" s="31">
        <f t="shared" si="10"/>
        <v>0.03703703704</v>
      </c>
      <c r="BR38" s="31">
        <f t="shared" si="11"/>
        <v>0.2592592593</v>
      </c>
      <c r="BS38" s="31">
        <f t="shared" si="12"/>
        <v>0.2222222222</v>
      </c>
      <c r="BT38" s="31">
        <f t="shared" si="13"/>
        <v>0.1111111111</v>
      </c>
      <c r="BU38" s="31">
        <f t="shared" si="14"/>
        <v>0</v>
      </c>
      <c r="BV38" s="31">
        <f t="shared" si="15"/>
        <v>0.962962963</v>
      </c>
      <c r="BW38" s="31">
        <f t="shared" ref="BW38:BX38" si="111">+BR38+BS38+BT38</f>
        <v>0.5925925926</v>
      </c>
      <c r="BX38" s="32">
        <f t="shared" si="111"/>
        <v>0.3333333333</v>
      </c>
      <c r="BY38" s="60"/>
    </row>
    <row r="39" ht="15.75" customHeight="1">
      <c r="B39" s="33">
        <v>28.0</v>
      </c>
      <c r="C39" s="2">
        <v>1.0</v>
      </c>
      <c r="D39" s="3">
        <f t="shared" si="3"/>
        <v>1.928571429</v>
      </c>
      <c r="E39" s="2">
        <f t="shared" si="17"/>
        <v>17</v>
      </c>
      <c r="F39" s="2">
        <f t="shared" si="18"/>
        <v>13</v>
      </c>
      <c r="G39" s="2">
        <f t="shared" si="19"/>
        <v>9</v>
      </c>
      <c r="H39" s="2">
        <f t="shared" si="20"/>
        <v>23</v>
      </c>
      <c r="I39" s="2">
        <f t="shared" si="21"/>
        <v>16</v>
      </c>
      <c r="J39" s="2">
        <f t="shared" si="22"/>
        <v>2</v>
      </c>
      <c r="K39" s="2">
        <f t="shared" si="23"/>
        <v>10</v>
      </c>
      <c r="L39" s="2">
        <f t="shared" si="24"/>
        <v>7</v>
      </c>
      <c r="M39" s="34">
        <f t="shared" si="25"/>
        <v>6</v>
      </c>
      <c r="N39" s="2">
        <v>4.0</v>
      </c>
      <c r="O39" s="3">
        <f t="shared" si="4"/>
        <v>1.964285714</v>
      </c>
      <c r="P39" s="2">
        <f t="shared" si="26"/>
        <v>18</v>
      </c>
      <c r="Q39" s="2">
        <f t="shared" si="27"/>
        <v>12</v>
      </c>
      <c r="R39" s="2">
        <f t="shared" si="28"/>
        <v>6</v>
      </c>
      <c r="S39" s="2">
        <f t="shared" si="29"/>
        <v>20</v>
      </c>
      <c r="T39" s="2">
        <f t="shared" si="30"/>
        <v>16</v>
      </c>
      <c r="U39" s="2">
        <f t="shared" si="31"/>
        <v>3</v>
      </c>
      <c r="V39" s="2">
        <f t="shared" si="32"/>
        <v>8</v>
      </c>
      <c r="W39" s="2">
        <f t="shared" si="33"/>
        <v>10</v>
      </c>
      <c r="X39" s="34">
        <f t="shared" si="34"/>
        <v>2</v>
      </c>
      <c r="Y39" s="2">
        <v>1.0</v>
      </c>
      <c r="Z39" s="3">
        <f t="shared" si="5"/>
        <v>1.857142857</v>
      </c>
      <c r="AA39" s="2">
        <f t="shared" si="35"/>
        <v>18</v>
      </c>
      <c r="AB39" s="2">
        <f t="shared" si="36"/>
        <v>16</v>
      </c>
      <c r="AC39" s="2">
        <f t="shared" si="37"/>
        <v>8</v>
      </c>
      <c r="AD39" s="2">
        <f t="shared" si="38"/>
        <v>25</v>
      </c>
      <c r="AE39" s="2">
        <f t="shared" si="39"/>
        <v>17</v>
      </c>
      <c r="AF39" s="2">
        <f t="shared" si="40"/>
        <v>2</v>
      </c>
      <c r="AG39" s="2">
        <f t="shared" si="41"/>
        <v>9</v>
      </c>
      <c r="AH39" s="2">
        <f t="shared" si="42"/>
        <v>9</v>
      </c>
      <c r="AI39" s="34">
        <f t="shared" si="43"/>
        <v>7</v>
      </c>
      <c r="AJ39" s="2">
        <v>3.0</v>
      </c>
      <c r="AK39" s="3">
        <f t="shared" si="6"/>
        <v>1.5</v>
      </c>
      <c r="AL39" s="2">
        <f t="shared" si="44"/>
        <v>18</v>
      </c>
      <c r="AM39" s="2">
        <f t="shared" si="45"/>
        <v>10</v>
      </c>
      <c r="AN39" s="2">
        <f t="shared" si="46"/>
        <v>6</v>
      </c>
      <c r="AO39" s="2">
        <f t="shared" si="47"/>
        <v>23</v>
      </c>
      <c r="AP39" s="2">
        <f t="shared" si="48"/>
        <v>11</v>
      </c>
      <c r="AQ39" s="2">
        <f t="shared" si="49"/>
        <v>4</v>
      </c>
      <c r="AR39" s="2">
        <f t="shared" si="50"/>
        <v>13</v>
      </c>
      <c r="AS39" s="2">
        <f t="shared" si="51"/>
        <v>5</v>
      </c>
      <c r="AT39" s="34">
        <f t="shared" si="52"/>
        <v>5</v>
      </c>
      <c r="AU39" s="2"/>
      <c r="AV39" s="3">
        <f t="shared" si="7"/>
        <v>1.647058824</v>
      </c>
      <c r="AW39" s="2">
        <f t="shared" si="53"/>
        <v>13</v>
      </c>
      <c r="AX39" s="2">
        <f t="shared" si="54"/>
        <v>9</v>
      </c>
      <c r="AY39" s="2">
        <f t="shared" si="55"/>
        <v>3</v>
      </c>
      <c r="AZ39" s="2">
        <f t="shared" si="56"/>
        <v>16</v>
      </c>
      <c r="BA39" s="2">
        <f t="shared" si="57"/>
        <v>9</v>
      </c>
      <c r="BB39" s="2">
        <f t="shared" si="58"/>
        <v>12</v>
      </c>
      <c r="BC39" s="2">
        <f t="shared" si="59"/>
        <v>7</v>
      </c>
      <c r="BD39" s="2">
        <f t="shared" si="60"/>
        <v>6</v>
      </c>
      <c r="BE39" s="34">
        <f t="shared" si="61"/>
        <v>3</v>
      </c>
      <c r="BF39" s="36">
        <f t="shared" ref="BF39:BO39" si="112">+(AK39+Z39+O39+D39)/4</f>
        <v>1.8125</v>
      </c>
      <c r="BG39" s="2">
        <f t="shared" si="112"/>
        <v>17.75</v>
      </c>
      <c r="BH39" s="2">
        <f t="shared" si="112"/>
        <v>12.75</v>
      </c>
      <c r="BI39" s="2">
        <f t="shared" si="112"/>
        <v>7.25</v>
      </c>
      <c r="BJ39" s="2">
        <f t="shared" si="112"/>
        <v>22.75</v>
      </c>
      <c r="BK39" s="2">
        <f t="shared" si="112"/>
        <v>15</v>
      </c>
      <c r="BL39" s="2">
        <f t="shared" si="112"/>
        <v>2.75</v>
      </c>
      <c r="BM39" s="2">
        <f t="shared" si="112"/>
        <v>10</v>
      </c>
      <c r="BN39" s="2">
        <f t="shared" si="112"/>
        <v>7.75</v>
      </c>
      <c r="BO39" s="62">
        <f t="shared" si="112"/>
        <v>5</v>
      </c>
      <c r="BP39" s="37">
        <f t="shared" si="9"/>
        <v>-0.1654411765</v>
      </c>
      <c r="BQ39" s="38">
        <f t="shared" si="10"/>
        <v>0.03571428571</v>
      </c>
      <c r="BR39" s="38">
        <f t="shared" si="11"/>
        <v>0.25</v>
      </c>
      <c r="BS39" s="38">
        <f t="shared" si="12"/>
        <v>0.2142857143</v>
      </c>
      <c r="BT39" s="38">
        <f t="shared" si="13"/>
        <v>0.1071428571</v>
      </c>
      <c r="BU39" s="38">
        <f t="shared" si="14"/>
        <v>0</v>
      </c>
      <c r="BV39" s="38">
        <f t="shared" si="15"/>
        <v>0.9642857143</v>
      </c>
      <c r="BW39" s="38">
        <f t="shared" ref="BW39:BX39" si="113">+BR39+BS39+BT39</f>
        <v>0.5714285714</v>
      </c>
      <c r="BX39" s="39">
        <f t="shared" si="113"/>
        <v>0.3214285714</v>
      </c>
    </row>
    <row r="40" ht="15.75" customHeight="1">
      <c r="A40" s="60"/>
      <c r="B40" s="40">
        <v>29.0</v>
      </c>
      <c r="C40" s="24">
        <v>1.0</v>
      </c>
      <c r="D40" s="27">
        <f t="shared" si="3"/>
        <v>1.896551724</v>
      </c>
      <c r="E40" s="24">
        <f t="shared" si="17"/>
        <v>18</v>
      </c>
      <c r="F40" s="2">
        <f t="shared" si="18"/>
        <v>13</v>
      </c>
      <c r="G40" s="24">
        <f t="shared" si="19"/>
        <v>9</v>
      </c>
      <c r="H40" s="24">
        <f t="shared" si="20"/>
        <v>24</v>
      </c>
      <c r="I40" s="24">
        <f t="shared" si="21"/>
        <v>16</v>
      </c>
      <c r="J40" s="24">
        <f t="shared" si="22"/>
        <v>2</v>
      </c>
      <c r="K40" s="24">
        <f t="shared" si="23"/>
        <v>11</v>
      </c>
      <c r="L40" s="24">
        <f t="shared" si="24"/>
        <v>7</v>
      </c>
      <c r="M40" s="28">
        <f t="shared" si="25"/>
        <v>6</v>
      </c>
      <c r="N40" s="24">
        <v>0.0</v>
      </c>
      <c r="O40" s="27">
        <f t="shared" si="4"/>
        <v>1.896551724</v>
      </c>
      <c r="P40" s="24">
        <f t="shared" si="26"/>
        <v>18</v>
      </c>
      <c r="Q40" s="2">
        <f t="shared" si="27"/>
        <v>12</v>
      </c>
      <c r="R40" s="24">
        <f t="shared" si="28"/>
        <v>6</v>
      </c>
      <c r="S40" s="24">
        <f t="shared" si="29"/>
        <v>20</v>
      </c>
      <c r="T40" s="24">
        <f t="shared" si="30"/>
        <v>16</v>
      </c>
      <c r="U40" s="24">
        <f t="shared" si="31"/>
        <v>4</v>
      </c>
      <c r="V40" s="24">
        <f t="shared" si="32"/>
        <v>8</v>
      </c>
      <c r="W40" s="24">
        <f t="shared" si="33"/>
        <v>10</v>
      </c>
      <c r="X40" s="28">
        <f t="shared" si="34"/>
        <v>2</v>
      </c>
      <c r="Y40" s="24">
        <v>3.0</v>
      </c>
      <c r="Z40" s="27">
        <f t="shared" si="5"/>
        <v>1.896551724</v>
      </c>
      <c r="AA40" s="24">
        <f t="shared" si="35"/>
        <v>18</v>
      </c>
      <c r="AB40" s="2">
        <f t="shared" si="36"/>
        <v>17</v>
      </c>
      <c r="AC40" s="24">
        <f t="shared" si="37"/>
        <v>9</v>
      </c>
      <c r="AD40" s="24">
        <f t="shared" si="38"/>
        <v>26</v>
      </c>
      <c r="AE40" s="24">
        <f t="shared" si="39"/>
        <v>18</v>
      </c>
      <c r="AF40" s="24">
        <f t="shared" si="40"/>
        <v>2</v>
      </c>
      <c r="AG40" s="24">
        <f t="shared" si="41"/>
        <v>9</v>
      </c>
      <c r="AH40" s="24">
        <f t="shared" si="42"/>
        <v>9</v>
      </c>
      <c r="AI40" s="28">
        <f t="shared" si="43"/>
        <v>8</v>
      </c>
      <c r="AJ40" s="24">
        <v>2.0</v>
      </c>
      <c r="AK40" s="27">
        <f t="shared" si="6"/>
        <v>1.517241379</v>
      </c>
      <c r="AL40" s="24">
        <f t="shared" si="44"/>
        <v>19</v>
      </c>
      <c r="AM40" s="2">
        <f t="shared" si="45"/>
        <v>11</v>
      </c>
      <c r="AN40" s="24">
        <f t="shared" si="46"/>
        <v>6</v>
      </c>
      <c r="AO40" s="24">
        <f t="shared" si="47"/>
        <v>24</v>
      </c>
      <c r="AP40" s="24">
        <f t="shared" si="48"/>
        <v>12</v>
      </c>
      <c r="AQ40" s="24">
        <f t="shared" si="49"/>
        <v>4</v>
      </c>
      <c r="AR40" s="24">
        <f t="shared" si="50"/>
        <v>13</v>
      </c>
      <c r="AS40" s="24">
        <f t="shared" si="51"/>
        <v>6</v>
      </c>
      <c r="AT40" s="28">
        <f t="shared" si="52"/>
        <v>5</v>
      </c>
      <c r="AU40" s="24"/>
      <c r="AV40" s="27">
        <f t="shared" si="7"/>
        <v>1.647058824</v>
      </c>
      <c r="AW40" s="24">
        <f t="shared" si="53"/>
        <v>13</v>
      </c>
      <c r="AX40" s="2">
        <f t="shared" si="54"/>
        <v>9</v>
      </c>
      <c r="AY40" s="24">
        <f t="shared" si="55"/>
        <v>3</v>
      </c>
      <c r="AZ40" s="24">
        <f t="shared" si="56"/>
        <v>16</v>
      </c>
      <c r="BA40" s="24">
        <f t="shared" si="57"/>
        <v>9</v>
      </c>
      <c r="BB40" s="24">
        <f t="shared" si="58"/>
        <v>13</v>
      </c>
      <c r="BC40" s="24">
        <f t="shared" si="59"/>
        <v>7</v>
      </c>
      <c r="BD40" s="24">
        <f t="shared" si="60"/>
        <v>6</v>
      </c>
      <c r="BE40" s="28">
        <f t="shared" si="61"/>
        <v>3</v>
      </c>
      <c r="BF40" s="29">
        <f t="shared" ref="BF40:BO40" si="114">+(AK40+Z40+O40+D40)/4</f>
        <v>1.801724138</v>
      </c>
      <c r="BG40" s="24">
        <f t="shared" si="114"/>
        <v>18.25</v>
      </c>
      <c r="BH40" s="24">
        <f t="shared" si="114"/>
        <v>13.25</v>
      </c>
      <c r="BI40" s="24">
        <f t="shared" si="114"/>
        <v>7.5</v>
      </c>
      <c r="BJ40" s="24">
        <f t="shared" si="114"/>
        <v>23.5</v>
      </c>
      <c r="BK40" s="24">
        <f t="shared" si="114"/>
        <v>15.5</v>
      </c>
      <c r="BL40" s="24">
        <f t="shared" si="114"/>
        <v>3</v>
      </c>
      <c r="BM40" s="24">
        <f t="shared" si="114"/>
        <v>10.25</v>
      </c>
      <c r="BN40" s="24">
        <f t="shared" si="114"/>
        <v>8</v>
      </c>
      <c r="BO40" s="61">
        <f t="shared" si="114"/>
        <v>5.25</v>
      </c>
      <c r="BP40" s="30">
        <f t="shared" si="9"/>
        <v>-0.1546653144</v>
      </c>
      <c r="BQ40" s="31">
        <f t="shared" si="10"/>
        <v>0.03448275862</v>
      </c>
      <c r="BR40" s="31">
        <f t="shared" si="11"/>
        <v>0.2413793103</v>
      </c>
      <c r="BS40" s="31">
        <f t="shared" si="12"/>
        <v>0.2068965517</v>
      </c>
      <c r="BT40" s="31">
        <f t="shared" si="13"/>
        <v>0.1034482759</v>
      </c>
      <c r="BU40" s="31">
        <f t="shared" si="14"/>
        <v>0</v>
      </c>
      <c r="BV40" s="31">
        <f t="shared" si="15"/>
        <v>0.9655172414</v>
      </c>
      <c r="BW40" s="31">
        <f t="shared" ref="BW40:BX40" si="115">+BR40+BS40+BT40</f>
        <v>0.5517241379</v>
      </c>
      <c r="BX40" s="32">
        <f t="shared" si="115"/>
        <v>0.3103448276</v>
      </c>
      <c r="BY40" s="60"/>
    </row>
    <row r="41" ht="15.75" customHeight="1">
      <c r="B41" s="42">
        <v>30.0</v>
      </c>
      <c r="C41" s="43">
        <v>1.0</v>
      </c>
      <c r="D41" s="3">
        <f t="shared" si="3"/>
        <v>1.866666667</v>
      </c>
      <c r="E41" s="43">
        <f t="shared" si="17"/>
        <v>19</v>
      </c>
      <c r="F41" s="2">
        <f t="shared" si="18"/>
        <v>13</v>
      </c>
      <c r="G41" s="43">
        <f t="shared" si="19"/>
        <v>9</v>
      </c>
      <c r="H41" s="43">
        <f t="shared" si="20"/>
        <v>25</v>
      </c>
      <c r="I41" s="43">
        <f t="shared" si="21"/>
        <v>16</v>
      </c>
      <c r="J41" s="43">
        <f t="shared" si="22"/>
        <v>2</v>
      </c>
      <c r="K41" s="43">
        <f t="shared" si="23"/>
        <v>12</v>
      </c>
      <c r="L41" s="43">
        <f t="shared" si="24"/>
        <v>7</v>
      </c>
      <c r="M41" s="44">
        <f t="shared" si="25"/>
        <v>6</v>
      </c>
      <c r="N41" s="43">
        <v>1.0</v>
      </c>
      <c r="O41" s="3">
        <f t="shared" si="4"/>
        <v>1.866666667</v>
      </c>
      <c r="P41" s="43">
        <f t="shared" si="26"/>
        <v>19</v>
      </c>
      <c r="Q41" s="2">
        <f t="shared" si="27"/>
        <v>12</v>
      </c>
      <c r="R41" s="43">
        <f t="shared" si="28"/>
        <v>6</v>
      </c>
      <c r="S41" s="43">
        <f t="shared" si="29"/>
        <v>21</v>
      </c>
      <c r="T41" s="43">
        <f t="shared" si="30"/>
        <v>16</v>
      </c>
      <c r="U41" s="43">
        <f t="shared" si="31"/>
        <v>4</v>
      </c>
      <c r="V41" s="43">
        <f t="shared" si="32"/>
        <v>9</v>
      </c>
      <c r="W41" s="43">
        <f t="shared" si="33"/>
        <v>10</v>
      </c>
      <c r="X41" s="44">
        <f t="shared" si="34"/>
        <v>2</v>
      </c>
      <c r="Y41" s="43">
        <v>2.0</v>
      </c>
      <c r="Z41" s="3">
        <f t="shared" si="5"/>
        <v>1.9</v>
      </c>
      <c r="AA41" s="43">
        <f t="shared" si="35"/>
        <v>19</v>
      </c>
      <c r="AB41" s="2">
        <f t="shared" si="36"/>
        <v>18</v>
      </c>
      <c r="AC41" s="43">
        <f t="shared" si="37"/>
        <v>9</v>
      </c>
      <c r="AD41" s="43">
        <f t="shared" si="38"/>
        <v>27</v>
      </c>
      <c r="AE41" s="43">
        <f t="shared" si="39"/>
        <v>19</v>
      </c>
      <c r="AF41" s="43">
        <f t="shared" si="40"/>
        <v>2</v>
      </c>
      <c r="AG41" s="43">
        <f t="shared" si="41"/>
        <v>9</v>
      </c>
      <c r="AH41" s="43">
        <f t="shared" si="42"/>
        <v>10</v>
      </c>
      <c r="AI41" s="44">
        <f t="shared" si="43"/>
        <v>8</v>
      </c>
      <c r="AJ41" s="43">
        <v>1.0</v>
      </c>
      <c r="AK41" s="3">
        <f t="shared" si="6"/>
        <v>1.5</v>
      </c>
      <c r="AL41" s="43">
        <f t="shared" si="44"/>
        <v>20</v>
      </c>
      <c r="AM41" s="2">
        <f t="shared" si="45"/>
        <v>11</v>
      </c>
      <c r="AN41" s="43">
        <f t="shared" si="46"/>
        <v>6</v>
      </c>
      <c r="AO41" s="43">
        <f t="shared" si="47"/>
        <v>25</v>
      </c>
      <c r="AP41" s="43">
        <f t="shared" si="48"/>
        <v>12</v>
      </c>
      <c r="AQ41" s="43">
        <f t="shared" si="49"/>
        <v>4</v>
      </c>
      <c r="AR41" s="43">
        <f t="shared" si="50"/>
        <v>14</v>
      </c>
      <c r="AS41" s="43">
        <f t="shared" si="51"/>
        <v>6</v>
      </c>
      <c r="AT41" s="44">
        <f t="shared" si="52"/>
        <v>5</v>
      </c>
      <c r="AU41" s="43"/>
      <c r="AV41" s="3">
        <f t="shared" si="7"/>
        <v>1.647058824</v>
      </c>
      <c r="AW41" s="43">
        <f t="shared" si="53"/>
        <v>13</v>
      </c>
      <c r="AX41" s="2">
        <f t="shared" si="54"/>
        <v>9</v>
      </c>
      <c r="AY41" s="43">
        <f t="shared" si="55"/>
        <v>3</v>
      </c>
      <c r="AZ41" s="43">
        <f t="shared" si="56"/>
        <v>16</v>
      </c>
      <c r="BA41" s="43">
        <f t="shared" si="57"/>
        <v>9</v>
      </c>
      <c r="BB41" s="43">
        <f t="shared" si="58"/>
        <v>14</v>
      </c>
      <c r="BC41" s="43">
        <f t="shared" si="59"/>
        <v>7</v>
      </c>
      <c r="BD41" s="43">
        <f t="shared" si="60"/>
        <v>6</v>
      </c>
      <c r="BE41" s="44">
        <f t="shared" si="61"/>
        <v>3</v>
      </c>
      <c r="BF41" s="46">
        <f t="shared" ref="BF41:BO41" si="116">+(AK41+Z41+O41+D41)/4</f>
        <v>1.783333333</v>
      </c>
      <c r="BG41" s="43">
        <f t="shared" si="116"/>
        <v>19.25</v>
      </c>
      <c r="BH41" s="43">
        <f t="shared" si="116"/>
        <v>13.5</v>
      </c>
      <c r="BI41" s="43">
        <f t="shared" si="116"/>
        <v>7.5</v>
      </c>
      <c r="BJ41" s="43">
        <f t="shared" si="116"/>
        <v>24.5</v>
      </c>
      <c r="BK41" s="43">
        <f t="shared" si="116"/>
        <v>15.75</v>
      </c>
      <c r="BL41" s="43">
        <f t="shared" si="116"/>
        <v>3</v>
      </c>
      <c r="BM41" s="43">
        <f t="shared" si="116"/>
        <v>11</v>
      </c>
      <c r="BN41" s="43">
        <f t="shared" si="116"/>
        <v>8.25</v>
      </c>
      <c r="BO41" s="63">
        <f t="shared" si="116"/>
        <v>5.25</v>
      </c>
      <c r="BP41" s="37">
        <f t="shared" si="9"/>
        <v>-0.1362745098</v>
      </c>
      <c r="BQ41" s="38">
        <f t="shared" si="10"/>
        <v>0.03333333333</v>
      </c>
      <c r="BR41" s="38">
        <f t="shared" si="11"/>
        <v>0.2333333333</v>
      </c>
      <c r="BS41" s="38">
        <f t="shared" si="12"/>
        <v>0.2</v>
      </c>
      <c r="BT41" s="38">
        <f t="shared" si="13"/>
        <v>0.1</v>
      </c>
      <c r="BU41" s="38">
        <f t="shared" si="14"/>
        <v>0</v>
      </c>
      <c r="BV41" s="38">
        <f t="shared" si="15"/>
        <v>0.9666666667</v>
      </c>
      <c r="BW41" s="38">
        <f t="shared" ref="BW41:BX41" si="117">+BR41+BS41+BT41</f>
        <v>0.5333333333</v>
      </c>
      <c r="BX41" s="39">
        <f t="shared" si="117"/>
        <v>0.3</v>
      </c>
    </row>
    <row r="42" ht="15.75" customHeight="1">
      <c r="A42" s="60"/>
      <c r="B42" s="40">
        <v>31.0</v>
      </c>
      <c r="C42" s="24">
        <v>0.0</v>
      </c>
      <c r="D42" s="27">
        <f t="shared" si="3"/>
        <v>1.806451613</v>
      </c>
      <c r="E42" s="24">
        <f t="shared" si="17"/>
        <v>19</v>
      </c>
      <c r="F42" s="2">
        <f t="shared" si="18"/>
        <v>13</v>
      </c>
      <c r="G42" s="24">
        <f t="shared" si="19"/>
        <v>9</v>
      </c>
      <c r="H42" s="24">
        <f t="shared" si="20"/>
        <v>25</v>
      </c>
      <c r="I42" s="24">
        <f t="shared" si="21"/>
        <v>16</v>
      </c>
      <c r="J42" s="24">
        <f t="shared" si="22"/>
        <v>3</v>
      </c>
      <c r="K42" s="24">
        <f t="shared" si="23"/>
        <v>12</v>
      </c>
      <c r="L42" s="24">
        <f t="shared" si="24"/>
        <v>7</v>
      </c>
      <c r="M42" s="28">
        <f t="shared" si="25"/>
        <v>6</v>
      </c>
      <c r="N42" s="24">
        <v>2.0</v>
      </c>
      <c r="O42" s="27">
        <f t="shared" si="4"/>
        <v>1.870967742</v>
      </c>
      <c r="P42" s="24">
        <f t="shared" si="26"/>
        <v>20</v>
      </c>
      <c r="Q42" s="2">
        <f t="shared" si="27"/>
        <v>13</v>
      </c>
      <c r="R42" s="24">
        <f t="shared" si="28"/>
        <v>6</v>
      </c>
      <c r="S42" s="24">
        <f t="shared" si="29"/>
        <v>22</v>
      </c>
      <c r="T42" s="24">
        <f t="shared" si="30"/>
        <v>17</v>
      </c>
      <c r="U42" s="24">
        <f t="shared" si="31"/>
        <v>4</v>
      </c>
      <c r="V42" s="24">
        <f t="shared" si="32"/>
        <v>9</v>
      </c>
      <c r="W42" s="24">
        <f t="shared" si="33"/>
        <v>11</v>
      </c>
      <c r="X42" s="28">
        <f t="shared" si="34"/>
        <v>2</v>
      </c>
      <c r="Y42" s="24">
        <v>3.0</v>
      </c>
      <c r="Z42" s="27">
        <f t="shared" si="5"/>
        <v>1.935483871</v>
      </c>
      <c r="AA42" s="24">
        <f t="shared" si="35"/>
        <v>19</v>
      </c>
      <c r="AB42" s="2">
        <f t="shared" si="36"/>
        <v>19</v>
      </c>
      <c r="AC42" s="24">
        <f t="shared" si="37"/>
        <v>10</v>
      </c>
      <c r="AD42" s="24">
        <f t="shared" si="38"/>
        <v>28</v>
      </c>
      <c r="AE42" s="24">
        <f t="shared" si="39"/>
        <v>20</v>
      </c>
      <c r="AF42" s="24">
        <f t="shared" si="40"/>
        <v>2</v>
      </c>
      <c r="AG42" s="24">
        <f t="shared" si="41"/>
        <v>9</v>
      </c>
      <c r="AH42" s="24">
        <f t="shared" si="42"/>
        <v>10</v>
      </c>
      <c r="AI42" s="28">
        <f t="shared" si="43"/>
        <v>9</v>
      </c>
      <c r="AJ42" s="24">
        <v>2.0</v>
      </c>
      <c r="AK42" s="27">
        <f t="shared" si="6"/>
        <v>1.516129032</v>
      </c>
      <c r="AL42" s="24">
        <f t="shared" si="44"/>
        <v>21</v>
      </c>
      <c r="AM42" s="2">
        <f t="shared" si="45"/>
        <v>12</v>
      </c>
      <c r="AN42" s="24">
        <f t="shared" si="46"/>
        <v>6</v>
      </c>
      <c r="AO42" s="24">
        <f t="shared" si="47"/>
        <v>26</v>
      </c>
      <c r="AP42" s="24">
        <f t="shared" si="48"/>
        <v>13</v>
      </c>
      <c r="AQ42" s="24">
        <f t="shared" si="49"/>
        <v>4</v>
      </c>
      <c r="AR42" s="24">
        <f t="shared" si="50"/>
        <v>14</v>
      </c>
      <c r="AS42" s="24">
        <f t="shared" si="51"/>
        <v>7</v>
      </c>
      <c r="AT42" s="28">
        <f t="shared" si="52"/>
        <v>5</v>
      </c>
      <c r="AU42" s="24"/>
      <c r="AV42" s="27">
        <f t="shared" si="7"/>
        <v>1.647058824</v>
      </c>
      <c r="AW42" s="24">
        <f t="shared" si="53"/>
        <v>13</v>
      </c>
      <c r="AX42" s="2">
        <f t="shared" si="54"/>
        <v>9</v>
      </c>
      <c r="AY42" s="24">
        <f t="shared" si="55"/>
        <v>3</v>
      </c>
      <c r="AZ42" s="24">
        <f t="shared" si="56"/>
        <v>16</v>
      </c>
      <c r="BA42" s="24">
        <f t="shared" si="57"/>
        <v>9</v>
      </c>
      <c r="BB42" s="24">
        <f t="shared" si="58"/>
        <v>15</v>
      </c>
      <c r="BC42" s="24">
        <f t="shared" si="59"/>
        <v>7</v>
      </c>
      <c r="BD42" s="24">
        <f t="shared" si="60"/>
        <v>6</v>
      </c>
      <c r="BE42" s="28">
        <f t="shared" si="61"/>
        <v>3</v>
      </c>
      <c r="BF42" s="29">
        <f t="shared" ref="BF42:BO42" si="118">+(AK42+Z42+O42+D42)/4</f>
        <v>1.782258065</v>
      </c>
      <c r="BG42" s="24">
        <f t="shared" si="118"/>
        <v>19.75</v>
      </c>
      <c r="BH42" s="24">
        <f t="shared" si="118"/>
        <v>14.25</v>
      </c>
      <c r="BI42" s="24">
        <f t="shared" si="118"/>
        <v>7.75</v>
      </c>
      <c r="BJ42" s="24">
        <f t="shared" si="118"/>
        <v>25.25</v>
      </c>
      <c r="BK42" s="24">
        <f t="shared" si="118"/>
        <v>16.5</v>
      </c>
      <c r="BL42" s="24">
        <f t="shared" si="118"/>
        <v>3.25</v>
      </c>
      <c r="BM42" s="24">
        <f t="shared" si="118"/>
        <v>11</v>
      </c>
      <c r="BN42" s="24">
        <f t="shared" si="118"/>
        <v>8.75</v>
      </c>
      <c r="BO42" s="61">
        <f t="shared" si="118"/>
        <v>5.5</v>
      </c>
      <c r="BP42" s="30">
        <f t="shared" si="9"/>
        <v>-0.135199241</v>
      </c>
      <c r="BQ42" s="31">
        <f t="shared" si="10"/>
        <v>0.03225806452</v>
      </c>
      <c r="BR42" s="31">
        <f t="shared" si="11"/>
        <v>0.2258064516</v>
      </c>
      <c r="BS42" s="31">
        <f t="shared" si="12"/>
        <v>0.1935483871</v>
      </c>
      <c r="BT42" s="31">
        <f t="shared" si="13"/>
        <v>0.09677419355</v>
      </c>
      <c r="BU42" s="31">
        <f t="shared" si="14"/>
        <v>0</v>
      </c>
      <c r="BV42" s="31">
        <f t="shared" si="15"/>
        <v>0.9677419355</v>
      </c>
      <c r="BW42" s="31">
        <f t="shared" ref="BW42:BX42" si="119">+BR42+BS42+BT42</f>
        <v>0.5161290323</v>
      </c>
      <c r="BX42" s="32">
        <f t="shared" si="119"/>
        <v>0.2903225806</v>
      </c>
      <c r="BY42" s="60"/>
    </row>
    <row r="43" ht="15.75" customHeight="1">
      <c r="B43" s="33">
        <v>32.0</v>
      </c>
      <c r="C43" s="2">
        <v>0.0</v>
      </c>
      <c r="D43" s="3">
        <f t="shared" si="3"/>
        <v>1.75</v>
      </c>
      <c r="E43" s="2">
        <f t="shared" si="17"/>
        <v>19</v>
      </c>
      <c r="F43" s="2">
        <f t="shared" si="18"/>
        <v>13</v>
      </c>
      <c r="G43" s="2">
        <f t="shared" si="19"/>
        <v>9</v>
      </c>
      <c r="H43" s="2">
        <f t="shared" si="20"/>
        <v>25</v>
      </c>
      <c r="I43" s="2">
        <f t="shared" si="21"/>
        <v>16</v>
      </c>
      <c r="J43" s="2">
        <f t="shared" si="22"/>
        <v>4</v>
      </c>
      <c r="K43" s="2">
        <f t="shared" si="23"/>
        <v>12</v>
      </c>
      <c r="L43" s="2">
        <f t="shared" si="24"/>
        <v>7</v>
      </c>
      <c r="M43" s="34">
        <f t="shared" si="25"/>
        <v>6</v>
      </c>
      <c r="N43" s="2">
        <v>1.0</v>
      </c>
      <c r="O43" s="3">
        <f t="shared" si="4"/>
        <v>1.84375</v>
      </c>
      <c r="P43" s="2">
        <f t="shared" si="26"/>
        <v>21</v>
      </c>
      <c r="Q43" s="2">
        <f t="shared" si="27"/>
        <v>13</v>
      </c>
      <c r="R43" s="2">
        <f t="shared" si="28"/>
        <v>6</v>
      </c>
      <c r="S43" s="2">
        <f t="shared" si="29"/>
        <v>23</v>
      </c>
      <c r="T43" s="2">
        <f t="shared" si="30"/>
        <v>17</v>
      </c>
      <c r="U43" s="2">
        <f t="shared" si="31"/>
        <v>4</v>
      </c>
      <c r="V43" s="2">
        <f t="shared" si="32"/>
        <v>10</v>
      </c>
      <c r="W43" s="2">
        <f t="shared" si="33"/>
        <v>11</v>
      </c>
      <c r="X43" s="34">
        <f t="shared" si="34"/>
        <v>2</v>
      </c>
      <c r="Y43" s="2">
        <v>3.0</v>
      </c>
      <c r="Z43" s="3">
        <f t="shared" si="5"/>
        <v>1.96875</v>
      </c>
      <c r="AA43" s="2">
        <f t="shared" si="35"/>
        <v>19</v>
      </c>
      <c r="AB43" s="2">
        <f t="shared" si="36"/>
        <v>20</v>
      </c>
      <c r="AC43" s="2">
        <f t="shared" si="37"/>
        <v>11</v>
      </c>
      <c r="AD43" s="2">
        <f t="shared" si="38"/>
        <v>29</v>
      </c>
      <c r="AE43" s="2">
        <f t="shared" si="39"/>
        <v>21</v>
      </c>
      <c r="AF43" s="2">
        <f t="shared" si="40"/>
        <v>2</v>
      </c>
      <c r="AG43" s="2">
        <f t="shared" si="41"/>
        <v>9</v>
      </c>
      <c r="AH43" s="2">
        <f t="shared" si="42"/>
        <v>10</v>
      </c>
      <c r="AI43" s="34">
        <f t="shared" si="43"/>
        <v>10</v>
      </c>
      <c r="AJ43" s="2">
        <v>4.0</v>
      </c>
      <c r="AK43" s="3">
        <f t="shared" si="6"/>
        <v>1.59375</v>
      </c>
      <c r="AL43" s="2">
        <f t="shared" si="44"/>
        <v>21</v>
      </c>
      <c r="AM43" s="2">
        <f t="shared" si="45"/>
        <v>12</v>
      </c>
      <c r="AN43" s="2">
        <f t="shared" si="46"/>
        <v>7</v>
      </c>
      <c r="AO43" s="2">
        <f t="shared" si="47"/>
        <v>26</v>
      </c>
      <c r="AP43" s="2">
        <f t="shared" si="48"/>
        <v>14</v>
      </c>
      <c r="AQ43" s="2">
        <f t="shared" si="49"/>
        <v>4</v>
      </c>
      <c r="AR43" s="2">
        <f t="shared" si="50"/>
        <v>14</v>
      </c>
      <c r="AS43" s="2">
        <f t="shared" si="51"/>
        <v>7</v>
      </c>
      <c r="AT43" s="34">
        <f t="shared" si="52"/>
        <v>5</v>
      </c>
      <c r="AU43" s="2"/>
      <c r="AV43" s="3">
        <f t="shared" si="7"/>
        <v>1.647058824</v>
      </c>
      <c r="AW43" s="2">
        <f t="shared" si="53"/>
        <v>13</v>
      </c>
      <c r="AX43" s="2">
        <f t="shared" si="54"/>
        <v>9</v>
      </c>
      <c r="AY43" s="2">
        <f t="shared" si="55"/>
        <v>3</v>
      </c>
      <c r="AZ43" s="2">
        <f t="shared" si="56"/>
        <v>16</v>
      </c>
      <c r="BA43" s="2">
        <f t="shared" si="57"/>
        <v>9</v>
      </c>
      <c r="BB43" s="2">
        <f t="shared" si="58"/>
        <v>16</v>
      </c>
      <c r="BC43" s="2">
        <f t="shared" si="59"/>
        <v>7</v>
      </c>
      <c r="BD43" s="2">
        <f t="shared" si="60"/>
        <v>6</v>
      </c>
      <c r="BE43" s="34">
        <f t="shared" si="61"/>
        <v>3</v>
      </c>
      <c r="BF43" s="36">
        <f t="shared" ref="BF43:BO43" si="120">+(AK43+Z43+O43+D43)/4</f>
        <v>1.7890625</v>
      </c>
      <c r="BG43" s="2">
        <f t="shared" si="120"/>
        <v>20</v>
      </c>
      <c r="BH43" s="2">
        <f t="shared" si="120"/>
        <v>14.5</v>
      </c>
      <c r="BI43" s="2">
        <f t="shared" si="120"/>
        <v>8.25</v>
      </c>
      <c r="BJ43" s="2">
        <f t="shared" si="120"/>
        <v>25.75</v>
      </c>
      <c r="BK43" s="2">
        <f t="shared" si="120"/>
        <v>17</v>
      </c>
      <c r="BL43" s="2">
        <f t="shared" si="120"/>
        <v>3.5</v>
      </c>
      <c r="BM43" s="2">
        <f t="shared" si="120"/>
        <v>11.25</v>
      </c>
      <c r="BN43" s="2">
        <f t="shared" si="120"/>
        <v>8.75</v>
      </c>
      <c r="BO43" s="62">
        <f t="shared" si="120"/>
        <v>5.75</v>
      </c>
      <c r="BP43" s="37">
        <f t="shared" si="9"/>
        <v>-0.1420036765</v>
      </c>
      <c r="BQ43" s="38">
        <f t="shared" si="10"/>
        <v>0.03125</v>
      </c>
      <c r="BR43" s="38">
        <f t="shared" si="11"/>
        <v>0.21875</v>
      </c>
      <c r="BS43" s="38">
        <f t="shared" si="12"/>
        <v>0.1875</v>
      </c>
      <c r="BT43" s="38">
        <f t="shared" si="13"/>
        <v>0.09375</v>
      </c>
      <c r="BU43" s="38">
        <f t="shared" si="14"/>
        <v>0</v>
      </c>
      <c r="BV43" s="38">
        <f t="shared" si="15"/>
        <v>0.96875</v>
      </c>
      <c r="BW43" s="38">
        <f t="shared" ref="BW43:BX43" si="121">+BR43+BS43+BT43</f>
        <v>0.5</v>
      </c>
      <c r="BX43" s="39">
        <f t="shared" si="121"/>
        <v>0.28125</v>
      </c>
    </row>
    <row r="44" ht="15.75" customHeight="1">
      <c r="A44" s="60"/>
      <c r="B44" s="40">
        <v>33.0</v>
      </c>
      <c r="C44" s="24">
        <v>2.0</v>
      </c>
      <c r="D44" s="27">
        <f t="shared" si="3"/>
        <v>1.757575758</v>
      </c>
      <c r="E44" s="24">
        <f t="shared" si="17"/>
        <v>20</v>
      </c>
      <c r="F44" s="2">
        <f t="shared" si="18"/>
        <v>14</v>
      </c>
      <c r="G44" s="24">
        <f t="shared" si="19"/>
        <v>9</v>
      </c>
      <c r="H44" s="24">
        <f t="shared" si="20"/>
        <v>26</v>
      </c>
      <c r="I44" s="24">
        <f t="shared" si="21"/>
        <v>17</v>
      </c>
      <c r="J44" s="24">
        <f t="shared" si="22"/>
        <v>4</v>
      </c>
      <c r="K44" s="24">
        <f t="shared" si="23"/>
        <v>12</v>
      </c>
      <c r="L44" s="24">
        <f t="shared" si="24"/>
        <v>8</v>
      </c>
      <c r="M44" s="28">
        <f t="shared" si="25"/>
        <v>6</v>
      </c>
      <c r="N44" s="24">
        <v>1.0</v>
      </c>
      <c r="O44" s="27">
        <f t="shared" si="4"/>
        <v>1.818181818</v>
      </c>
      <c r="P44" s="24">
        <f t="shared" si="26"/>
        <v>22</v>
      </c>
      <c r="Q44" s="2">
        <f t="shared" si="27"/>
        <v>13</v>
      </c>
      <c r="R44" s="24">
        <f t="shared" si="28"/>
        <v>6</v>
      </c>
      <c r="S44" s="24">
        <f t="shared" si="29"/>
        <v>24</v>
      </c>
      <c r="T44" s="24">
        <f t="shared" si="30"/>
        <v>17</v>
      </c>
      <c r="U44" s="24">
        <f t="shared" si="31"/>
        <v>4</v>
      </c>
      <c r="V44" s="24">
        <f t="shared" si="32"/>
        <v>11</v>
      </c>
      <c r="W44" s="24">
        <f t="shared" si="33"/>
        <v>11</v>
      </c>
      <c r="X44" s="28">
        <f t="shared" si="34"/>
        <v>2</v>
      </c>
      <c r="Y44" s="24">
        <v>1.0</v>
      </c>
      <c r="Z44" s="27">
        <f t="shared" si="5"/>
        <v>1.939393939</v>
      </c>
      <c r="AA44" s="24">
        <f t="shared" si="35"/>
        <v>20</v>
      </c>
      <c r="AB44" s="2">
        <f t="shared" si="36"/>
        <v>20</v>
      </c>
      <c r="AC44" s="24">
        <f t="shared" si="37"/>
        <v>11</v>
      </c>
      <c r="AD44" s="24">
        <f t="shared" si="38"/>
        <v>30</v>
      </c>
      <c r="AE44" s="24">
        <f t="shared" si="39"/>
        <v>21</v>
      </c>
      <c r="AF44" s="24">
        <f t="shared" si="40"/>
        <v>2</v>
      </c>
      <c r="AG44" s="24">
        <f t="shared" si="41"/>
        <v>10</v>
      </c>
      <c r="AH44" s="24">
        <f t="shared" si="42"/>
        <v>10</v>
      </c>
      <c r="AI44" s="28">
        <f t="shared" si="43"/>
        <v>10</v>
      </c>
      <c r="AJ44" s="24">
        <v>0.0</v>
      </c>
      <c r="AK44" s="27">
        <f t="shared" si="6"/>
        <v>1.545454545</v>
      </c>
      <c r="AL44" s="24">
        <f t="shared" si="44"/>
        <v>21</v>
      </c>
      <c r="AM44" s="2">
        <f t="shared" si="45"/>
        <v>12</v>
      </c>
      <c r="AN44" s="24">
        <f t="shared" si="46"/>
        <v>7</v>
      </c>
      <c r="AO44" s="24">
        <f t="shared" si="47"/>
        <v>26</v>
      </c>
      <c r="AP44" s="24">
        <f t="shared" si="48"/>
        <v>14</v>
      </c>
      <c r="AQ44" s="24">
        <f t="shared" si="49"/>
        <v>5</v>
      </c>
      <c r="AR44" s="24">
        <f t="shared" si="50"/>
        <v>14</v>
      </c>
      <c r="AS44" s="24">
        <f t="shared" si="51"/>
        <v>7</v>
      </c>
      <c r="AT44" s="28">
        <f t="shared" si="52"/>
        <v>5</v>
      </c>
      <c r="AU44" s="24"/>
      <c r="AV44" s="27">
        <f t="shared" si="7"/>
        <v>1.647058824</v>
      </c>
      <c r="AW44" s="24">
        <f t="shared" si="53"/>
        <v>13</v>
      </c>
      <c r="AX44" s="2">
        <f t="shared" si="54"/>
        <v>9</v>
      </c>
      <c r="AY44" s="24">
        <f t="shared" si="55"/>
        <v>3</v>
      </c>
      <c r="AZ44" s="24">
        <f t="shared" si="56"/>
        <v>16</v>
      </c>
      <c r="BA44" s="24">
        <f t="shared" si="57"/>
        <v>9</v>
      </c>
      <c r="BB44" s="24">
        <f t="shared" si="58"/>
        <v>17</v>
      </c>
      <c r="BC44" s="24">
        <f t="shared" si="59"/>
        <v>7</v>
      </c>
      <c r="BD44" s="24">
        <f t="shared" si="60"/>
        <v>6</v>
      </c>
      <c r="BE44" s="28">
        <f t="shared" si="61"/>
        <v>3</v>
      </c>
      <c r="BF44" s="29">
        <f t="shared" ref="BF44:BO44" si="122">+(AK44+Z44+O44+D44)/4</f>
        <v>1.765151515</v>
      </c>
      <c r="BG44" s="24">
        <f t="shared" si="122"/>
        <v>20.75</v>
      </c>
      <c r="BH44" s="24">
        <f t="shared" si="122"/>
        <v>14.75</v>
      </c>
      <c r="BI44" s="24">
        <f t="shared" si="122"/>
        <v>8.25</v>
      </c>
      <c r="BJ44" s="24">
        <f t="shared" si="122"/>
        <v>26.5</v>
      </c>
      <c r="BK44" s="24">
        <f t="shared" si="122"/>
        <v>17.25</v>
      </c>
      <c r="BL44" s="24">
        <f t="shared" si="122"/>
        <v>3.75</v>
      </c>
      <c r="BM44" s="24">
        <f t="shared" si="122"/>
        <v>11.75</v>
      </c>
      <c r="BN44" s="24">
        <f t="shared" si="122"/>
        <v>9</v>
      </c>
      <c r="BO44" s="61">
        <f t="shared" si="122"/>
        <v>5.75</v>
      </c>
      <c r="BP44" s="30">
        <f t="shared" si="9"/>
        <v>-0.1180926916</v>
      </c>
      <c r="BQ44" s="31">
        <f t="shared" si="10"/>
        <v>0.0303030303</v>
      </c>
      <c r="BR44" s="31">
        <f t="shared" si="11"/>
        <v>0.2121212121</v>
      </c>
      <c r="BS44" s="31">
        <f t="shared" si="12"/>
        <v>0.1818181818</v>
      </c>
      <c r="BT44" s="31">
        <f t="shared" si="13"/>
        <v>0.09090909091</v>
      </c>
      <c r="BU44" s="31">
        <f t="shared" si="14"/>
        <v>0</v>
      </c>
      <c r="BV44" s="31">
        <f t="shared" si="15"/>
        <v>0.9696969697</v>
      </c>
      <c r="BW44" s="31">
        <f t="shared" ref="BW44:BX44" si="123">+BR44+BS44+BT44</f>
        <v>0.4848484848</v>
      </c>
      <c r="BX44" s="32">
        <f t="shared" si="123"/>
        <v>0.2727272727</v>
      </c>
      <c r="BY44" s="60"/>
    </row>
    <row r="45" ht="15.75" customHeight="1">
      <c r="B45" s="33">
        <v>34.0</v>
      </c>
      <c r="C45" s="2">
        <v>2.0</v>
      </c>
      <c r="D45" s="3">
        <f t="shared" si="3"/>
        <v>1.764705882</v>
      </c>
      <c r="E45" s="2">
        <f t="shared" si="17"/>
        <v>21</v>
      </c>
      <c r="F45" s="2">
        <f t="shared" si="18"/>
        <v>15</v>
      </c>
      <c r="G45" s="2">
        <f t="shared" si="19"/>
        <v>9</v>
      </c>
      <c r="H45" s="2">
        <f t="shared" si="20"/>
        <v>27</v>
      </c>
      <c r="I45" s="2">
        <f t="shared" si="21"/>
        <v>18</v>
      </c>
      <c r="J45" s="2">
        <f t="shared" si="22"/>
        <v>4</v>
      </c>
      <c r="K45" s="2">
        <f t="shared" si="23"/>
        <v>12</v>
      </c>
      <c r="L45" s="2">
        <f t="shared" si="24"/>
        <v>9</v>
      </c>
      <c r="M45" s="34">
        <f t="shared" si="25"/>
        <v>6</v>
      </c>
      <c r="N45" s="2">
        <v>2.0</v>
      </c>
      <c r="O45" s="3">
        <f t="shared" si="4"/>
        <v>1.823529412</v>
      </c>
      <c r="P45" s="2">
        <f t="shared" si="26"/>
        <v>23</v>
      </c>
      <c r="Q45" s="2">
        <f t="shared" si="27"/>
        <v>14</v>
      </c>
      <c r="R45" s="2">
        <f t="shared" si="28"/>
        <v>6</v>
      </c>
      <c r="S45" s="2">
        <f t="shared" si="29"/>
        <v>25</v>
      </c>
      <c r="T45" s="2">
        <f t="shared" si="30"/>
        <v>18</v>
      </c>
      <c r="U45" s="2">
        <f t="shared" si="31"/>
        <v>4</v>
      </c>
      <c r="V45" s="2">
        <f t="shared" si="32"/>
        <v>11</v>
      </c>
      <c r="W45" s="2">
        <f t="shared" si="33"/>
        <v>12</v>
      </c>
      <c r="X45" s="34">
        <f t="shared" si="34"/>
        <v>2</v>
      </c>
      <c r="Y45" s="2">
        <v>0.0</v>
      </c>
      <c r="Z45" s="3">
        <f t="shared" si="5"/>
        <v>1.882352941</v>
      </c>
      <c r="AA45" s="2">
        <f t="shared" si="35"/>
        <v>20</v>
      </c>
      <c r="AB45" s="2">
        <f t="shared" si="36"/>
        <v>20</v>
      </c>
      <c r="AC45" s="2">
        <f t="shared" si="37"/>
        <v>11</v>
      </c>
      <c r="AD45" s="2">
        <f t="shared" si="38"/>
        <v>30</v>
      </c>
      <c r="AE45" s="2">
        <f t="shared" si="39"/>
        <v>21</v>
      </c>
      <c r="AF45" s="2">
        <f t="shared" si="40"/>
        <v>3</v>
      </c>
      <c r="AG45" s="2">
        <f t="shared" si="41"/>
        <v>10</v>
      </c>
      <c r="AH45" s="2">
        <f t="shared" si="42"/>
        <v>10</v>
      </c>
      <c r="AI45" s="34">
        <f t="shared" si="43"/>
        <v>10</v>
      </c>
      <c r="AJ45" s="2">
        <v>2.0</v>
      </c>
      <c r="AK45" s="3">
        <f t="shared" si="6"/>
        <v>1.558823529</v>
      </c>
      <c r="AL45" s="2">
        <f t="shared" si="44"/>
        <v>22</v>
      </c>
      <c r="AM45" s="2">
        <f t="shared" si="45"/>
        <v>13</v>
      </c>
      <c r="AN45" s="2">
        <f t="shared" si="46"/>
        <v>7</v>
      </c>
      <c r="AO45" s="2">
        <f t="shared" si="47"/>
        <v>27</v>
      </c>
      <c r="AP45" s="2">
        <f t="shared" si="48"/>
        <v>15</v>
      </c>
      <c r="AQ45" s="2">
        <f t="shared" si="49"/>
        <v>5</v>
      </c>
      <c r="AR45" s="2">
        <f t="shared" si="50"/>
        <v>14</v>
      </c>
      <c r="AS45" s="2">
        <f t="shared" si="51"/>
        <v>8</v>
      </c>
      <c r="AT45" s="34">
        <f t="shared" si="52"/>
        <v>5</v>
      </c>
      <c r="AU45" s="2"/>
      <c r="AV45" s="3">
        <f t="shared" si="7"/>
        <v>1.647058824</v>
      </c>
      <c r="AW45" s="2">
        <f t="shared" si="53"/>
        <v>13</v>
      </c>
      <c r="AX45" s="2">
        <f t="shared" si="54"/>
        <v>9</v>
      </c>
      <c r="AY45" s="2">
        <f t="shared" si="55"/>
        <v>3</v>
      </c>
      <c r="AZ45" s="2">
        <f t="shared" si="56"/>
        <v>16</v>
      </c>
      <c r="BA45" s="2">
        <f t="shared" si="57"/>
        <v>9</v>
      </c>
      <c r="BB45" s="2">
        <f t="shared" si="58"/>
        <v>18</v>
      </c>
      <c r="BC45" s="2">
        <f t="shared" si="59"/>
        <v>7</v>
      </c>
      <c r="BD45" s="2">
        <f t="shared" si="60"/>
        <v>6</v>
      </c>
      <c r="BE45" s="34">
        <f t="shared" si="61"/>
        <v>3</v>
      </c>
      <c r="BF45" s="36">
        <f t="shared" ref="BF45:BO45" si="124">+(AK45+Z45+O45+D45)/4</f>
        <v>1.757352941</v>
      </c>
      <c r="BG45" s="2">
        <f t="shared" si="124"/>
        <v>21.5</v>
      </c>
      <c r="BH45" s="2">
        <f t="shared" si="124"/>
        <v>15.5</v>
      </c>
      <c r="BI45" s="2">
        <f t="shared" si="124"/>
        <v>8.25</v>
      </c>
      <c r="BJ45" s="2">
        <f t="shared" si="124"/>
        <v>27.25</v>
      </c>
      <c r="BK45" s="2">
        <f t="shared" si="124"/>
        <v>18</v>
      </c>
      <c r="BL45" s="2">
        <f t="shared" si="124"/>
        <v>4</v>
      </c>
      <c r="BM45" s="2">
        <f t="shared" si="124"/>
        <v>11.75</v>
      </c>
      <c r="BN45" s="2">
        <f t="shared" si="124"/>
        <v>9.75</v>
      </c>
      <c r="BO45" s="62">
        <f t="shared" si="124"/>
        <v>5.75</v>
      </c>
      <c r="BP45" s="37">
        <f t="shared" si="9"/>
        <v>-0.1102941176</v>
      </c>
      <c r="BQ45" s="38">
        <f t="shared" si="10"/>
        <v>0.02941176471</v>
      </c>
      <c r="BR45" s="38">
        <f t="shared" si="11"/>
        <v>0.2058823529</v>
      </c>
      <c r="BS45" s="38">
        <f t="shared" si="12"/>
        <v>0.1764705882</v>
      </c>
      <c r="BT45" s="38">
        <f t="shared" si="13"/>
        <v>0.08823529412</v>
      </c>
      <c r="BU45" s="38">
        <f t="shared" si="14"/>
        <v>0</v>
      </c>
      <c r="BV45" s="38">
        <f t="shared" si="15"/>
        <v>0.9705882353</v>
      </c>
      <c r="BW45" s="38">
        <f t="shared" ref="BW45:BX45" si="125">+BR45+BS45+BT45</f>
        <v>0.4705882353</v>
      </c>
      <c r="BX45" s="39">
        <f t="shared" si="125"/>
        <v>0.2647058824</v>
      </c>
    </row>
    <row r="46" ht="15.75" customHeight="1">
      <c r="A46" s="60"/>
      <c r="B46" s="40">
        <v>35.0</v>
      </c>
      <c r="C46" s="24">
        <v>1.0</v>
      </c>
      <c r="D46" s="27">
        <f t="shared" si="3"/>
        <v>1.742857143</v>
      </c>
      <c r="E46" s="24">
        <f t="shared" si="17"/>
        <v>22</v>
      </c>
      <c r="F46" s="2">
        <f t="shared" si="18"/>
        <v>15</v>
      </c>
      <c r="G46" s="24">
        <f t="shared" si="19"/>
        <v>9</v>
      </c>
      <c r="H46" s="24">
        <f t="shared" si="20"/>
        <v>28</v>
      </c>
      <c r="I46" s="24">
        <f t="shared" si="21"/>
        <v>18</v>
      </c>
      <c r="J46" s="24">
        <f t="shared" si="22"/>
        <v>4</v>
      </c>
      <c r="K46" s="24">
        <f t="shared" si="23"/>
        <v>13</v>
      </c>
      <c r="L46" s="24">
        <f t="shared" si="24"/>
        <v>9</v>
      </c>
      <c r="M46" s="28">
        <f t="shared" si="25"/>
        <v>6</v>
      </c>
      <c r="N46" s="24">
        <v>0.0</v>
      </c>
      <c r="O46" s="27">
        <f t="shared" si="4"/>
        <v>1.771428571</v>
      </c>
      <c r="P46" s="24">
        <f t="shared" si="26"/>
        <v>23</v>
      </c>
      <c r="Q46" s="2">
        <f t="shared" si="27"/>
        <v>14</v>
      </c>
      <c r="R46" s="24">
        <f t="shared" si="28"/>
        <v>6</v>
      </c>
      <c r="S46" s="24">
        <f t="shared" si="29"/>
        <v>25</v>
      </c>
      <c r="T46" s="24">
        <f t="shared" si="30"/>
        <v>18</v>
      </c>
      <c r="U46" s="24">
        <f t="shared" si="31"/>
        <v>5</v>
      </c>
      <c r="V46" s="24">
        <f t="shared" si="32"/>
        <v>11</v>
      </c>
      <c r="W46" s="24">
        <f t="shared" si="33"/>
        <v>12</v>
      </c>
      <c r="X46" s="28">
        <f t="shared" si="34"/>
        <v>2</v>
      </c>
      <c r="Y46" s="24">
        <v>3.0</v>
      </c>
      <c r="Z46" s="27">
        <f t="shared" si="5"/>
        <v>1.914285714</v>
      </c>
      <c r="AA46" s="24">
        <f t="shared" si="35"/>
        <v>20</v>
      </c>
      <c r="AB46" s="2">
        <f t="shared" si="36"/>
        <v>21</v>
      </c>
      <c r="AC46" s="24">
        <f t="shared" si="37"/>
        <v>12</v>
      </c>
      <c r="AD46" s="24">
        <f t="shared" si="38"/>
        <v>31</v>
      </c>
      <c r="AE46" s="24">
        <f t="shared" si="39"/>
        <v>22</v>
      </c>
      <c r="AF46" s="24">
        <f t="shared" si="40"/>
        <v>3</v>
      </c>
      <c r="AG46" s="24">
        <f t="shared" si="41"/>
        <v>10</v>
      </c>
      <c r="AH46" s="24">
        <f t="shared" si="42"/>
        <v>10</v>
      </c>
      <c r="AI46" s="28">
        <f t="shared" si="43"/>
        <v>11</v>
      </c>
      <c r="AJ46" s="24">
        <v>2.0</v>
      </c>
      <c r="AK46" s="27">
        <f t="shared" si="6"/>
        <v>1.571428571</v>
      </c>
      <c r="AL46" s="24">
        <f t="shared" si="44"/>
        <v>23</v>
      </c>
      <c r="AM46" s="2">
        <f t="shared" si="45"/>
        <v>14</v>
      </c>
      <c r="AN46" s="24">
        <f t="shared" si="46"/>
        <v>7</v>
      </c>
      <c r="AO46" s="24">
        <f t="shared" si="47"/>
        <v>28</v>
      </c>
      <c r="AP46" s="24">
        <f t="shared" si="48"/>
        <v>16</v>
      </c>
      <c r="AQ46" s="24">
        <f t="shared" si="49"/>
        <v>5</v>
      </c>
      <c r="AR46" s="24">
        <f t="shared" si="50"/>
        <v>14</v>
      </c>
      <c r="AS46" s="24">
        <f t="shared" si="51"/>
        <v>9</v>
      </c>
      <c r="AT46" s="28">
        <f t="shared" si="52"/>
        <v>5</v>
      </c>
      <c r="AU46" s="24"/>
      <c r="AV46" s="27">
        <f t="shared" si="7"/>
        <v>1.647058824</v>
      </c>
      <c r="AW46" s="24">
        <f t="shared" si="53"/>
        <v>13</v>
      </c>
      <c r="AX46" s="2">
        <f t="shared" si="54"/>
        <v>9</v>
      </c>
      <c r="AY46" s="24">
        <f t="shared" si="55"/>
        <v>3</v>
      </c>
      <c r="AZ46" s="24">
        <f t="shared" si="56"/>
        <v>16</v>
      </c>
      <c r="BA46" s="24">
        <f t="shared" si="57"/>
        <v>9</v>
      </c>
      <c r="BB46" s="24">
        <f t="shared" si="58"/>
        <v>19</v>
      </c>
      <c r="BC46" s="24">
        <f t="shared" si="59"/>
        <v>7</v>
      </c>
      <c r="BD46" s="24">
        <f t="shared" si="60"/>
        <v>6</v>
      </c>
      <c r="BE46" s="28">
        <f t="shared" si="61"/>
        <v>3</v>
      </c>
      <c r="BF46" s="29">
        <f t="shared" ref="BF46:BO46" si="126">+(AK46+Z46+O46+D46)/4</f>
        <v>1.75</v>
      </c>
      <c r="BG46" s="24">
        <f t="shared" si="126"/>
        <v>22</v>
      </c>
      <c r="BH46" s="24">
        <f t="shared" si="126"/>
        <v>16</v>
      </c>
      <c r="BI46" s="24">
        <f t="shared" si="126"/>
        <v>8.5</v>
      </c>
      <c r="BJ46" s="24">
        <f t="shared" si="126"/>
        <v>28</v>
      </c>
      <c r="BK46" s="24">
        <f t="shared" si="126"/>
        <v>18.5</v>
      </c>
      <c r="BL46" s="24">
        <f t="shared" si="126"/>
        <v>4.25</v>
      </c>
      <c r="BM46" s="24">
        <f t="shared" si="126"/>
        <v>12</v>
      </c>
      <c r="BN46" s="24">
        <f t="shared" si="126"/>
        <v>10</v>
      </c>
      <c r="BO46" s="61">
        <f t="shared" si="126"/>
        <v>6</v>
      </c>
      <c r="BP46" s="30">
        <f t="shared" si="9"/>
        <v>-0.1029411765</v>
      </c>
      <c r="BQ46" s="31">
        <f t="shared" si="10"/>
        <v>0.02857142857</v>
      </c>
      <c r="BR46" s="31">
        <f t="shared" si="11"/>
        <v>0.2</v>
      </c>
      <c r="BS46" s="31">
        <f t="shared" si="12"/>
        <v>0.1714285714</v>
      </c>
      <c r="BT46" s="31">
        <f t="shared" si="13"/>
        <v>0.08571428571</v>
      </c>
      <c r="BU46" s="31">
        <f t="shared" si="14"/>
        <v>0</v>
      </c>
      <c r="BV46" s="31">
        <f t="shared" si="15"/>
        <v>0.9714285714</v>
      </c>
      <c r="BW46" s="31">
        <f t="shared" ref="BW46:BX46" si="127">+BR46+BS46+BT46</f>
        <v>0.4571428571</v>
      </c>
      <c r="BX46" s="32">
        <f t="shared" si="127"/>
        <v>0.2571428571</v>
      </c>
      <c r="BY46" s="60"/>
    </row>
    <row r="47" ht="15.75" customHeight="1">
      <c r="B47" s="33">
        <v>36.0</v>
      </c>
      <c r="C47" s="2">
        <v>3.0</v>
      </c>
      <c r="D47" s="3">
        <f t="shared" si="3"/>
        <v>1.777777778</v>
      </c>
      <c r="E47" s="2">
        <f t="shared" si="17"/>
        <v>22</v>
      </c>
      <c r="F47" s="2">
        <f t="shared" si="18"/>
        <v>16</v>
      </c>
      <c r="G47" s="2">
        <f t="shared" si="19"/>
        <v>10</v>
      </c>
      <c r="H47" s="2">
        <f t="shared" si="20"/>
        <v>29</v>
      </c>
      <c r="I47" s="2">
        <f t="shared" si="21"/>
        <v>19</v>
      </c>
      <c r="J47" s="2">
        <f t="shared" si="22"/>
        <v>4</v>
      </c>
      <c r="K47" s="2">
        <f t="shared" si="23"/>
        <v>13</v>
      </c>
      <c r="L47" s="2">
        <f t="shared" si="24"/>
        <v>9</v>
      </c>
      <c r="M47" s="34">
        <f t="shared" si="25"/>
        <v>7</v>
      </c>
      <c r="N47" s="2">
        <v>5.0</v>
      </c>
      <c r="O47" s="3">
        <f t="shared" si="4"/>
        <v>1.861111111</v>
      </c>
      <c r="P47" s="2">
        <f t="shared" si="26"/>
        <v>23</v>
      </c>
      <c r="Q47" s="2">
        <f t="shared" si="27"/>
        <v>14</v>
      </c>
      <c r="R47" s="2">
        <f t="shared" si="28"/>
        <v>6</v>
      </c>
      <c r="S47" s="2">
        <f t="shared" si="29"/>
        <v>25</v>
      </c>
      <c r="T47" s="2">
        <f t="shared" si="30"/>
        <v>18</v>
      </c>
      <c r="U47" s="2">
        <f t="shared" si="31"/>
        <v>5</v>
      </c>
      <c r="V47" s="2">
        <f t="shared" si="32"/>
        <v>11</v>
      </c>
      <c r="W47" s="2">
        <f t="shared" si="33"/>
        <v>12</v>
      </c>
      <c r="X47" s="34">
        <f t="shared" si="34"/>
        <v>2</v>
      </c>
      <c r="Y47" s="2">
        <v>5.0</v>
      </c>
      <c r="Z47" s="3">
        <f t="shared" si="5"/>
        <v>2</v>
      </c>
      <c r="AA47" s="2">
        <f t="shared" si="35"/>
        <v>20</v>
      </c>
      <c r="AB47" s="2">
        <f t="shared" si="36"/>
        <v>21</v>
      </c>
      <c r="AC47" s="2">
        <f t="shared" si="37"/>
        <v>12</v>
      </c>
      <c r="AD47" s="2">
        <f t="shared" si="38"/>
        <v>31</v>
      </c>
      <c r="AE47" s="2">
        <f t="shared" si="39"/>
        <v>22</v>
      </c>
      <c r="AF47" s="2">
        <f t="shared" si="40"/>
        <v>3</v>
      </c>
      <c r="AG47" s="2">
        <f t="shared" si="41"/>
        <v>10</v>
      </c>
      <c r="AH47" s="2">
        <f t="shared" si="42"/>
        <v>10</v>
      </c>
      <c r="AI47" s="34">
        <f t="shared" si="43"/>
        <v>11</v>
      </c>
      <c r="AJ47" s="2">
        <v>3.0</v>
      </c>
      <c r="AK47" s="3">
        <f t="shared" si="6"/>
        <v>1.611111111</v>
      </c>
      <c r="AL47" s="2">
        <f t="shared" si="44"/>
        <v>23</v>
      </c>
      <c r="AM47" s="2">
        <f t="shared" si="45"/>
        <v>15</v>
      </c>
      <c r="AN47" s="2">
        <f t="shared" si="46"/>
        <v>8</v>
      </c>
      <c r="AO47" s="2">
        <f t="shared" si="47"/>
        <v>29</v>
      </c>
      <c r="AP47" s="2">
        <f t="shared" si="48"/>
        <v>17</v>
      </c>
      <c r="AQ47" s="2">
        <f t="shared" si="49"/>
        <v>5</v>
      </c>
      <c r="AR47" s="2">
        <f t="shared" si="50"/>
        <v>14</v>
      </c>
      <c r="AS47" s="2">
        <f t="shared" si="51"/>
        <v>9</v>
      </c>
      <c r="AT47" s="34">
        <f t="shared" si="52"/>
        <v>6</v>
      </c>
      <c r="AU47" s="2"/>
      <c r="AV47" s="3">
        <f t="shared" si="7"/>
        <v>1.647058824</v>
      </c>
      <c r="AW47" s="2">
        <f t="shared" si="53"/>
        <v>13</v>
      </c>
      <c r="AX47" s="2">
        <f t="shared" si="54"/>
        <v>9</v>
      </c>
      <c r="AY47" s="2">
        <f t="shared" si="55"/>
        <v>3</v>
      </c>
      <c r="AZ47" s="2">
        <f t="shared" si="56"/>
        <v>16</v>
      </c>
      <c r="BA47" s="2">
        <f t="shared" si="57"/>
        <v>9</v>
      </c>
      <c r="BB47" s="2">
        <f t="shared" si="58"/>
        <v>20</v>
      </c>
      <c r="BC47" s="2">
        <f t="shared" si="59"/>
        <v>7</v>
      </c>
      <c r="BD47" s="2">
        <f t="shared" si="60"/>
        <v>6</v>
      </c>
      <c r="BE47" s="34">
        <f t="shared" si="61"/>
        <v>3</v>
      </c>
      <c r="BF47" s="36">
        <f t="shared" ref="BF47:BO47" si="128">+(AK47+Z47+O47+D47)/4</f>
        <v>1.8125</v>
      </c>
      <c r="BG47" s="2">
        <f t="shared" si="128"/>
        <v>22</v>
      </c>
      <c r="BH47" s="2">
        <f t="shared" si="128"/>
        <v>16.5</v>
      </c>
      <c r="BI47" s="2">
        <f t="shared" si="128"/>
        <v>9</v>
      </c>
      <c r="BJ47" s="2">
        <f t="shared" si="128"/>
        <v>28.5</v>
      </c>
      <c r="BK47" s="2">
        <f t="shared" si="128"/>
        <v>19</v>
      </c>
      <c r="BL47" s="2">
        <f t="shared" si="128"/>
        <v>4.25</v>
      </c>
      <c r="BM47" s="2">
        <f t="shared" si="128"/>
        <v>12</v>
      </c>
      <c r="BN47" s="2">
        <f t="shared" si="128"/>
        <v>10</v>
      </c>
      <c r="BO47" s="62">
        <f t="shared" si="128"/>
        <v>6.5</v>
      </c>
      <c r="BP47" s="37">
        <f t="shared" si="9"/>
        <v>-0.1654411765</v>
      </c>
      <c r="BQ47" s="38">
        <f t="shared" si="10"/>
        <v>0.02777777778</v>
      </c>
      <c r="BR47" s="38">
        <f t="shared" si="11"/>
        <v>0.1944444444</v>
      </c>
      <c r="BS47" s="38">
        <f t="shared" si="12"/>
        <v>0.1666666667</v>
      </c>
      <c r="BT47" s="38">
        <f t="shared" si="13"/>
        <v>0.08333333333</v>
      </c>
      <c r="BU47" s="38">
        <f t="shared" si="14"/>
        <v>0</v>
      </c>
      <c r="BV47" s="38">
        <f t="shared" si="15"/>
        <v>0.9722222222</v>
      </c>
      <c r="BW47" s="38">
        <f t="shared" ref="BW47:BX47" si="129">+BR47+BS47+BT47</f>
        <v>0.4444444444</v>
      </c>
      <c r="BX47" s="39">
        <f t="shared" si="129"/>
        <v>0.25</v>
      </c>
    </row>
    <row r="48" ht="15.75" customHeight="1">
      <c r="A48" s="60"/>
      <c r="B48" s="40">
        <v>37.0</v>
      </c>
      <c r="C48" s="24">
        <v>2.0</v>
      </c>
      <c r="D48" s="27">
        <f t="shared" si="3"/>
        <v>1.783783784</v>
      </c>
      <c r="E48" s="24">
        <f t="shared" si="17"/>
        <v>23</v>
      </c>
      <c r="F48" s="2">
        <f t="shared" si="18"/>
        <v>17</v>
      </c>
      <c r="G48" s="24">
        <f t="shared" si="19"/>
        <v>10</v>
      </c>
      <c r="H48" s="24">
        <f t="shared" si="20"/>
        <v>30</v>
      </c>
      <c r="I48" s="24">
        <f t="shared" si="21"/>
        <v>20</v>
      </c>
      <c r="J48" s="24">
        <f t="shared" si="22"/>
        <v>4</v>
      </c>
      <c r="K48" s="24">
        <f t="shared" si="23"/>
        <v>13</v>
      </c>
      <c r="L48" s="24">
        <f t="shared" si="24"/>
        <v>10</v>
      </c>
      <c r="M48" s="28">
        <f t="shared" si="25"/>
        <v>7</v>
      </c>
      <c r="N48" s="24">
        <v>1.0</v>
      </c>
      <c r="O48" s="27">
        <f t="shared" si="4"/>
        <v>1.837837838</v>
      </c>
      <c r="P48" s="24">
        <f t="shared" si="26"/>
        <v>24</v>
      </c>
      <c r="Q48" s="2">
        <f t="shared" si="27"/>
        <v>14</v>
      </c>
      <c r="R48" s="24">
        <f t="shared" si="28"/>
        <v>6</v>
      </c>
      <c r="S48" s="24">
        <f t="shared" si="29"/>
        <v>26</v>
      </c>
      <c r="T48" s="24">
        <f t="shared" si="30"/>
        <v>18</v>
      </c>
      <c r="U48" s="24">
        <f t="shared" si="31"/>
        <v>5</v>
      </c>
      <c r="V48" s="24">
        <f t="shared" si="32"/>
        <v>12</v>
      </c>
      <c r="W48" s="24">
        <f t="shared" si="33"/>
        <v>12</v>
      </c>
      <c r="X48" s="28">
        <f t="shared" si="34"/>
        <v>2</v>
      </c>
      <c r="Y48" s="24">
        <v>1.0</v>
      </c>
      <c r="Z48" s="27">
        <f t="shared" si="5"/>
        <v>1.972972973</v>
      </c>
      <c r="AA48" s="24">
        <f t="shared" si="35"/>
        <v>21</v>
      </c>
      <c r="AB48" s="2">
        <f t="shared" si="36"/>
        <v>21</v>
      </c>
      <c r="AC48" s="24">
        <f t="shared" si="37"/>
        <v>12</v>
      </c>
      <c r="AD48" s="24">
        <f t="shared" si="38"/>
        <v>32</v>
      </c>
      <c r="AE48" s="24">
        <f t="shared" si="39"/>
        <v>22</v>
      </c>
      <c r="AF48" s="24">
        <f t="shared" si="40"/>
        <v>3</v>
      </c>
      <c r="AG48" s="24">
        <f t="shared" si="41"/>
        <v>11</v>
      </c>
      <c r="AH48" s="24">
        <f t="shared" si="42"/>
        <v>10</v>
      </c>
      <c r="AI48" s="28">
        <f t="shared" si="43"/>
        <v>11</v>
      </c>
      <c r="AJ48" s="24">
        <v>1.0</v>
      </c>
      <c r="AK48" s="27">
        <f t="shared" si="6"/>
        <v>1.594594595</v>
      </c>
      <c r="AL48" s="24">
        <f t="shared" si="44"/>
        <v>24</v>
      </c>
      <c r="AM48" s="2">
        <f t="shared" si="45"/>
        <v>15</v>
      </c>
      <c r="AN48" s="24">
        <f t="shared" si="46"/>
        <v>8</v>
      </c>
      <c r="AO48" s="24">
        <f t="shared" si="47"/>
        <v>30</v>
      </c>
      <c r="AP48" s="24">
        <f t="shared" si="48"/>
        <v>17</v>
      </c>
      <c r="AQ48" s="24">
        <f t="shared" si="49"/>
        <v>5</v>
      </c>
      <c r="AR48" s="24">
        <f t="shared" si="50"/>
        <v>15</v>
      </c>
      <c r="AS48" s="24">
        <f t="shared" si="51"/>
        <v>9</v>
      </c>
      <c r="AT48" s="28">
        <f t="shared" si="52"/>
        <v>6</v>
      </c>
      <c r="AU48" s="24"/>
      <c r="AV48" s="27">
        <f t="shared" si="7"/>
        <v>1.647058824</v>
      </c>
      <c r="AW48" s="24">
        <f t="shared" si="53"/>
        <v>13</v>
      </c>
      <c r="AX48" s="2">
        <f t="shared" si="54"/>
        <v>9</v>
      </c>
      <c r="AY48" s="24">
        <f t="shared" si="55"/>
        <v>3</v>
      </c>
      <c r="AZ48" s="24">
        <f t="shared" si="56"/>
        <v>16</v>
      </c>
      <c r="BA48" s="24">
        <f t="shared" si="57"/>
        <v>9</v>
      </c>
      <c r="BB48" s="24">
        <f t="shared" si="58"/>
        <v>21</v>
      </c>
      <c r="BC48" s="24">
        <f t="shared" si="59"/>
        <v>7</v>
      </c>
      <c r="BD48" s="24">
        <f t="shared" si="60"/>
        <v>6</v>
      </c>
      <c r="BE48" s="28">
        <f t="shared" si="61"/>
        <v>3</v>
      </c>
      <c r="BF48" s="29">
        <f t="shared" ref="BF48:BO48" si="130">+(AK48+Z48+O48+D48)/4</f>
        <v>1.797297297</v>
      </c>
      <c r="BG48" s="24">
        <f t="shared" si="130"/>
        <v>23</v>
      </c>
      <c r="BH48" s="24">
        <f t="shared" si="130"/>
        <v>16.75</v>
      </c>
      <c r="BI48" s="24">
        <f t="shared" si="130"/>
        <v>9</v>
      </c>
      <c r="BJ48" s="24">
        <f t="shared" si="130"/>
        <v>29.5</v>
      </c>
      <c r="BK48" s="24">
        <f t="shared" si="130"/>
        <v>19.25</v>
      </c>
      <c r="BL48" s="24">
        <f t="shared" si="130"/>
        <v>4.25</v>
      </c>
      <c r="BM48" s="24">
        <f t="shared" si="130"/>
        <v>12.75</v>
      </c>
      <c r="BN48" s="24">
        <f t="shared" si="130"/>
        <v>10.25</v>
      </c>
      <c r="BO48" s="61">
        <f t="shared" si="130"/>
        <v>6.5</v>
      </c>
      <c r="BP48" s="30">
        <f t="shared" si="9"/>
        <v>-0.1502384738</v>
      </c>
      <c r="BQ48" s="31">
        <f t="shared" si="10"/>
        <v>0.02702702703</v>
      </c>
      <c r="BR48" s="31">
        <f t="shared" si="11"/>
        <v>0.1891891892</v>
      </c>
      <c r="BS48" s="31">
        <f t="shared" si="12"/>
        <v>0.1621621622</v>
      </c>
      <c r="BT48" s="31">
        <f t="shared" si="13"/>
        <v>0.08108108108</v>
      </c>
      <c r="BU48" s="31">
        <f t="shared" si="14"/>
        <v>0</v>
      </c>
      <c r="BV48" s="31">
        <f t="shared" si="15"/>
        <v>0.972972973</v>
      </c>
      <c r="BW48" s="31">
        <f t="shared" ref="BW48:BX48" si="131">+BR48+BS48+BT48</f>
        <v>0.4324324324</v>
      </c>
      <c r="BX48" s="32">
        <f t="shared" si="131"/>
        <v>0.2432432432</v>
      </c>
      <c r="BY48" s="60"/>
    </row>
    <row r="49" ht="15.75" customHeight="1">
      <c r="B49" s="42">
        <v>38.0</v>
      </c>
      <c r="C49" s="43">
        <v>3.0</v>
      </c>
      <c r="D49" s="3">
        <f t="shared" si="3"/>
        <v>1.815789474</v>
      </c>
      <c r="E49" s="43">
        <f t="shared" si="17"/>
        <v>23</v>
      </c>
      <c r="F49" s="2">
        <f t="shared" si="18"/>
        <v>18</v>
      </c>
      <c r="G49" s="43">
        <f t="shared" si="19"/>
        <v>11</v>
      </c>
      <c r="H49" s="43">
        <f t="shared" si="20"/>
        <v>31</v>
      </c>
      <c r="I49" s="43">
        <f t="shared" si="21"/>
        <v>21</v>
      </c>
      <c r="J49" s="43">
        <f t="shared" si="22"/>
        <v>4</v>
      </c>
      <c r="K49" s="43">
        <f t="shared" si="23"/>
        <v>13</v>
      </c>
      <c r="L49" s="43">
        <f t="shared" si="24"/>
        <v>10</v>
      </c>
      <c r="M49" s="44">
        <f t="shared" si="25"/>
        <v>8</v>
      </c>
      <c r="N49" s="43">
        <v>3.0</v>
      </c>
      <c r="O49" s="3">
        <f t="shared" si="4"/>
        <v>1.868421053</v>
      </c>
      <c r="P49" s="43">
        <f t="shared" si="26"/>
        <v>24</v>
      </c>
      <c r="Q49" s="2">
        <f t="shared" si="27"/>
        <v>15</v>
      </c>
      <c r="R49" s="43">
        <f t="shared" si="28"/>
        <v>7</v>
      </c>
      <c r="S49" s="43">
        <f t="shared" si="29"/>
        <v>27</v>
      </c>
      <c r="T49" s="43">
        <f t="shared" si="30"/>
        <v>19</v>
      </c>
      <c r="U49" s="43">
        <f t="shared" si="31"/>
        <v>5</v>
      </c>
      <c r="V49" s="43">
        <f t="shared" si="32"/>
        <v>12</v>
      </c>
      <c r="W49" s="43">
        <f t="shared" si="33"/>
        <v>12</v>
      </c>
      <c r="X49" s="44">
        <f t="shared" si="34"/>
        <v>3</v>
      </c>
      <c r="Y49" s="43">
        <v>3.0</v>
      </c>
      <c r="Z49" s="3">
        <f t="shared" si="5"/>
        <v>2</v>
      </c>
      <c r="AA49" s="43">
        <f t="shared" si="35"/>
        <v>21</v>
      </c>
      <c r="AB49" s="2">
        <f t="shared" si="36"/>
        <v>22</v>
      </c>
      <c r="AC49" s="43">
        <f t="shared" si="37"/>
        <v>13</v>
      </c>
      <c r="AD49" s="43">
        <f t="shared" si="38"/>
        <v>33</v>
      </c>
      <c r="AE49" s="43">
        <f t="shared" si="39"/>
        <v>23</v>
      </c>
      <c r="AF49" s="43">
        <f t="shared" si="40"/>
        <v>3</v>
      </c>
      <c r="AG49" s="43">
        <f t="shared" si="41"/>
        <v>11</v>
      </c>
      <c r="AH49" s="43">
        <f t="shared" si="42"/>
        <v>10</v>
      </c>
      <c r="AI49" s="44">
        <f t="shared" si="43"/>
        <v>12</v>
      </c>
      <c r="AJ49" s="43">
        <v>2.0</v>
      </c>
      <c r="AK49" s="3">
        <f t="shared" si="6"/>
        <v>1.605263158</v>
      </c>
      <c r="AL49" s="43">
        <f t="shared" si="44"/>
        <v>25</v>
      </c>
      <c r="AM49" s="2">
        <f t="shared" si="45"/>
        <v>16</v>
      </c>
      <c r="AN49" s="43">
        <f t="shared" si="46"/>
        <v>8</v>
      </c>
      <c r="AO49" s="43">
        <f t="shared" si="47"/>
        <v>31</v>
      </c>
      <c r="AP49" s="43">
        <f t="shared" si="48"/>
        <v>18</v>
      </c>
      <c r="AQ49" s="43">
        <f t="shared" si="49"/>
        <v>5</v>
      </c>
      <c r="AR49" s="43">
        <f t="shared" si="50"/>
        <v>15</v>
      </c>
      <c r="AS49" s="43">
        <f t="shared" si="51"/>
        <v>10</v>
      </c>
      <c r="AT49" s="44">
        <f t="shared" si="52"/>
        <v>6</v>
      </c>
      <c r="AU49" s="43"/>
      <c r="AV49" s="3">
        <f t="shared" si="7"/>
        <v>1.647058824</v>
      </c>
      <c r="AW49" s="43">
        <f t="shared" si="53"/>
        <v>13</v>
      </c>
      <c r="AX49" s="2">
        <f t="shared" si="54"/>
        <v>9</v>
      </c>
      <c r="AY49" s="43">
        <f t="shared" si="55"/>
        <v>3</v>
      </c>
      <c r="AZ49" s="43">
        <f t="shared" si="56"/>
        <v>16</v>
      </c>
      <c r="BA49" s="43">
        <f t="shared" si="57"/>
        <v>9</v>
      </c>
      <c r="BB49" s="43">
        <f t="shared" si="58"/>
        <v>22</v>
      </c>
      <c r="BC49" s="43">
        <f t="shared" si="59"/>
        <v>7</v>
      </c>
      <c r="BD49" s="43">
        <f t="shared" si="60"/>
        <v>6</v>
      </c>
      <c r="BE49" s="44">
        <f t="shared" si="61"/>
        <v>3</v>
      </c>
      <c r="BF49" s="46">
        <f t="shared" ref="BF49:BO49" si="132">+(AK49+Z49+O49+D49)/4</f>
        <v>1.822368421</v>
      </c>
      <c r="BG49" s="43">
        <f t="shared" si="132"/>
        <v>23.25</v>
      </c>
      <c r="BH49" s="43">
        <f t="shared" si="132"/>
        <v>17.75</v>
      </c>
      <c r="BI49" s="43">
        <f t="shared" si="132"/>
        <v>9.75</v>
      </c>
      <c r="BJ49" s="43">
        <f t="shared" si="132"/>
        <v>30.5</v>
      </c>
      <c r="BK49" s="43">
        <f t="shared" si="132"/>
        <v>20.25</v>
      </c>
      <c r="BL49" s="43">
        <f t="shared" si="132"/>
        <v>4.25</v>
      </c>
      <c r="BM49" s="43">
        <f t="shared" si="132"/>
        <v>12.75</v>
      </c>
      <c r="BN49" s="43">
        <f t="shared" si="132"/>
        <v>10.5</v>
      </c>
      <c r="BO49" s="63">
        <f t="shared" si="132"/>
        <v>7.25</v>
      </c>
      <c r="BP49" s="48">
        <f t="shared" si="9"/>
        <v>-0.1753095975</v>
      </c>
      <c r="BQ49" s="49">
        <f t="shared" si="10"/>
        <v>0.02631578947</v>
      </c>
      <c r="BR49" s="49">
        <f t="shared" si="11"/>
        <v>0.1842105263</v>
      </c>
      <c r="BS49" s="49">
        <f t="shared" si="12"/>
        <v>0.1578947368</v>
      </c>
      <c r="BT49" s="49">
        <f t="shared" si="13"/>
        <v>0.07894736842</v>
      </c>
      <c r="BU49" s="49">
        <f t="shared" si="14"/>
        <v>0</v>
      </c>
      <c r="BV49" s="49">
        <f t="shared" si="15"/>
        <v>0.9736842105</v>
      </c>
      <c r="BW49" s="49">
        <f t="shared" ref="BW49:BX49" si="133">+BR49+BS49+BT49</f>
        <v>0.4210526316</v>
      </c>
      <c r="BX49" s="50">
        <f t="shared" si="133"/>
        <v>0.2368421053</v>
      </c>
    </row>
    <row r="50" ht="15.7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17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7">
    <mergeCell ref="B10:M10"/>
    <mergeCell ref="N10:X10"/>
    <mergeCell ref="Y10:AI10"/>
    <mergeCell ref="AJ10:AT10"/>
    <mergeCell ref="AU10:BE10"/>
    <mergeCell ref="BF10:BO10"/>
    <mergeCell ref="BP10:BX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4" width="8.71"/>
    <col customWidth="1" min="5" max="6" width="9.43"/>
    <col customWidth="1" min="7" max="7" width="12.0"/>
    <col customWidth="1" min="8" max="8" width="9.43"/>
    <col customWidth="1" min="9" max="15" width="8.71"/>
    <col customWidth="1" min="16" max="17" width="9.43"/>
    <col customWidth="1" min="18" max="18" width="12.0"/>
    <col customWidth="1" min="19" max="19" width="9.43"/>
    <col customWidth="1" min="20" max="26" width="8.71"/>
    <col customWidth="1" min="27" max="28" width="9.43"/>
    <col customWidth="1" min="29" max="29" width="12.0"/>
    <col customWidth="1" min="30" max="30" width="9.43"/>
    <col customWidth="1" min="31" max="37" width="8.71"/>
    <col customWidth="1" min="38" max="39" width="9.43"/>
    <col customWidth="1" min="40" max="40" width="12.0"/>
    <col customWidth="1" min="41" max="41" width="9.43"/>
    <col customWidth="1" min="42" max="68" width="8.71"/>
    <col customWidth="1" min="69" max="69" width="9.43"/>
    <col customWidth="1" min="70" max="70" width="8.29"/>
    <col customWidth="1" min="71" max="71" width="9.29"/>
    <col customWidth="1" min="72" max="72" width="6.86"/>
    <col customWidth="1" min="73" max="73" width="9.14"/>
    <col customWidth="1" min="74" max="74" width="7.71"/>
    <col customWidth="1" min="75" max="76" width="9.14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</row>
    <row r="10">
      <c r="B10" s="4" t="s">
        <v>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7" t="s">
        <v>1</v>
      </c>
      <c r="O10" s="5"/>
      <c r="P10" s="5"/>
      <c r="Q10" s="5"/>
      <c r="R10" s="5"/>
      <c r="S10" s="5"/>
      <c r="T10" s="5"/>
      <c r="U10" s="5"/>
      <c r="V10" s="5"/>
      <c r="W10" s="5"/>
      <c r="X10" s="6"/>
      <c r="Y10" s="8" t="s">
        <v>2</v>
      </c>
      <c r="Z10" s="5"/>
      <c r="AA10" s="5"/>
      <c r="AB10" s="5"/>
      <c r="AC10" s="5"/>
      <c r="AD10" s="5"/>
      <c r="AE10" s="5"/>
      <c r="AF10" s="5"/>
      <c r="AG10" s="5"/>
      <c r="AH10" s="5"/>
      <c r="AI10" s="6"/>
      <c r="AJ10" s="7" t="s">
        <v>3</v>
      </c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7" t="s">
        <v>4</v>
      </c>
      <c r="AV10" s="5"/>
      <c r="AW10" s="5"/>
      <c r="AX10" s="5"/>
      <c r="AY10" s="5"/>
      <c r="AZ10" s="5"/>
      <c r="BA10" s="5"/>
      <c r="BB10" s="5"/>
      <c r="BC10" s="5"/>
      <c r="BD10" s="5"/>
      <c r="BE10" s="6"/>
      <c r="BF10" s="8" t="s">
        <v>5</v>
      </c>
      <c r="BG10" s="5"/>
      <c r="BH10" s="5"/>
      <c r="BI10" s="5"/>
      <c r="BJ10" s="5"/>
      <c r="BK10" s="5"/>
      <c r="BL10" s="5"/>
      <c r="BM10" s="5"/>
      <c r="BN10" s="5"/>
      <c r="BO10" s="51"/>
      <c r="BP10" s="13" t="s">
        <v>6</v>
      </c>
      <c r="BQ10" s="14"/>
      <c r="BR10" s="14"/>
      <c r="BS10" s="14"/>
      <c r="BT10" s="14"/>
      <c r="BU10" s="14"/>
      <c r="BV10" s="14"/>
      <c r="BW10" s="14"/>
      <c r="BX10" s="15"/>
    </row>
    <row r="11">
      <c r="B11" s="16"/>
      <c r="C11" s="17"/>
      <c r="D11" s="18" t="s">
        <v>7</v>
      </c>
      <c r="E11" s="19" t="s">
        <v>8</v>
      </c>
      <c r="F11" s="19" t="s">
        <v>9</v>
      </c>
      <c r="G11" s="19" t="s">
        <v>10</v>
      </c>
      <c r="H11" s="19" t="s">
        <v>11</v>
      </c>
      <c r="I11" s="19" t="s">
        <v>12</v>
      </c>
      <c r="J11" s="19" t="s">
        <v>13</v>
      </c>
      <c r="K11" s="19" t="s">
        <v>14</v>
      </c>
      <c r="L11" s="19" t="s">
        <v>15</v>
      </c>
      <c r="M11" s="20" t="s">
        <v>16</v>
      </c>
      <c r="N11" s="17"/>
      <c r="O11" s="18" t="s">
        <v>7</v>
      </c>
      <c r="P11" s="19" t="s">
        <v>8</v>
      </c>
      <c r="Q11" s="19" t="s">
        <v>9</v>
      </c>
      <c r="R11" s="19" t="s">
        <v>10</v>
      </c>
      <c r="S11" s="19" t="s">
        <v>11</v>
      </c>
      <c r="T11" s="19" t="s">
        <v>12</v>
      </c>
      <c r="U11" s="19" t="s">
        <v>13</v>
      </c>
      <c r="V11" s="19" t="s">
        <v>14</v>
      </c>
      <c r="W11" s="19" t="s">
        <v>15</v>
      </c>
      <c r="X11" s="20" t="s">
        <v>16</v>
      </c>
      <c r="Y11" s="17"/>
      <c r="Z11" s="18" t="s">
        <v>7</v>
      </c>
      <c r="AA11" s="19" t="s">
        <v>8</v>
      </c>
      <c r="AB11" s="19" t="s">
        <v>9</v>
      </c>
      <c r="AC11" s="19" t="s">
        <v>10</v>
      </c>
      <c r="AD11" s="19" t="s">
        <v>11</v>
      </c>
      <c r="AE11" s="19" t="s">
        <v>12</v>
      </c>
      <c r="AF11" s="19" t="s">
        <v>13</v>
      </c>
      <c r="AG11" s="19" t="s">
        <v>14</v>
      </c>
      <c r="AH11" s="19" t="s">
        <v>15</v>
      </c>
      <c r="AI11" s="20" t="s">
        <v>16</v>
      </c>
      <c r="AJ11" s="17"/>
      <c r="AK11" s="18" t="s">
        <v>7</v>
      </c>
      <c r="AL11" s="19" t="s">
        <v>8</v>
      </c>
      <c r="AM11" s="19" t="s">
        <v>9</v>
      </c>
      <c r="AN11" s="19" t="s">
        <v>10</v>
      </c>
      <c r="AO11" s="19" t="s">
        <v>11</v>
      </c>
      <c r="AP11" s="19" t="s">
        <v>12</v>
      </c>
      <c r="AQ11" s="19" t="s">
        <v>13</v>
      </c>
      <c r="AR11" s="19" t="s">
        <v>14</v>
      </c>
      <c r="AS11" s="19" t="s">
        <v>15</v>
      </c>
      <c r="AT11" s="20" t="s">
        <v>16</v>
      </c>
      <c r="AU11" s="17"/>
      <c r="AV11" s="18" t="s">
        <v>7</v>
      </c>
      <c r="AW11" s="19" t="s">
        <v>8</v>
      </c>
      <c r="AX11" s="19" t="s">
        <v>9</v>
      </c>
      <c r="AY11" s="19" t="s">
        <v>10</v>
      </c>
      <c r="AZ11" s="19" t="s">
        <v>11</v>
      </c>
      <c r="BA11" s="19" t="s">
        <v>12</v>
      </c>
      <c r="BB11" s="19" t="s">
        <v>13</v>
      </c>
      <c r="BC11" s="19" t="s">
        <v>14</v>
      </c>
      <c r="BD11" s="19" t="s">
        <v>15</v>
      </c>
      <c r="BE11" s="20" t="s">
        <v>16</v>
      </c>
      <c r="BF11" s="18" t="s">
        <v>7</v>
      </c>
      <c r="BG11" s="19" t="s">
        <v>8</v>
      </c>
      <c r="BH11" s="19" t="s">
        <v>9</v>
      </c>
      <c r="BI11" s="19" t="s">
        <v>10</v>
      </c>
      <c r="BJ11" s="19" t="s">
        <v>11</v>
      </c>
      <c r="BK11" s="19" t="s">
        <v>12</v>
      </c>
      <c r="BL11" s="19" t="s">
        <v>13</v>
      </c>
      <c r="BM11" s="19" t="s">
        <v>14</v>
      </c>
      <c r="BN11" s="19" t="s">
        <v>15</v>
      </c>
      <c r="BO11" s="59" t="s">
        <v>16</v>
      </c>
      <c r="BP11" s="21" t="s">
        <v>17</v>
      </c>
      <c r="BQ11" s="18" t="s">
        <v>18</v>
      </c>
      <c r="BR11" s="18" t="s">
        <v>19</v>
      </c>
      <c r="BS11" s="18" t="s">
        <v>20</v>
      </c>
      <c r="BT11" s="18" t="s">
        <v>21</v>
      </c>
      <c r="BU11" s="18" t="s">
        <v>22</v>
      </c>
      <c r="BV11" s="22" t="s">
        <v>23</v>
      </c>
      <c r="BW11" s="18" t="s">
        <v>24</v>
      </c>
      <c r="BX11" s="52" t="s">
        <v>25</v>
      </c>
    </row>
    <row r="12">
      <c r="A12" s="60"/>
      <c r="B12" s="25">
        <v>1.0</v>
      </c>
      <c r="C12" s="24">
        <v>2.0</v>
      </c>
      <c r="D12" s="27">
        <f t="shared" ref="D12:D49" si="3">AVERAGE($C$12:C12)</f>
        <v>2</v>
      </c>
      <c r="E12" s="24">
        <f>IF(AND(C12&gt;=1,C12&lt;=2),1,0)</f>
        <v>1</v>
      </c>
      <c r="F12" s="24">
        <f>IF(AND(C12&gt;=2,C12&lt;=3),1,0)</f>
        <v>1</v>
      </c>
      <c r="G12" s="24">
        <f>IF(AND(C12&gt;=3,C12&lt;=4),1,0)</f>
        <v>0</v>
      </c>
      <c r="H12" s="24">
        <f>IF(AND(C12&gt;=1,C12&lt;=3),1,0)</f>
        <v>1</v>
      </c>
      <c r="I12" s="24">
        <f>IF(AND(C12&gt;=2,C12&lt;=4),1,0)</f>
        <v>1</v>
      </c>
      <c r="J12" s="24">
        <f>IF((C12=0),1,0)</f>
        <v>0</v>
      </c>
      <c r="K12" s="24">
        <f>IF((C12=1),1,0)</f>
        <v>0</v>
      </c>
      <c r="L12" s="24">
        <f>IF((C12=2),1,0)</f>
        <v>1</v>
      </c>
      <c r="M12" s="28">
        <f>IF((C12=3),1,0)</f>
        <v>0</v>
      </c>
      <c r="N12" s="24">
        <v>2.0</v>
      </c>
      <c r="O12" s="27">
        <f t="shared" ref="O12:O49" si="4">AVERAGE($N$12:N12)</f>
        <v>2</v>
      </c>
      <c r="P12" s="24">
        <f>IF(AND(N12&gt;=1,N12&lt;=2),1,0)</f>
        <v>1</v>
      </c>
      <c r="Q12" s="24">
        <f>IF(AND(N12&gt;=2,N12&lt;=3),1,0)</f>
        <v>1</v>
      </c>
      <c r="R12" s="24">
        <f>IF(AND(N12&gt;=3,N12&lt;=4),1,0)</f>
        <v>0</v>
      </c>
      <c r="S12" s="24">
        <f>IF(AND(N12&gt;=1,N12&lt;=3),1,0)</f>
        <v>1</v>
      </c>
      <c r="T12" s="24">
        <f>IF(AND(N12&gt;=2,N12&lt;=4),1,0)</f>
        <v>1</v>
      </c>
      <c r="U12" s="24">
        <f>IF((N12=0),1,0)</f>
        <v>0</v>
      </c>
      <c r="V12" s="24">
        <f>IF((N12=1),1,0)</f>
        <v>0</v>
      </c>
      <c r="W12" s="24">
        <f>IF((N12=2),1,0)</f>
        <v>1</v>
      </c>
      <c r="X12" s="28">
        <f>IF((N12=3),1,0)</f>
        <v>0</v>
      </c>
      <c r="Y12" s="24">
        <v>2.0</v>
      </c>
      <c r="Z12" s="27">
        <f t="shared" ref="Z12:Z49" si="5">AVERAGE($Y$12:Y12)</f>
        <v>2</v>
      </c>
      <c r="AA12" s="24">
        <f>IF(AND(Y12&gt;=1,Y12&lt;=2),1,0)</f>
        <v>1</v>
      </c>
      <c r="AB12" s="24">
        <f>IF(AND(Y12&gt;=2,Y12&lt;=3),1,0)</f>
        <v>1</v>
      </c>
      <c r="AC12" s="24">
        <f>IF(AND(Y12&gt;=3,Y12&lt;=4),1,0)</f>
        <v>0</v>
      </c>
      <c r="AD12" s="24">
        <f>IF(AND(Y12&gt;=1,Y12&lt;=3),1,0)</f>
        <v>1</v>
      </c>
      <c r="AE12" s="24">
        <f>IF(AND(Y12&gt;=2,Y12&lt;=4),1,0)</f>
        <v>1</v>
      </c>
      <c r="AF12" s="24">
        <f>IF((Y12=0),1,0)</f>
        <v>0</v>
      </c>
      <c r="AG12" s="24">
        <f>IF((Y12=1),1,0)</f>
        <v>0</v>
      </c>
      <c r="AH12" s="24">
        <f>IF((Y12=2),1,0)</f>
        <v>1</v>
      </c>
      <c r="AI12" s="28">
        <f>IF((Y12=3),1,0)</f>
        <v>0</v>
      </c>
      <c r="AJ12" s="24">
        <v>4.0</v>
      </c>
      <c r="AK12" s="27">
        <f t="shared" ref="AK12:AK49" si="6">AVERAGE($AJ$12:AJ12)</f>
        <v>4</v>
      </c>
      <c r="AL12" s="24">
        <f>IF(AND(AJ12&gt;=1,AJ12&lt;=2),1,0)</f>
        <v>0</v>
      </c>
      <c r="AM12" s="24">
        <f>IF(AND(AJ12&gt;=2,AJ12&lt;=3),1,0)</f>
        <v>0</v>
      </c>
      <c r="AN12" s="24">
        <f>IF(AND(AJ12&gt;=3,AJ12&lt;=4),1,0)</f>
        <v>1</v>
      </c>
      <c r="AO12" s="24">
        <f>IF(AND(AJ12&gt;=1,AJ12&lt;=3),1,0)</f>
        <v>0</v>
      </c>
      <c r="AP12" s="24">
        <f>IF(AND(AJ12&gt;=2,AJ12&lt;=4),1,0)</f>
        <v>1</v>
      </c>
      <c r="AQ12" s="24">
        <f>IF((AJ12=0),1,0)</f>
        <v>0</v>
      </c>
      <c r="AR12" s="24">
        <f>IF((AJ12=1),1,0)</f>
        <v>0</v>
      </c>
      <c r="AS12" s="24">
        <f>IF((AJ12=2),1,0)</f>
        <v>0</v>
      </c>
      <c r="AT12" s="28">
        <f>IF((AJ12=3),1,0)</f>
        <v>0</v>
      </c>
      <c r="AU12" s="24">
        <v>1.0</v>
      </c>
      <c r="AV12" s="27">
        <f t="shared" ref="AV12:AV49" si="7">AVERAGE($AU$12:AU12)</f>
        <v>1</v>
      </c>
      <c r="AW12" s="24">
        <f>IF(AND(AU12&gt;=1,AU12&lt;=2),1,0)</f>
        <v>1</v>
      </c>
      <c r="AX12" s="24">
        <f>IF(AND(AU12&gt;=2,AU12&lt;=3),1,0)</f>
        <v>0</v>
      </c>
      <c r="AY12" s="24">
        <f>IF(AND(AU12&gt;=3,AU12&lt;=4),1,0)</f>
        <v>0</v>
      </c>
      <c r="AZ12" s="24">
        <f>IF(AND(AU12&gt;=1,AU12&lt;=3),1,0)</f>
        <v>1</v>
      </c>
      <c r="BA12" s="24">
        <f>IF(AND(AU12&gt;=2,AU12&lt;=4),1,0)</f>
        <v>0</v>
      </c>
      <c r="BB12" s="24">
        <f>IF((AU12=0),1,0)</f>
        <v>0</v>
      </c>
      <c r="BC12" s="24">
        <f>IF((AU12=1),1,0)</f>
        <v>1</v>
      </c>
      <c r="BD12" s="24">
        <f>IF((AU12=2),1,0)</f>
        <v>0</v>
      </c>
      <c r="BE12" s="28">
        <f>IF((AU12=3),1,0)</f>
        <v>0</v>
      </c>
      <c r="BF12" s="29">
        <f t="shared" ref="BF12:BO12" si="1">+(AK12+Z12+O12+D12)/4</f>
        <v>2.5</v>
      </c>
      <c r="BG12" s="24">
        <f t="shared" si="1"/>
        <v>0.75</v>
      </c>
      <c r="BH12" s="24">
        <f t="shared" si="1"/>
        <v>0.75</v>
      </c>
      <c r="BI12" s="24">
        <f t="shared" si="1"/>
        <v>0.25</v>
      </c>
      <c r="BJ12" s="24">
        <f t="shared" si="1"/>
        <v>0.75</v>
      </c>
      <c r="BK12" s="24">
        <f t="shared" si="1"/>
        <v>1</v>
      </c>
      <c r="BL12" s="24">
        <f t="shared" si="1"/>
        <v>0</v>
      </c>
      <c r="BM12" s="24">
        <f t="shared" si="1"/>
        <v>0</v>
      </c>
      <c r="BN12" s="24">
        <f t="shared" si="1"/>
        <v>0.75</v>
      </c>
      <c r="BO12" s="61">
        <f t="shared" si="1"/>
        <v>0</v>
      </c>
      <c r="BP12" s="30">
        <f t="shared" ref="BP12:BP49" si="9">+AV12-BF12</f>
        <v>-1.5</v>
      </c>
      <c r="BQ12" s="31">
        <f t="shared" ref="BQ12:BQ49" si="10">COUNTIF($AU$12:AU12,0)/B12</f>
        <v>0</v>
      </c>
      <c r="BR12" s="31">
        <f t="shared" ref="BR12:BR49" si="11">(COUNTIF($AU$12:AU12,1))/B12</f>
        <v>1</v>
      </c>
      <c r="BS12" s="31">
        <f t="shared" ref="BS12:BS49" si="12">(COUNTIF($AU$12:AU12,2))/B12</f>
        <v>0</v>
      </c>
      <c r="BT12" s="31">
        <f t="shared" ref="BT12:BT49" si="13">(COUNTIF($AU$12:AU12,3))/B12</f>
        <v>0</v>
      </c>
      <c r="BU12" s="31">
        <f t="shared" ref="BU12:BU49" si="14">(COUNTIF($AU$12:AU12,"&gt;=4"))/B12</f>
        <v>0</v>
      </c>
      <c r="BV12" s="31">
        <f t="shared" ref="BV12:BV49" si="15">1-BQ12</f>
        <v>1</v>
      </c>
      <c r="BW12" s="31">
        <f t="shared" ref="BW12:BX12" si="2">+BR12+BS12+BT12</f>
        <v>1</v>
      </c>
      <c r="BX12" s="32">
        <f t="shared" si="2"/>
        <v>0</v>
      </c>
    </row>
    <row r="13">
      <c r="B13" s="33">
        <v>2.0</v>
      </c>
      <c r="C13" s="2">
        <v>0.0</v>
      </c>
      <c r="D13" s="3">
        <f t="shared" si="3"/>
        <v>1</v>
      </c>
      <c r="E13" s="2">
        <f t="shared" ref="E13:E49" si="17">IF(AND(C13&gt;=1,C13&lt;=2),(E12+1),E12)</f>
        <v>1</v>
      </c>
      <c r="F13" s="2">
        <f t="shared" ref="F13:F49" si="18">IF(AND(C13&gt;=2,C13&lt;=3),(F12+1),F12)</f>
        <v>1</v>
      </c>
      <c r="G13" s="2">
        <f t="shared" ref="G13:G49" si="19">IF(AND(C13&gt;=3,C13&lt;=4),(G12+1),G12)</f>
        <v>0</v>
      </c>
      <c r="H13" s="2">
        <f t="shared" ref="H13:H49" si="20">IF(AND(C13&gt;=1,C13&lt;=3),(H12+1),H12)</f>
        <v>1</v>
      </c>
      <c r="I13" s="2">
        <f t="shared" ref="I13:I49" si="21">IF(AND(C13&gt;=2,C13&lt;=4),(I12+1),I12)</f>
        <v>1</v>
      </c>
      <c r="J13" s="2">
        <f t="shared" ref="J13:J49" si="22">IF((C13=0),(J12+1),J12)</f>
        <v>1</v>
      </c>
      <c r="K13" s="2">
        <f t="shared" ref="K13:K49" si="23">IF((C13=1),(K12+1),K12)</f>
        <v>0</v>
      </c>
      <c r="L13" s="2">
        <f t="shared" ref="L13:L49" si="24">IF((C13=2),(L12+1),L12)</f>
        <v>1</v>
      </c>
      <c r="M13" s="34">
        <f t="shared" ref="M13:M49" si="25">IF((C13=3),(M12+1),M12)</f>
        <v>0</v>
      </c>
      <c r="N13" s="2">
        <v>1.0</v>
      </c>
      <c r="O13" s="3">
        <f t="shared" si="4"/>
        <v>1.5</v>
      </c>
      <c r="P13" s="2">
        <f t="shared" ref="P13:P49" si="26">IF(AND(N13&gt;=1,N13&lt;=2),(P12+1),P12)</f>
        <v>2</v>
      </c>
      <c r="Q13" s="2">
        <f t="shared" ref="Q13:Q49" si="27">IF(AND(N13&gt;=2,N13&lt;=3),(Q12+1),Q12)</f>
        <v>1</v>
      </c>
      <c r="R13" s="2">
        <f t="shared" ref="R13:R49" si="28">IF(AND(N13&gt;=3,N13&lt;=4),(R12+1),R12)</f>
        <v>0</v>
      </c>
      <c r="S13" s="2">
        <f t="shared" ref="S13:S49" si="29">IF(AND(N13&gt;=1,N13&lt;=3),(S12+1),S12)</f>
        <v>2</v>
      </c>
      <c r="T13" s="2">
        <f t="shared" ref="T13:T49" si="30">IF(AND(N13&gt;=2,N13&lt;=4),(T12+1),T12)</f>
        <v>1</v>
      </c>
      <c r="U13" s="2">
        <f t="shared" ref="U13:U49" si="31">IF((N13=0),(U12+1),U12)</f>
        <v>0</v>
      </c>
      <c r="V13" s="2">
        <f t="shared" ref="V13:V49" si="32">IF((N13=1),(V12+1),V12)</f>
        <v>1</v>
      </c>
      <c r="W13" s="2">
        <f t="shared" ref="W13:W49" si="33">IF((N13=2),(W12+1),W12)</f>
        <v>1</v>
      </c>
      <c r="X13" s="34">
        <f t="shared" ref="X13:X49" si="34">IF((N13=3),(X12+1),X12)</f>
        <v>0</v>
      </c>
      <c r="Y13" s="2">
        <v>1.0</v>
      </c>
      <c r="Z13" s="3">
        <f t="shared" si="5"/>
        <v>1.5</v>
      </c>
      <c r="AA13" s="2">
        <f t="shared" ref="AA13:AA49" si="35">IF(AND(Y13&gt;=1,Y13&lt;=2),(AA12+1),AA12)</f>
        <v>2</v>
      </c>
      <c r="AB13" s="2">
        <f t="shared" ref="AB13:AB49" si="36">IF(AND(Y13&gt;=2,Y13&lt;=3),(AB12+1),AB12)</f>
        <v>1</v>
      </c>
      <c r="AC13" s="2">
        <f t="shared" ref="AC13:AC49" si="37">IF(AND(Y13&gt;=3,Y13&lt;=4),(AC12+1),AC12)</f>
        <v>0</v>
      </c>
      <c r="AD13" s="2">
        <f t="shared" ref="AD13:AD49" si="38">IF(AND(Y13&gt;=1,Y13&lt;=3),(AD12+1),AD12)</f>
        <v>2</v>
      </c>
      <c r="AE13" s="2">
        <f t="shared" ref="AE13:AE49" si="39">IF(AND(Y13&gt;=2,Y13&lt;=4),(AE12+1),AE12)</f>
        <v>1</v>
      </c>
      <c r="AF13" s="2">
        <f t="shared" ref="AF13:AF49" si="40">IF((Y13=0),(AF12+1),AF12)</f>
        <v>0</v>
      </c>
      <c r="AG13" s="2">
        <f t="shared" ref="AG13:AG49" si="41">IF((Y13=1),(AG12+1),AG12)</f>
        <v>1</v>
      </c>
      <c r="AH13" s="2">
        <f t="shared" ref="AH13:AH49" si="42">IF((Y13=2),(AH12+1),AH12)</f>
        <v>1</v>
      </c>
      <c r="AI13" s="34">
        <f t="shared" ref="AI13:AI49" si="43">IF((Y13=3),(AI12+1),AI12)</f>
        <v>0</v>
      </c>
      <c r="AJ13" s="2">
        <v>1.0</v>
      </c>
      <c r="AK13" s="3">
        <f t="shared" si="6"/>
        <v>2.5</v>
      </c>
      <c r="AL13" s="2">
        <f t="shared" ref="AL13:AL49" si="44">IF(AND(AJ13&gt;=1,AJ13&lt;=2),(AL12+1),AL12)</f>
        <v>1</v>
      </c>
      <c r="AM13" s="2">
        <f t="shared" ref="AM13:AM49" si="45">IF(AND(AJ13&gt;=2,AJ13&lt;=3),(AM12+1),AM12)</f>
        <v>0</v>
      </c>
      <c r="AN13" s="2">
        <f t="shared" ref="AN13:AN49" si="46">IF(AND(AJ13&gt;=3,AJ13&lt;=4),(AN12+1),AN12)</f>
        <v>1</v>
      </c>
      <c r="AO13" s="2">
        <f t="shared" ref="AO13:AO49" si="47">IF(AND(AJ13&gt;=1,AJ13&lt;=3),(AO12+1),AO12)</f>
        <v>1</v>
      </c>
      <c r="AP13" s="2">
        <f t="shared" ref="AP13:AP49" si="48">IF(AND(AJ13&gt;=2,AJ13&lt;=4),(AP12+1),AP12)</f>
        <v>1</v>
      </c>
      <c r="AQ13" s="2">
        <f t="shared" ref="AQ13:AQ49" si="49">IF((AJ13=0),(AQ12+1),AQ12)</f>
        <v>0</v>
      </c>
      <c r="AR13" s="2">
        <f t="shared" ref="AR13:AR49" si="50">IF((AJ13=1),(AR12+1),AR12)</f>
        <v>1</v>
      </c>
      <c r="AS13" s="2">
        <f t="shared" ref="AS13:AS49" si="51">IF((AJ13=2),(AS12+1),AS12)</f>
        <v>0</v>
      </c>
      <c r="AT13" s="34">
        <f t="shared" ref="AT13:AT49" si="52">IF((AJ13=3),(AT12+1),AT12)</f>
        <v>0</v>
      </c>
      <c r="AU13" s="2">
        <v>1.0</v>
      </c>
      <c r="AV13" s="3">
        <f t="shared" si="7"/>
        <v>1</v>
      </c>
      <c r="AW13" s="2">
        <f t="shared" ref="AW13:AW49" si="53">IF(AND(AU13&gt;=1,AU13&lt;=2),(AW12+1),AW12)</f>
        <v>2</v>
      </c>
      <c r="AX13" s="2">
        <f t="shared" ref="AX13:AX49" si="54">IF(AND(AU13&gt;=2,AU13&lt;=3),(AX12+1),AX12)</f>
        <v>0</v>
      </c>
      <c r="AY13" s="2">
        <f t="shared" ref="AY13:AY49" si="55">IF(AND(AU13&gt;=3,AU13&lt;=4),(AY12+1),AY12)</f>
        <v>0</v>
      </c>
      <c r="AZ13" s="2">
        <f t="shared" ref="AZ13:AZ49" si="56">IF(AND(AU13&gt;=1,AU13&lt;=3),(AZ12+1),AZ12)</f>
        <v>2</v>
      </c>
      <c r="BA13" s="2">
        <f t="shared" ref="BA13:BA49" si="57">IF(AND(AU13&gt;=2,AU13&lt;=4),(BA12+1),BA12)</f>
        <v>0</v>
      </c>
      <c r="BB13" s="2">
        <f t="shared" ref="BB13:BB49" si="58">IF((AU13=0),(BB12+1),BB12)</f>
        <v>0</v>
      </c>
      <c r="BC13" s="2">
        <f t="shared" ref="BC13:BC49" si="59">IF((AU13=1),(BC12+1),BC12)</f>
        <v>2</v>
      </c>
      <c r="BD13" s="2">
        <f t="shared" ref="BD13:BD49" si="60">IF((AU13=2),(BD12+1),BD12)</f>
        <v>0</v>
      </c>
      <c r="BE13" s="34">
        <f t="shared" ref="BE13:BE49" si="61">IF((AU13=3),(BE12+1),BE12)</f>
        <v>0</v>
      </c>
      <c r="BF13" s="36">
        <f t="shared" ref="BF13:BO13" si="8">+(AK13+Z13+O13+D13)/4</f>
        <v>1.625</v>
      </c>
      <c r="BG13" s="2">
        <f t="shared" si="8"/>
        <v>1.5</v>
      </c>
      <c r="BH13" s="2">
        <f t="shared" si="8"/>
        <v>0.75</v>
      </c>
      <c r="BI13" s="2">
        <f t="shared" si="8"/>
        <v>0.25</v>
      </c>
      <c r="BJ13" s="2">
        <f t="shared" si="8"/>
        <v>1.5</v>
      </c>
      <c r="BK13" s="2">
        <f t="shared" si="8"/>
        <v>1</v>
      </c>
      <c r="BL13" s="2">
        <f t="shared" si="8"/>
        <v>0.25</v>
      </c>
      <c r="BM13" s="2">
        <f t="shared" si="8"/>
        <v>0.75</v>
      </c>
      <c r="BN13" s="2">
        <f t="shared" si="8"/>
        <v>0.75</v>
      </c>
      <c r="BO13" s="62">
        <f t="shared" si="8"/>
        <v>0</v>
      </c>
      <c r="BP13" s="37">
        <f t="shared" si="9"/>
        <v>-0.625</v>
      </c>
      <c r="BQ13" s="38">
        <f t="shared" si="10"/>
        <v>0</v>
      </c>
      <c r="BR13" s="38">
        <f t="shared" si="11"/>
        <v>1</v>
      </c>
      <c r="BS13" s="38">
        <f t="shared" si="12"/>
        <v>0</v>
      </c>
      <c r="BT13" s="38">
        <f t="shared" si="13"/>
        <v>0</v>
      </c>
      <c r="BU13" s="38">
        <f t="shared" si="14"/>
        <v>0</v>
      </c>
      <c r="BV13" s="38">
        <f t="shared" si="15"/>
        <v>1</v>
      </c>
      <c r="BW13" s="38">
        <f t="shared" ref="BW13:BX13" si="16">+BR13+BS13+BT13</f>
        <v>1</v>
      </c>
      <c r="BX13" s="39">
        <f t="shared" si="16"/>
        <v>0</v>
      </c>
    </row>
    <row r="14">
      <c r="A14" s="60"/>
      <c r="B14" s="40">
        <v>3.0</v>
      </c>
      <c r="C14" s="24">
        <v>1.0</v>
      </c>
      <c r="D14" s="27">
        <f t="shared" si="3"/>
        <v>1</v>
      </c>
      <c r="E14" s="24">
        <f t="shared" si="17"/>
        <v>2</v>
      </c>
      <c r="F14" s="2">
        <f t="shared" si="18"/>
        <v>1</v>
      </c>
      <c r="G14" s="24">
        <f t="shared" si="19"/>
        <v>0</v>
      </c>
      <c r="H14" s="24">
        <f t="shared" si="20"/>
        <v>2</v>
      </c>
      <c r="I14" s="24">
        <f t="shared" si="21"/>
        <v>1</v>
      </c>
      <c r="J14" s="24">
        <f t="shared" si="22"/>
        <v>1</v>
      </c>
      <c r="K14" s="24">
        <f t="shared" si="23"/>
        <v>1</v>
      </c>
      <c r="L14" s="24">
        <f t="shared" si="24"/>
        <v>1</v>
      </c>
      <c r="M14" s="28">
        <f t="shared" si="25"/>
        <v>0</v>
      </c>
      <c r="N14" s="24">
        <v>1.0</v>
      </c>
      <c r="O14" s="27">
        <f t="shared" si="4"/>
        <v>1.333333333</v>
      </c>
      <c r="P14" s="24">
        <f t="shared" si="26"/>
        <v>3</v>
      </c>
      <c r="Q14" s="2">
        <f t="shared" si="27"/>
        <v>1</v>
      </c>
      <c r="R14" s="24">
        <f t="shared" si="28"/>
        <v>0</v>
      </c>
      <c r="S14" s="24">
        <f t="shared" si="29"/>
        <v>3</v>
      </c>
      <c r="T14" s="24">
        <f t="shared" si="30"/>
        <v>1</v>
      </c>
      <c r="U14" s="24">
        <f t="shared" si="31"/>
        <v>0</v>
      </c>
      <c r="V14" s="24">
        <f t="shared" si="32"/>
        <v>2</v>
      </c>
      <c r="W14" s="24">
        <f t="shared" si="33"/>
        <v>1</v>
      </c>
      <c r="X14" s="28">
        <f t="shared" si="34"/>
        <v>0</v>
      </c>
      <c r="Y14" s="24">
        <v>3.0</v>
      </c>
      <c r="Z14" s="27">
        <f t="shared" si="5"/>
        <v>2</v>
      </c>
      <c r="AA14" s="24">
        <f t="shared" si="35"/>
        <v>2</v>
      </c>
      <c r="AB14" s="2">
        <f t="shared" si="36"/>
        <v>2</v>
      </c>
      <c r="AC14" s="24">
        <f t="shared" si="37"/>
        <v>1</v>
      </c>
      <c r="AD14" s="24">
        <f t="shared" si="38"/>
        <v>3</v>
      </c>
      <c r="AE14" s="24">
        <f t="shared" si="39"/>
        <v>2</v>
      </c>
      <c r="AF14" s="24">
        <f t="shared" si="40"/>
        <v>0</v>
      </c>
      <c r="AG14" s="24">
        <f t="shared" si="41"/>
        <v>1</v>
      </c>
      <c r="AH14" s="24">
        <f t="shared" si="42"/>
        <v>1</v>
      </c>
      <c r="AI14" s="28">
        <f t="shared" si="43"/>
        <v>1</v>
      </c>
      <c r="AJ14" s="24">
        <v>0.0</v>
      </c>
      <c r="AK14" s="27">
        <f t="shared" si="6"/>
        <v>1.666666667</v>
      </c>
      <c r="AL14" s="24">
        <f t="shared" si="44"/>
        <v>1</v>
      </c>
      <c r="AM14" s="2">
        <f t="shared" si="45"/>
        <v>0</v>
      </c>
      <c r="AN14" s="24">
        <f t="shared" si="46"/>
        <v>1</v>
      </c>
      <c r="AO14" s="24">
        <f t="shared" si="47"/>
        <v>1</v>
      </c>
      <c r="AP14" s="24">
        <f t="shared" si="48"/>
        <v>1</v>
      </c>
      <c r="AQ14" s="24">
        <f t="shared" si="49"/>
        <v>1</v>
      </c>
      <c r="AR14" s="24">
        <f t="shared" si="50"/>
        <v>1</v>
      </c>
      <c r="AS14" s="24">
        <f t="shared" si="51"/>
        <v>0</v>
      </c>
      <c r="AT14" s="28">
        <f t="shared" si="52"/>
        <v>0</v>
      </c>
      <c r="AU14" s="24">
        <v>4.0</v>
      </c>
      <c r="AV14" s="27">
        <f t="shared" si="7"/>
        <v>2</v>
      </c>
      <c r="AW14" s="24">
        <f t="shared" si="53"/>
        <v>2</v>
      </c>
      <c r="AX14" s="2">
        <f t="shared" si="54"/>
        <v>0</v>
      </c>
      <c r="AY14" s="24">
        <f t="shared" si="55"/>
        <v>1</v>
      </c>
      <c r="AZ14" s="24">
        <f t="shared" si="56"/>
        <v>2</v>
      </c>
      <c r="BA14" s="24">
        <f t="shared" si="57"/>
        <v>1</v>
      </c>
      <c r="BB14" s="24">
        <f t="shared" si="58"/>
        <v>0</v>
      </c>
      <c r="BC14" s="24">
        <f t="shared" si="59"/>
        <v>2</v>
      </c>
      <c r="BD14" s="24">
        <f t="shared" si="60"/>
        <v>0</v>
      </c>
      <c r="BE14" s="28">
        <f t="shared" si="61"/>
        <v>0</v>
      </c>
      <c r="BF14" s="29">
        <f t="shared" ref="BF14:BO14" si="62">+(AK14+Z14+O14+D14)/4</f>
        <v>1.5</v>
      </c>
      <c r="BG14" s="24">
        <f t="shared" si="62"/>
        <v>2</v>
      </c>
      <c r="BH14" s="24">
        <f t="shared" si="62"/>
        <v>1</v>
      </c>
      <c r="BI14" s="24">
        <f t="shared" si="62"/>
        <v>0.5</v>
      </c>
      <c r="BJ14" s="24">
        <f t="shared" si="62"/>
        <v>2.25</v>
      </c>
      <c r="BK14" s="24">
        <f t="shared" si="62"/>
        <v>1.25</v>
      </c>
      <c r="BL14" s="24">
        <f t="shared" si="62"/>
        <v>0.5</v>
      </c>
      <c r="BM14" s="24">
        <f t="shared" si="62"/>
        <v>1.25</v>
      </c>
      <c r="BN14" s="24">
        <f t="shared" si="62"/>
        <v>0.75</v>
      </c>
      <c r="BO14" s="61">
        <f t="shared" si="62"/>
        <v>0.25</v>
      </c>
      <c r="BP14" s="30">
        <f t="shared" si="9"/>
        <v>0.5</v>
      </c>
      <c r="BQ14" s="31">
        <f t="shared" si="10"/>
        <v>0</v>
      </c>
      <c r="BR14" s="31">
        <f t="shared" si="11"/>
        <v>0.6666666667</v>
      </c>
      <c r="BS14" s="31">
        <f t="shared" si="12"/>
        <v>0</v>
      </c>
      <c r="BT14" s="31">
        <f t="shared" si="13"/>
        <v>0</v>
      </c>
      <c r="BU14" s="31">
        <f t="shared" si="14"/>
        <v>0.3333333333</v>
      </c>
      <c r="BV14" s="31">
        <f t="shared" si="15"/>
        <v>1</v>
      </c>
      <c r="BW14" s="31">
        <f t="shared" ref="BW14:BX14" si="63">+BR14+BS14+BT14</f>
        <v>0.6666666667</v>
      </c>
      <c r="BX14" s="32">
        <f t="shared" si="63"/>
        <v>0.3333333333</v>
      </c>
    </row>
    <row r="15">
      <c r="B15" s="33">
        <v>4.0</v>
      </c>
      <c r="C15" s="2">
        <v>1.0</v>
      </c>
      <c r="D15" s="3">
        <f t="shared" si="3"/>
        <v>1</v>
      </c>
      <c r="E15" s="2">
        <f t="shared" si="17"/>
        <v>3</v>
      </c>
      <c r="F15" s="2">
        <f t="shared" si="18"/>
        <v>1</v>
      </c>
      <c r="G15" s="2">
        <f t="shared" si="19"/>
        <v>0</v>
      </c>
      <c r="H15" s="2">
        <f t="shared" si="20"/>
        <v>3</v>
      </c>
      <c r="I15" s="2">
        <f t="shared" si="21"/>
        <v>1</v>
      </c>
      <c r="J15" s="2">
        <f t="shared" si="22"/>
        <v>1</v>
      </c>
      <c r="K15" s="2">
        <f t="shared" si="23"/>
        <v>2</v>
      </c>
      <c r="L15" s="2">
        <f t="shared" si="24"/>
        <v>1</v>
      </c>
      <c r="M15" s="34">
        <f t="shared" si="25"/>
        <v>0</v>
      </c>
      <c r="N15" s="2">
        <v>3.0</v>
      </c>
      <c r="O15" s="3">
        <f t="shared" si="4"/>
        <v>1.75</v>
      </c>
      <c r="P15" s="2">
        <f t="shared" si="26"/>
        <v>3</v>
      </c>
      <c r="Q15" s="2">
        <f t="shared" si="27"/>
        <v>2</v>
      </c>
      <c r="R15" s="2">
        <f t="shared" si="28"/>
        <v>1</v>
      </c>
      <c r="S15" s="2">
        <f t="shared" si="29"/>
        <v>4</v>
      </c>
      <c r="T15" s="2">
        <f t="shared" si="30"/>
        <v>2</v>
      </c>
      <c r="U15" s="2">
        <f t="shared" si="31"/>
        <v>0</v>
      </c>
      <c r="V15" s="2">
        <f t="shared" si="32"/>
        <v>2</v>
      </c>
      <c r="W15" s="2">
        <f t="shared" si="33"/>
        <v>1</v>
      </c>
      <c r="X15" s="34">
        <f t="shared" si="34"/>
        <v>1</v>
      </c>
      <c r="Y15" s="2">
        <v>2.0</v>
      </c>
      <c r="Z15" s="3">
        <f t="shared" si="5"/>
        <v>2</v>
      </c>
      <c r="AA15" s="2">
        <f t="shared" si="35"/>
        <v>3</v>
      </c>
      <c r="AB15" s="2">
        <f t="shared" si="36"/>
        <v>3</v>
      </c>
      <c r="AC15" s="2">
        <f t="shared" si="37"/>
        <v>1</v>
      </c>
      <c r="AD15" s="2">
        <f t="shared" si="38"/>
        <v>4</v>
      </c>
      <c r="AE15" s="2">
        <f t="shared" si="39"/>
        <v>3</v>
      </c>
      <c r="AF15" s="2">
        <f t="shared" si="40"/>
        <v>0</v>
      </c>
      <c r="AG15" s="2">
        <f t="shared" si="41"/>
        <v>1</v>
      </c>
      <c r="AH15" s="2">
        <f t="shared" si="42"/>
        <v>2</v>
      </c>
      <c r="AI15" s="34">
        <f t="shared" si="43"/>
        <v>1</v>
      </c>
      <c r="AJ15" s="2">
        <v>3.0</v>
      </c>
      <c r="AK15" s="3">
        <f t="shared" si="6"/>
        <v>2</v>
      </c>
      <c r="AL15" s="2">
        <f t="shared" si="44"/>
        <v>1</v>
      </c>
      <c r="AM15" s="2">
        <f t="shared" si="45"/>
        <v>1</v>
      </c>
      <c r="AN15" s="2">
        <f t="shared" si="46"/>
        <v>2</v>
      </c>
      <c r="AO15" s="2">
        <f t="shared" si="47"/>
        <v>2</v>
      </c>
      <c r="AP15" s="2">
        <f t="shared" si="48"/>
        <v>2</v>
      </c>
      <c r="AQ15" s="2">
        <f t="shared" si="49"/>
        <v>1</v>
      </c>
      <c r="AR15" s="2">
        <f t="shared" si="50"/>
        <v>1</v>
      </c>
      <c r="AS15" s="2">
        <f t="shared" si="51"/>
        <v>0</v>
      </c>
      <c r="AT15" s="34">
        <f t="shared" si="52"/>
        <v>1</v>
      </c>
      <c r="AU15" s="2">
        <v>3.0</v>
      </c>
      <c r="AV15" s="3">
        <f t="shared" si="7"/>
        <v>2.25</v>
      </c>
      <c r="AW15" s="2">
        <f t="shared" si="53"/>
        <v>2</v>
      </c>
      <c r="AX15" s="2">
        <f t="shared" si="54"/>
        <v>1</v>
      </c>
      <c r="AY15" s="2">
        <f t="shared" si="55"/>
        <v>2</v>
      </c>
      <c r="AZ15" s="2">
        <f t="shared" si="56"/>
        <v>3</v>
      </c>
      <c r="BA15" s="2">
        <f t="shared" si="57"/>
        <v>2</v>
      </c>
      <c r="BB15" s="2">
        <f t="shared" si="58"/>
        <v>0</v>
      </c>
      <c r="BC15" s="2">
        <f t="shared" si="59"/>
        <v>2</v>
      </c>
      <c r="BD15" s="2">
        <f t="shared" si="60"/>
        <v>0</v>
      </c>
      <c r="BE15" s="34">
        <f t="shared" si="61"/>
        <v>1</v>
      </c>
      <c r="BF15" s="36">
        <f t="shared" ref="BF15:BO15" si="64">+(AK15+Z15+O15+D15)/4</f>
        <v>1.6875</v>
      </c>
      <c r="BG15" s="2">
        <f t="shared" si="64"/>
        <v>2.5</v>
      </c>
      <c r="BH15" s="2">
        <f t="shared" si="64"/>
        <v>1.75</v>
      </c>
      <c r="BI15" s="2">
        <f t="shared" si="64"/>
        <v>1</v>
      </c>
      <c r="BJ15" s="2">
        <f t="shared" si="64"/>
        <v>3.25</v>
      </c>
      <c r="BK15" s="2">
        <f t="shared" si="64"/>
        <v>2</v>
      </c>
      <c r="BL15" s="2">
        <f t="shared" si="64"/>
        <v>0.5</v>
      </c>
      <c r="BM15" s="2">
        <f t="shared" si="64"/>
        <v>1.5</v>
      </c>
      <c r="BN15" s="2">
        <f t="shared" si="64"/>
        <v>1</v>
      </c>
      <c r="BO15" s="62">
        <f t="shared" si="64"/>
        <v>0.75</v>
      </c>
      <c r="BP15" s="37">
        <f t="shared" si="9"/>
        <v>0.5625</v>
      </c>
      <c r="BQ15" s="38">
        <f t="shared" si="10"/>
        <v>0</v>
      </c>
      <c r="BR15" s="38">
        <f t="shared" si="11"/>
        <v>0.5</v>
      </c>
      <c r="BS15" s="38">
        <f t="shared" si="12"/>
        <v>0</v>
      </c>
      <c r="BT15" s="38">
        <f t="shared" si="13"/>
        <v>0.25</v>
      </c>
      <c r="BU15" s="38">
        <f t="shared" si="14"/>
        <v>0.25</v>
      </c>
      <c r="BV15" s="38">
        <f t="shared" si="15"/>
        <v>1</v>
      </c>
      <c r="BW15" s="38">
        <f t="shared" ref="BW15:BX15" si="65">+BR15+BS15+BT15</f>
        <v>0.75</v>
      </c>
      <c r="BX15" s="39">
        <f t="shared" si="65"/>
        <v>0.5</v>
      </c>
    </row>
    <row r="16">
      <c r="A16" s="60"/>
      <c r="B16" s="40">
        <v>5.0</v>
      </c>
      <c r="C16" s="24">
        <v>2.0</v>
      </c>
      <c r="D16" s="27">
        <f t="shared" si="3"/>
        <v>1.2</v>
      </c>
      <c r="E16" s="24">
        <f t="shared" si="17"/>
        <v>4</v>
      </c>
      <c r="F16" s="2">
        <f t="shared" si="18"/>
        <v>2</v>
      </c>
      <c r="G16" s="24">
        <f t="shared" si="19"/>
        <v>0</v>
      </c>
      <c r="H16" s="24">
        <f t="shared" si="20"/>
        <v>4</v>
      </c>
      <c r="I16" s="24">
        <f t="shared" si="21"/>
        <v>2</v>
      </c>
      <c r="J16" s="24">
        <f t="shared" si="22"/>
        <v>1</v>
      </c>
      <c r="K16" s="24">
        <f t="shared" si="23"/>
        <v>2</v>
      </c>
      <c r="L16" s="24">
        <f t="shared" si="24"/>
        <v>2</v>
      </c>
      <c r="M16" s="28">
        <f t="shared" si="25"/>
        <v>0</v>
      </c>
      <c r="N16" s="24">
        <v>2.0</v>
      </c>
      <c r="O16" s="27">
        <f t="shared" si="4"/>
        <v>1.8</v>
      </c>
      <c r="P16" s="24">
        <f t="shared" si="26"/>
        <v>4</v>
      </c>
      <c r="Q16" s="2">
        <f t="shared" si="27"/>
        <v>3</v>
      </c>
      <c r="R16" s="24">
        <f t="shared" si="28"/>
        <v>1</v>
      </c>
      <c r="S16" s="24">
        <f t="shared" si="29"/>
        <v>5</v>
      </c>
      <c r="T16" s="24">
        <f t="shared" si="30"/>
        <v>3</v>
      </c>
      <c r="U16" s="24">
        <f t="shared" si="31"/>
        <v>0</v>
      </c>
      <c r="V16" s="24">
        <f t="shared" si="32"/>
        <v>2</v>
      </c>
      <c r="W16" s="24">
        <f t="shared" si="33"/>
        <v>2</v>
      </c>
      <c r="X16" s="28">
        <f t="shared" si="34"/>
        <v>1</v>
      </c>
      <c r="Y16" s="24">
        <v>2.0</v>
      </c>
      <c r="Z16" s="27">
        <f t="shared" si="5"/>
        <v>2</v>
      </c>
      <c r="AA16" s="24">
        <f t="shared" si="35"/>
        <v>4</v>
      </c>
      <c r="AB16" s="2">
        <f t="shared" si="36"/>
        <v>4</v>
      </c>
      <c r="AC16" s="24">
        <f t="shared" si="37"/>
        <v>1</v>
      </c>
      <c r="AD16" s="24">
        <f t="shared" si="38"/>
        <v>5</v>
      </c>
      <c r="AE16" s="24">
        <f t="shared" si="39"/>
        <v>4</v>
      </c>
      <c r="AF16" s="24">
        <f t="shared" si="40"/>
        <v>0</v>
      </c>
      <c r="AG16" s="24">
        <f t="shared" si="41"/>
        <v>1</v>
      </c>
      <c r="AH16" s="24">
        <f t="shared" si="42"/>
        <v>3</v>
      </c>
      <c r="AI16" s="28">
        <f t="shared" si="43"/>
        <v>1</v>
      </c>
      <c r="AJ16" s="24">
        <v>2.0</v>
      </c>
      <c r="AK16" s="27">
        <f t="shared" si="6"/>
        <v>2</v>
      </c>
      <c r="AL16" s="24">
        <f t="shared" si="44"/>
        <v>2</v>
      </c>
      <c r="AM16" s="2">
        <f t="shared" si="45"/>
        <v>2</v>
      </c>
      <c r="AN16" s="24">
        <f t="shared" si="46"/>
        <v>2</v>
      </c>
      <c r="AO16" s="24">
        <f t="shared" si="47"/>
        <v>3</v>
      </c>
      <c r="AP16" s="24">
        <f t="shared" si="48"/>
        <v>3</v>
      </c>
      <c r="AQ16" s="24">
        <f t="shared" si="49"/>
        <v>1</v>
      </c>
      <c r="AR16" s="24">
        <f t="shared" si="50"/>
        <v>1</v>
      </c>
      <c r="AS16" s="24">
        <f t="shared" si="51"/>
        <v>1</v>
      </c>
      <c r="AT16" s="28">
        <f t="shared" si="52"/>
        <v>1</v>
      </c>
      <c r="AU16" s="24">
        <v>1.0</v>
      </c>
      <c r="AV16" s="27">
        <f t="shared" si="7"/>
        <v>2</v>
      </c>
      <c r="AW16" s="24">
        <f t="shared" si="53"/>
        <v>3</v>
      </c>
      <c r="AX16" s="2">
        <f t="shared" si="54"/>
        <v>1</v>
      </c>
      <c r="AY16" s="24">
        <f t="shared" si="55"/>
        <v>2</v>
      </c>
      <c r="AZ16" s="24">
        <f t="shared" si="56"/>
        <v>4</v>
      </c>
      <c r="BA16" s="24">
        <f t="shared" si="57"/>
        <v>2</v>
      </c>
      <c r="BB16" s="24">
        <f t="shared" si="58"/>
        <v>0</v>
      </c>
      <c r="BC16" s="24">
        <f t="shared" si="59"/>
        <v>3</v>
      </c>
      <c r="BD16" s="24">
        <f t="shared" si="60"/>
        <v>0</v>
      </c>
      <c r="BE16" s="28">
        <f t="shared" si="61"/>
        <v>1</v>
      </c>
      <c r="BF16" s="29">
        <f t="shared" ref="BF16:BO16" si="66">+(AK16+Z16+O16+D16)/4</f>
        <v>1.75</v>
      </c>
      <c r="BG16" s="24">
        <f t="shared" si="66"/>
        <v>3.5</v>
      </c>
      <c r="BH16" s="24">
        <f t="shared" si="66"/>
        <v>2.75</v>
      </c>
      <c r="BI16" s="24">
        <f t="shared" si="66"/>
        <v>1</v>
      </c>
      <c r="BJ16" s="24">
        <f t="shared" si="66"/>
        <v>4.25</v>
      </c>
      <c r="BK16" s="24">
        <f t="shared" si="66"/>
        <v>3</v>
      </c>
      <c r="BL16" s="24">
        <f t="shared" si="66"/>
        <v>0.5</v>
      </c>
      <c r="BM16" s="24">
        <f t="shared" si="66"/>
        <v>1.5</v>
      </c>
      <c r="BN16" s="24">
        <f t="shared" si="66"/>
        <v>2</v>
      </c>
      <c r="BO16" s="61">
        <f t="shared" si="66"/>
        <v>0.75</v>
      </c>
      <c r="BP16" s="30">
        <f t="shared" si="9"/>
        <v>0.25</v>
      </c>
      <c r="BQ16" s="31">
        <f t="shared" si="10"/>
        <v>0</v>
      </c>
      <c r="BR16" s="31">
        <f t="shared" si="11"/>
        <v>0.6</v>
      </c>
      <c r="BS16" s="31">
        <f t="shared" si="12"/>
        <v>0</v>
      </c>
      <c r="BT16" s="31">
        <f t="shared" si="13"/>
        <v>0.2</v>
      </c>
      <c r="BU16" s="31">
        <f t="shared" si="14"/>
        <v>0.2</v>
      </c>
      <c r="BV16" s="31">
        <f t="shared" si="15"/>
        <v>1</v>
      </c>
      <c r="BW16" s="31">
        <f t="shared" ref="BW16:BX16" si="67">+BR16+BS16+BT16</f>
        <v>0.8</v>
      </c>
      <c r="BX16" s="32">
        <f t="shared" si="67"/>
        <v>0.4</v>
      </c>
    </row>
    <row r="17">
      <c r="B17" s="33">
        <v>6.0</v>
      </c>
      <c r="C17" s="2">
        <v>2.0</v>
      </c>
      <c r="D17" s="3">
        <f t="shared" si="3"/>
        <v>1.333333333</v>
      </c>
      <c r="E17" s="2">
        <f t="shared" si="17"/>
        <v>5</v>
      </c>
      <c r="F17" s="2">
        <f t="shared" si="18"/>
        <v>3</v>
      </c>
      <c r="G17" s="2">
        <f t="shared" si="19"/>
        <v>0</v>
      </c>
      <c r="H17" s="2">
        <f t="shared" si="20"/>
        <v>5</v>
      </c>
      <c r="I17" s="2">
        <f t="shared" si="21"/>
        <v>3</v>
      </c>
      <c r="J17" s="2">
        <f t="shared" si="22"/>
        <v>1</v>
      </c>
      <c r="K17" s="2">
        <f t="shared" si="23"/>
        <v>2</v>
      </c>
      <c r="L17" s="2">
        <f t="shared" si="24"/>
        <v>3</v>
      </c>
      <c r="M17" s="34">
        <f t="shared" si="25"/>
        <v>0</v>
      </c>
      <c r="N17" s="2">
        <v>1.0</v>
      </c>
      <c r="O17" s="3">
        <f t="shared" si="4"/>
        <v>1.666666667</v>
      </c>
      <c r="P17" s="2">
        <f t="shared" si="26"/>
        <v>5</v>
      </c>
      <c r="Q17" s="2">
        <f t="shared" si="27"/>
        <v>3</v>
      </c>
      <c r="R17" s="2">
        <f t="shared" si="28"/>
        <v>1</v>
      </c>
      <c r="S17" s="2">
        <f t="shared" si="29"/>
        <v>6</v>
      </c>
      <c r="T17" s="2">
        <f t="shared" si="30"/>
        <v>3</v>
      </c>
      <c r="U17" s="2">
        <f t="shared" si="31"/>
        <v>0</v>
      </c>
      <c r="V17" s="2">
        <f t="shared" si="32"/>
        <v>3</v>
      </c>
      <c r="W17" s="2">
        <f t="shared" si="33"/>
        <v>2</v>
      </c>
      <c r="X17" s="34">
        <f t="shared" si="34"/>
        <v>1</v>
      </c>
      <c r="Y17" s="2">
        <v>1.0</v>
      </c>
      <c r="Z17" s="3">
        <f t="shared" si="5"/>
        <v>1.833333333</v>
      </c>
      <c r="AA17" s="2">
        <f t="shared" si="35"/>
        <v>5</v>
      </c>
      <c r="AB17" s="2">
        <f t="shared" si="36"/>
        <v>4</v>
      </c>
      <c r="AC17" s="2">
        <f t="shared" si="37"/>
        <v>1</v>
      </c>
      <c r="AD17" s="2">
        <f t="shared" si="38"/>
        <v>6</v>
      </c>
      <c r="AE17" s="2">
        <f t="shared" si="39"/>
        <v>4</v>
      </c>
      <c r="AF17" s="2">
        <f t="shared" si="40"/>
        <v>0</v>
      </c>
      <c r="AG17" s="2">
        <f t="shared" si="41"/>
        <v>2</v>
      </c>
      <c r="AH17" s="2">
        <f t="shared" si="42"/>
        <v>3</v>
      </c>
      <c r="AI17" s="34">
        <f t="shared" si="43"/>
        <v>1</v>
      </c>
      <c r="AJ17" s="2">
        <v>1.0</v>
      </c>
      <c r="AK17" s="3">
        <f t="shared" si="6"/>
        <v>1.833333333</v>
      </c>
      <c r="AL17" s="2">
        <f t="shared" si="44"/>
        <v>3</v>
      </c>
      <c r="AM17" s="2">
        <f t="shared" si="45"/>
        <v>2</v>
      </c>
      <c r="AN17" s="2">
        <f t="shared" si="46"/>
        <v>2</v>
      </c>
      <c r="AO17" s="2">
        <f t="shared" si="47"/>
        <v>4</v>
      </c>
      <c r="AP17" s="2">
        <f t="shared" si="48"/>
        <v>3</v>
      </c>
      <c r="AQ17" s="2">
        <f t="shared" si="49"/>
        <v>1</v>
      </c>
      <c r="AR17" s="2">
        <f t="shared" si="50"/>
        <v>2</v>
      </c>
      <c r="AS17" s="2">
        <f t="shared" si="51"/>
        <v>1</v>
      </c>
      <c r="AT17" s="34">
        <f t="shared" si="52"/>
        <v>1</v>
      </c>
      <c r="AU17" s="2">
        <v>1.0</v>
      </c>
      <c r="AV17" s="3">
        <f t="shared" si="7"/>
        <v>1.833333333</v>
      </c>
      <c r="AW17" s="2">
        <f t="shared" si="53"/>
        <v>4</v>
      </c>
      <c r="AX17" s="2">
        <f t="shared" si="54"/>
        <v>1</v>
      </c>
      <c r="AY17" s="2">
        <f t="shared" si="55"/>
        <v>2</v>
      </c>
      <c r="AZ17" s="2">
        <f t="shared" si="56"/>
        <v>5</v>
      </c>
      <c r="BA17" s="2">
        <f t="shared" si="57"/>
        <v>2</v>
      </c>
      <c r="BB17" s="2">
        <f t="shared" si="58"/>
        <v>0</v>
      </c>
      <c r="BC17" s="2">
        <f t="shared" si="59"/>
        <v>4</v>
      </c>
      <c r="BD17" s="2">
        <f t="shared" si="60"/>
        <v>0</v>
      </c>
      <c r="BE17" s="34">
        <f t="shared" si="61"/>
        <v>1</v>
      </c>
      <c r="BF17" s="36">
        <f t="shared" ref="BF17:BO17" si="68">+(AK17+Z17+O17+D17)/4</f>
        <v>1.666666667</v>
      </c>
      <c r="BG17" s="2">
        <f t="shared" si="68"/>
        <v>4.5</v>
      </c>
      <c r="BH17" s="2">
        <f t="shared" si="68"/>
        <v>3</v>
      </c>
      <c r="BI17" s="2">
        <f t="shared" si="68"/>
        <v>1</v>
      </c>
      <c r="BJ17" s="2">
        <f t="shared" si="68"/>
        <v>5.25</v>
      </c>
      <c r="BK17" s="2">
        <f t="shared" si="68"/>
        <v>3.25</v>
      </c>
      <c r="BL17" s="2">
        <f t="shared" si="68"/>
        <v>0.5</v>
      </c>
      <c r="BM17" s="2">
        <f t="shared" si="68"/>
        <v>2.25</v>
      </c>
      <c r="BN17" s="2">
        <f t="shared" si="68"/>
        <v>2.25</v>
      </c>
      <c r="BO17" s="62">
        <f t="shared" si="68"/>
        <v>0.75</v>
      </c>
      <c r="BP17" s="37">
        <f t="shared" si="9"/>
        <v>0.1666666667</v>
      </c>
      <c r="BQ17" s="38">
        <f t="shared" si="10"/>
        <v>0</v>
      </c>
      <c r="BR17" s="38">
        <f t="shared" si="11"/>
        <v>0.6666666667</v>
      </c>
      <c r="BS17" s="38">
        <f t="shared" si="12"/>
        <v>0</v>
      </c>
      <c r="BT17" s="38">
        <f t="shared" si="13"/>
        <v>0.1666666667</v>
      </c>
      <c r="BU17" s="38">
        <f t="shared" si="14"/>
        <v>0.1666666667</v>
      </c>
      <c r="BV17" s="38">
        <f t="shared" si="15"/>
        <v>1</v>
      </c>
      <c r="BW17" s="38">
        <f t="shared" ref="BW17:BX17" si="69">+BR17+BS17+BT17</f>
        <v>0.8333333333</v>
      </c>
      <c r="BX17" s="39">
        <f t="shared" si="69"/>
        <v>0.3333333333</v>
      </c>
    </row>
    <row r="18">
      <c r="A18" s="60"/>
      <c r="B18" s="40">
        <v>7.0</v>
      </c>
      <c r="C18" s="24">
        <v>2.0</v>
      </c>
      <c r="D18" s="27">
        <f t="shared" si="3"/>
        <v>1.428571429</v>
      </c>
      <c r="E18" s="24">
        <f t="shared" si="17"/>
        <v>6</v>
      </c>
      <c r="F18" s="2">
        <f t="shared" si="18"/>
        <v>4</v>
      </c>
      <c r="G18" s="24">
        <f t="shared" si="19"/>
        <v>0</v>
      </c>
      <c r="H18" s="24">
        <f t="shared" si="20"/>
        <v>6</v>
      </c>
      <c r="I18" s="24">
        <f t="shared" si="21"/>
        <v>4</v>
      </c>
      <c r="J18" s="24">
        <f t="shared" si="22"/>
        <v>1</v>
      </c>
      <c r="K18" s="24">
        <f t="shared" si="23"/>
        <v>2</v>
      </c>
      <c r="L18" s="24">
        <f t="shared" si="24"/>
        <v>4</v>
      </c>
      <c r="M18" s="28">
        <f t="shared" si="25"/>
        <v>0</v>
      </c>
      <c r="N18" s="24">
        <v>1.0</v>
      </c>
      <c r="O18" s="27">
        <f t="shared" si="4"/>
        <v>1.571428571</v>
      </c>
      <c r="P18" s="24">
        <f t="shared" si="26"/>
        <v>6</v>
      </c>
      <c r="Q18" s="2">
        <f t="shared" si="27"/>
        <v>3</v>
      </c>
      <c r="R18" s="24">
        <f t="shared" si="28"/>
        <v>1</v>
      </c>
      <c r="S18" s="24">
        <f t="shared" si="29"/>
        <v>7</v>
      </c>
      <c r="T18" s="24">
        <f t="shared" si="30"/>
        <v>3</v>
      </c>
      <c r="U18" s="24">
        <f t="shared" si="31"/>
        <v>0</v>
      </c>
      <c r="V18" s="24">
        <f t="shared" si="32"/>
        <v>4</v>
      </c>
      <c r="W18" s="24">
        <f t="shared" si="33"/>
        <v>2</v>
      </c>
      <c r="X18" s="28">
        <f t="shared" si="34"/>
        <v>1</v>
      </c>
      <c r="Y18" s="24">
        <v>0.0</v>
      </c>
      <c r="Z18" s="27">
        <f t="shared" si="5"/>
        <v>1.571428571</v>
      </c>
      <c r="AA18" s="24">
        <f t="shared" si="35"/>
        <v>5</v>
      </c>
      <c r="AB18" s="2">
        <f t="shared" si="36"/>
        <v>4</v>
      </c>
      <c r="AC18" s="24">
        <f t="shared" si="37"/>
        <v>1</v>
      </c>
      <c r="AD18" s="24">
        <f t="shared" si="38"/>
        <v>6</v>
      </c>
      <c r="AE18" s="24">
        <f t="shared" si="39"/>
        <v>4</v>
      </c>
      <c r="AF18" s="24">
        <f t="shared" si="40"/>
        <v>1</v>
      </c>
      <c r="AG18" s="24">
        <f t="shared" si="41"/>
        <v>2</v>
      </c>
      <c r="AH18" s="24">
        <f t="shared" si="42"/>
        <v>3</v>
      </c>
      <c r="AI18" s="28">
        <f t="shared" si="43"/>
        <v>1</v>
      </c>
      <c r="AJ18" s="24">
        <v>5.0</v>
      </c>
      <c r="AK18" s="27">
        <f t="shared" si="6"/>
        <v>2.285714286</v>
      </c>
      <c r="AL18" s="24">
        <f t="shared" si="44"/>
        <v>3</v>
      </c>
      <c r="AM18" s="2">
        <f t="shared" si="45"/>
        <v>2</v>
      </c>
      <c r="AN18" s="24">
        <f t="shared" si="46"/>
        <v>2</v>
      </c>
      <c r="AO18" s="24">
        <f t="shared" si="47"/>
        <v>4</v>
      </c>
      <c r="AP18" s="24">
        <f t="shared" si="48"/>
        <v>3</v>
      </c>
      <c r="AQ18" s="24">
        <f t="shared" si="49"/>
        <v>1</v>
      </c>
      <c r="AR18" s="24">
        <f t="shared" si="50"/>
        <v>2</v>
      </c>
      <c r="AS18" s="24">
        <f t="shared" si="51"/>
        <v>1</v>
      </c>
      <c r="AT18" s="28">
        <f t="shared" si="52"/>
        <v>1</v>
      </c>
      <c r="AU18" s="24">
        <v>0.0</v>
      </c>
      <c r="AV18" s="27">
        <f t="shared" si="7"/>
        <v>1.571428571</v>
      </c>
      <c r="AW18" s="24">
        <f t="shared" si="53"/>
        <v>4</v>
      </c>
      <c r="AX18" s="2">
        <f t="shared" si="54"/>
        <v>1</v>
      </c>
      <c r="AY18" s="24">
        <f t="shared" si="55"/>
        <v>2</v>
      </c>
      <c r="AZ18" s="24">
        <f t="shared" si="56"/>
        <v>5</v>
      </c>
      <c r="BA18" s="24">
        <f t="shared" si="57"/>
        <v>2</v>
      </c>
      <c r="BB18" s="24">
        <f t="shared" si="58"/>
        <v>1</v>
      </c>
      <c r="BC18" s="24">
        <f t="shared" si="59"/>
        <v>4</v>
      </c>
      <c r="BD18" s="24">
        <f t="shared" si="60"/>
        <v>0</v>
      </c>
      <c r="BE18" s="28">
        <f t="shared" si="61"/>
        <v>1</v>
      </c>
      <c r="BF18" s="29">
        <f t="shared" ref="BF18:BO18" si="70">+(AK18+Z18+O18+D18)/4</f>
        <v>1.714285714</v>
      </c>
      <c r="BG18" s="24">
        <f t="shared" si="70"/>
        <v>5</v>
      </c>
      <c r="BH18" s="24">
        <f t="shared" si="70"/>
        <v>3.25</v>
      </c>
      <c r="BI18" s="24">
        <f t="shared" si="70"/>
        <v>1</v>
      </c>
      <c r="BJ18" s="24">
        <f t="shared" si="70"/>
        <v>5.75</v>
      </c>
      <c r="BK18" s="24">
        <f t="shared" si="70"/>
        <v>3.5</v>
      </c>
      <c r="BL18" s="24">
        <f t="shared" si="70"/>
        <v>0.75</v>
      </c>
      <c r="BM18" s="24">
        <f t="shared" si="70"/>
        <v>2.5</v>
      </c>
      <c r="BN18" s="24">
        <f t="shared" si="70"/>
        <v>2.5</v>
      </c>
      <c r="BO18" s="61">
        <f t="shared" si="70"/>
        <v>0.75</v>
      </c>
      <c r="BP18" s="30">
        <f t="shared" si="9"/>
        <v>-0.1428571429</v>
      </c>
      <c r="BQ18" s="31">
        <f t="shared" si="10"/>
        <v>0.1428571429</v>
      </c>
      <c r="BR18" s="31">
        <f t="shared" si="11"/>
        <v>0.5714285714</v>
      </c>
      <c r="BS18" s="31">
        <f t="shared" si="12"/>
        <v>0</v>
      </c>
      <c r="BT18" s="31">
        <f t="shared" si="13"/>
        <v>0.1428571429</v>
      </c>
      <c r="BU18" s="31">
        <f t="shared" si="14"/>
        <v>0.1428571429</v>
      </c>
      <c r="BV18" s="31">
        <f t="shared" si="15"/>
        <v>0.8571428571</v>
      </c>
      <c r="BW18" s="31">
        <f t="shared" ref="BW18:BX18" si="71">+BR18+BS18+BT18</f>
        <v>0.7142857143</v>
      </c>
      <c r="BX18" s="32">
        <f t="shared" si="71"/>
        <v>0.2857142857</v>
      </c>
    </row>
    <row r="19">
      <c r="B19" s="33">
        <v>8.0</v>
      </c>
      <c r="C19" s="2">
        <v>4.0</v>
      </c>
      <c r="D19" s="3">
        <f t="shared" si="3"/>
        <v>1.75</v>
      </c>
      <c r="E19" s="2">
        <f t="shared" si="17"/>
        <v>6</v>
      </c>
      <c r="F19" s="2">
        <f t="shared" si="18"/>
        <v>4</v>
      </c>
      <c r="G19" s="2">
        <f t="shared" si="19"/>
        <v>1</v>
      </c>
      <c r="H19" s="2">
        <f t="shared" si="20"/>
        <v>6</v>
      </c>
      <c r="I19" s="2">
        <f t="shared" si="21"/>
        <v>5</v>
      </c>
      <c r="J19" s="2">
        <f t="shared" si="22"/>
        <v>1</v>
      </c>
      <c r="K19" s="2">
        <f t="shared" si="23"/>
        <v>2</v>
      </c>
      <c r="L19" s="2">
        <f t="shared" si="24"/>
        <v>4</v>
      </c>
      <c r="M19" s="34">
        <f t="shared" si="25"/>
        <v>0</v>
      </c>
      <c r="N19" s="2">
        <v>1.0</v>
      </c>
      <c r="O19" s="3">
        <f t="shared" si="4"/>
        <v>1.5</v>
      </c>
      <c r="P19" s="2">
        <f t="shared" si="26"/>
        <v>7</v>
      </c>
      <c r="Q19" s="2">
        <f t="shared" si="27"/>
        <v>3</v>
      </c>
      <c r="R19" s="2">
        <f t="shared" si="28"/>
        <v>1</v>
      </c>
      <c r="S19" s="2">
        <f t="shared" si="29"/>
        <v>8</v>
      </c>
      <c r="T19" s="2">
        <f t="shared" si="30"/>
        <v>3</v>
      </c>
      <c r="U19" s="2">
        <f t="shared" si="31"/>
        <v>0</v>
      </c>
      <c r="V19" s="2">
        <f t="shared" si="32"/>
        <v>5</v>
      </c>
      <c r="W19" s="2">
        <f t="shared" si="33"/>
        <v>2</v>
      </c>
      <c r="X19" s="34">
        <f t="shared" si="34"/>
        <v>1</v>
      </c>
      <c r="Y19" s="2">
        <v>2.0</v>
      </c>
      <c r="Z19" s="3">
        <f t="shared" si="5"/>
        <v>1.625</v>
      </c>
      <c r="AA19" s="2">
        <f t="shared" si="35"/>
        <v>6</v>
      </c>
      <c r="AB19" s="2">
        <f t="shared" si="36"/>
        <v>5</v>
      </c>
      <c r="AC19" s="2">
        <f t="shared" si="37"/>
        <v>1</v>
      </c>
      <c r="AD19" s="2">
        <f t="shared" si="38"/>
        <v>7</v>
      </c>
      <c r="AE19" s="2">
        <f t="shared" si="39"/>
        <v>5</v>
      </c>
      <c r="AF19" s="2">
        <f t="shared" si="40"/>
        <v>1</v>
      </c>
      <c r="AG19" s="2">
        <f t="shared" si="41"/>
        <v>2</v>
      </c>
      <c r="AH19" s="2">
        <f t="shared" si="42"/>
        <v>4</v>
      </c>
      <c r="AI19" s="34">
        <f t="shared" si="43"/>
        <v>1</v>
      </c>
      <c r="AJ19" s="2">
        <v>2.0</v>
      </c>
      <c r="AK19" s="3">
        <f t="shared" si="6"/>
        <v>2.25</v>
      </c>
      <c r="AL19" s="2">
        <f t="shared" si="44"/>
        <v>4</v>
      </c>
      <c r="AM19" s="2">
        <f t="shared" si="45"/>
        <v>3</v>
      </c>
      <c r="AN19" s="2">
        <f t="shared" si="46"/>
        <v>2</v>
      </c>
      <c r="AO19" s="2">
        <f t="shared" si="47"/>
        <v>5</v>
      </c>
      <c r="AP19" s="2">
        <f t="shared" si="48"/>
        <v>4</v>
      </c>
      <c r="AQ19" s="2">
        <f t="shared" si="49"/>
        <v>1</v>
      </c>
      <c r="AR19" s="2">
        <f t="shared" si="50"/>
        <v>2</v>
      </c>
      <c r="AS19" s="2">
        <f t="shared" si="51"/>
        <v>2</v>
      </c>
      <c r="AT19" s="34">
        <f t="shared" si="52"/>
        <v>1</v>
      </c>
      <c r="AU19" s="2">
        <v>1.0</v>
      </c>
      <c r="AV19" s="3">
        <f t="shared" si="7"/>
        <v>1.5</v>
      </c>
      <c r="AW19" s="2">
        <f t="shared" si="53"/>
        <v>5</v>
      </c>
      <c r="AX19" s="2">
        <f t="shared" si="54"/>
        <v>1</v>
      </c>
      <c r="AY19" s="2">
        <f t="shared" si="55"/>
        <v>2</v>
      </c>
      <c r="AZ19" s="2">
        <f t="shared" si="56"/>
        <v>6</v>
      </c>
      <c r="BA19" s="2">
        <f t="shared" si="57"/>
        <v>2</v>
      </c>
      <c r="BB19" s="2">
        <f t="shared" si="58"/>
        <v>1</v>
      </c>
      <c r="BC19" s="2">
        <f t="shared" si="59"/>
        <v>5</v>
      </c>
      <c r="BD19" s="2">
        <f t="shared" si="60"/>
        <v>0</v>
      </c>
      <c r="BE19" s="34">
        <f t="shared" si="61"/>
        <v>1</v>
      </c>
      <c r="BF19" s="36">
        <f t="shared" ref="BF19:BO19" si="72">+(AK19+Z19+O19+D19)/4</f>
        <v>1.78125</v>
      </c>
      <c r="BG19" s="2">
        <f t="shared" si="72"/>
        <v>5.75</v>
      </c>
      <c r="BH19" s="2">
        <f t="shared" si="72"/>
        <v>3.75</v>
      </c>
      <c r="BI19" s="2">
        <f t="shared" si="72"/>
        <v>1.25</v>
      </c>
      <c r="BJ19" s="2">
        <f t="shared" si="72"/>
        <v>6.5</v>
      </c>
      <c r="BK19" s="2">
        <f t="shared" si="72"/>
        <v>4.25</v>
      </c>
      <c r="BL19" s="2">
        <f t="shared" si="72"/>
        <v>0.75</v>
      </c>
      <c r="BM19" s="2">
        <f t="shared" si="72"/>
        <v>2.75</v>
      </c>
      <c r="BN19" s="2">
        <f t="shared" si="72"/>
        <v>3</v>
      </c>
      <c r="BO19" s="62">
        <f t="shared" si="72"/>
        <v>0.75</v>
      </c>
      <c r="BP19" s="37">
        <f t="shared" si="9"/>
        <v>-0.28125</v>
      </c>
      <c r="BQ19" s="38">
        <f t="shared" si="10"/>
        <v>0.125</v>
      </c>
      <c r="BR19" s="38">
        <f t="shared" si="11"/>
        <v>0.625</v>
      </c>
      <c r="BS19" s="38">
        <f t="shared" si="12"/>
        <v>0</v>
      </c>
      <c r="BT19" s="38">
        <f t="shared" si="13"/>
        <v>0.125</v>
      </c>
      <c r="BU19" s="38">
        <f t="shared" si="14"/>
        <v>0.125</v>
      </c>
      <c r="BV19" s="38">
        <f t="shared" si="15"/>
        <v>0.875</v>
      </c>
      <c r="BW19" s="38">
        <f t="shared" ref="BW19:BX19" si="73">+BR19+BS19+BT19</f>
        <v>0.75</v>
      </c>
      <c r="BX19" s="39">
        <f t="shared" si="73"/>
        <v>0.25</v>
      </c>
    </row>
    <row r="20">
      <c r="A20" s="60"/>
      <c r="B20" s="40">
        <v>9.0</v>
      </c>
      <c r="C20" s="24">
        <v>1.0</v>
      </c>
      <c r="D20" s="27">
        <f t="shared" si="3"/>
        <v>1.666666667</v>
      </c>
      <c r="E20" s="24">
        <f t="shared" si="17"/>
        <v>7</v>
      </c>
      <c r="F20" s="2">
        <f t="shared" si="18"/>
        <v>4</v>
      </c>
      <c r="G20" s="24">
        <f t="shared" si="19"/>
        <v>1</v>
      </c>
      <c r="H20" s="24">
        <f t="shared" si="20"/>
        <v>7</v>
      </c>
      <c r="I20" s="24">
        <f t="shared" si="21"/>
        <v>5</v>
      </c>
      <c r="J20" s="24">
        <f t="shared" si="22"/>
        <v>1</v>
      </c>
      <c r="K20" s="24">
        <f t="shared" si="23"/>
        <v>3</v>
      </c>
      <c r="L20" s="24">
        <f t="shared" si="24"/>
        <v>4</v>
      </c>
      <c r="M20" s="28">
        <f t="shared" si="25"/>
        <v>0</v>
      </c>
      <c r="N20" s="24">
        <v>2.0</v>
      </c>
      <c r="O20" s="27">
        <f t="shared" si="4"/>
        <v>1.555555556</v>
      </c>
      <c r="P20" s="24">
        <f t="shared" si="26"/>
        <v>8</v>
      </c>
      <c r="Q20" s="2">
        <f t="shared" si="27"/>
        <v>4</v>
      </c>
      <c r="R20" s="24">
        <f t="shared" si="28"/>
        <v>1</v>
      </c>
      <c r="S20" s="24">
        <f t="shared" si="29"/>
        <v>9</v>
      </c>
      <c r="T20" s="24">
        <f t="shared" si="30"/>
        <v>4</v>
      </c>
      <c r="U20" s="24">
        <f t="shared" si="31"/>
        <v>0</v>
      </c>
      <c r="V20" s="24">
        <f t="shared" si="32"/>
        <v>5</v>
      </c>
      <c r="W20" s="24">
        <f t="shared" si="33"/>
        <v>3</v>
      </c>
      <c r="X20" s="28">
        <f t="shared" si="34"/>
        <v>1</v>
      </c>
      <c r="Y20" s="24">
        <v>2.0</v>
      </c>
      <c r="Z20" s="27">
        <f t="shared" si="5"/>
        <v>1.666666667</v>
      </c>
      <c r="AA20" s="24">
        <f t="shared" si="35"/>
        <v>7</v>
      </c>
      <c r="AB20" s="2">
        <f t="shared" si="36"/>
        <v>6</v>
      </c>
      <c r="AC20" s="24">
        <f t="shared" si="37"/>
        <v>1</v>
      </c>
      <c r="AD20" s="24">
        <f t="shared" si="38"/>
        <v>8</v>
      </c>
      <c r="AE20" s="24">
        <f t="shared" si="39"/>
        <v>6</v>
      </c>
      <c r="AF20" s="24">
        <f t="shared" si="40"/>
        <v>1</v>
      </c>
      <c r="AG20" s="24">
        <f t="shared" si="41"/>
        <v>2</v>
      </c>
      <c r="AH20" s="24">
        <f t="shared" si="42"/>
        <v>5</v>
      </c>
      <c r="AI20" s="28">
        <f t="shared" si="43"/>
        <v>1</v>
      </c>
      <c r="AJ20" s="24">
        <v>6.0</v>
      </c>
      <c r="AK20" s="27">
        <f t="shared" si="6"/>
        <v>2.666666667</v>
      </c>
      <c r="AL20" s="24">
        <f t="shared" si="44"/>
        <v>4</v>
      </c>
      <c r="AM20" s="2">
        <f t="shared" si="45"/>
        <v>3</v>
      </c>
      <c r="AN20" s="24">
        <f t="shared" si="46"/>
        <v>2</v>
      </c>
      <c r="AO20" s="24">
        <f t="shared" si="47"/>
        <v>5</v>
      </c>
      <c r="AP20" s="24">
        <f t="shared" si="48"/>
        <v>4</v>
      </c>
      <c r="AQ20" s="24">
        <f t="shared" si="49"/>
        <v>1</v>
      </c>
      <c r="AR20" s="24">
        <f t="shared" si="50"/>
        <v>2</v>
      </c>
      <c r="AS20" s="24">
        <f t="shared" si="51"/>
        <v>2</v>
      </c>
      <c r="AT20" s="28">
        <f t="shared" si="52"/>
        <v>1</v>
      </c>
      <c r="AU20" s="24">
        <v>1.0</v>
      </c>
      <c r="AV20" s="27">
        <f t="shared" si="7"/>
        <v>1.444444444</v>
      </c>
      <c r="AW20" s="24">
        <f t="shared" si="53"/>
        <v>6</v>
      </c>
      <c r="AX20" s="2">
        <f t="shared" si="54"/>
        <v>1</v>
      </c>
      <c r="AY20" s="24">
        <f t="shared" si="55"/>
        <v>2</v>
      </c>
      <c r="AZ20" s="24">
        <f t="shared" si="56"/>
        <v>7</v>
      </c>
      <c r="BA20" s="24">
        <f t="shared" si="57"/>
        <v>2</v>
      </c>
      <c r="BB20" s="24">
        <f t="shared" si="58"/>
        <v>1</v>
      </c>
      <c r="BC20" s="24">
        <f t="shared" si="59"/>
        <v>6</v>
      </c>
      <c r="BD20" s="24">
        <f t="shared" si="60"/>
        <v>0</v>
      </c>
      <c r="BE20" s="28">
        <f t="shared" si="61"/>
        <v>1</v>
      </c>
      <c r="BF20" s="29">
        <f t="shared" ref="BF20:BO20" si="74">+(AK20+Z20+O20+D20)/4</f>
        <v>1.888888889</v>
      </c>
      <c r="BG20" s="24">
        <f t="shared" si="74"/>
        <v>6.5</v>
      </c>
      <c r="BH20" s="24">
        <f t="shared" si="74"/>
        <v>4.25</v>
      </c>
      <c r="BI20" s="24">
        <f t="shared" si="74"/>
        <v>1.25</v>
      </c>
      <c r="BJ20" s="24">
        <f t="shared" si="74"/>
        <v>7.25</v>
      </c>
      <c r="BK20" s="24">
        <f t="shared" si="74"/>
        <v>4.75</v>
      </c>
      <c r="BL20" s="24">
        <f t="shared" si="74"/>
        <v>0.75</v>
      </c>
      <c r="BM20" s="24">
        <f t="shared" si="74"/>
        <v>3</v>
      </c>
      <c r="BN20" s="24">
        <f t="shared" si="74"/>
        <v>3.5</v>
      </c>
      <c r="BO20" s="61">
        <f t="shared" si="74"/>
        <v>0.75</v>
      </c>
      <c r="BP20" s="30">
        <f t="shared" si="9"/>
        <v>-0.4444444444</v>
      </c>
      <c r="BQ20" s="31">
        <f t="shared" si="10"/>
        <v>0.1111111111</v>
      </c>
      <c r="BR20" s="31">
        <f t="shared" si="11"/>
        <v>0.6666666667</v>
      </c>
      <c r="BS20" s="31">
        <f t="shared" si="12"/>
        <v>0</v>
      </c>
      <c r="BT20" s="31">
        <f t="shared" si="13"/>
        <v>0.1111111111</v>
      </c>
      <c r="BU20" s="31">
        <f t="shared" si="14"/>
        <v>0.1111111111</v>
      </c>
      <c r="BV20" s="31">
        <f t="shared" si="15"/>
        <v>0.8888888889</v>
      </c>
      <c r="BW20" s="31">
        <f t="shared" ref="BW20:BX20" si="75">+BR20+BS20+BT20</f>
        <v>0.7777777778</v>
      </c>
      <c r="BX20" s="32">
        <f t="shared" si="75"/>
        <v>0.2222222222</v>
      </c>
    </row>
    <row r="21">
      <c r="B21" s="42">
        <v>10.0</v>
      </c>
      <c r="C21" s="43">
        <v>3.0</v>
      </c>
      <c r="D21" s="3">
        <f t="shared" si="3"/>
        <v>1.8</v>
      </c>
      <c r="E21" s="43">
        <f t="shared" si="17"/>
        <v>7</v>
      </c>
      <c r="F21" s="2">
        <f t="shared" si="18"/>
        <v>5</v>
      </c>
      <c r="G21" s="43">
        <f t="shared" si="19"/>
        <v>2</v>
      </c>
      <c r="H21" s="43">
        <f t="shared" si="20"/>
        <v>8</v>
      </c>
      <c r="I21" s="43">
        <f t="shared" si="21"/>
        <v>6</v>
      </c>
      <c r="J21" s="43">
        <f t="shared" si="22"/>
        <v>1</v>
      </c>
      <c r="K21" s="43">
        <f t="shared" si="23"/>
        <v>3</v>
      </c>
      <c r="L21" s="43">
        <f t="shared" si="24"/>
        <v>4</v>
      </c>
      <c r="M21" s="44">
        <f t="shared" si="25"/>
        <v>1</v>
      </c>
      <c r="N21" s="43">
        <v>2.0</v>
      </c>
      <c r="O21" s="3">
        <f t="shared" si="4"/>
        <v>1.6</v>
      </c>
      <c r="P21" s="43">
        <f t="shared" si="26"/>
        <v>9</v>
      </c>
      <c r="Q21" s="2">
        <f t="shared" si="27"/>
        <v>5</v>
      </c>
      <c r="R21" s="43">
        <f t="shared" si="28"/>
        <v>1</v>
      </c>
      <c r="S21" s="43">
        <f t="shared" si="29"/>
        <v>10</v>
      </c>
      <c r="T21" s="43">
        <f t="shared" si="30"/>
        <v>5</v>
      </c>
      <c r="U21" s="43">
        <f t="shared" si="31"/>
        <v>0</v>
      </c>
      <c r="V21" s="43">
        <f t="shared" si="32"/>
        <v>5</v>
      </c>
      <c r="W21" s="43">
        <f t="shared" si="33"/>
        <v>4</v>
      </c>
      <c r="X21" s="44">
        <f t="shared" si="34"/>
        <v>1</v>
      </c>
      <c r="Y21" s="43">
        <v>3.0</v>
      </c>
      <c r="Z21" s="3">
        <f t="shared" si="5"/>
        <v>1.8</v>
      </c>
      <c r="AA21" s="43">
        <f t="shared" si="35"/>
        <v>7</v>
      </c>
      <c r="AB21" s="2">
        <f t="shared" si="36"/>
        <v>7</v>
      </c>
      <c r="AC21" s="43">
        <f t="shared" si="37"/>
        <v>2</v>
      </c>
      <c r="AD21" s="43">
        <f t="shared" si="38"/>
        <v>9</v>
      </c>
      <c r="AE21" s="43">
        <f t="shared" si="39"/>
        <v>7</v>
      </c>
      <c r="AF21" s="43">
        <f t="shared" si="40"/>
        <v>1</v>
      </c>
      <c r="AG21" s="43">
        <f t="shared" si="41"/>
        <v>2</v>
      </c>
      <c r="AH21" s="43">
        <f t="shared" si="42"/>
        <v>5</v>
      </c>
      <c r="AI21" s="44">
        <f t="shared" si="43"/>
        <v>2</v>
      </c>
      <c r="AJ21" s="43">
        <v>2.0</v>
      </c>
      <c r="AK21" s="3">
        <f t="shared" si="6"/>
        <v>2.6</v>
      </c>
      <c r="AL21" s="43">
        <f t="shared" si="44"/>
        <v>5</v>
      </c>
      <c r="AM21" s="2">
        <f t="shared" si="45"/>
        <v>4</v>
      </c>
      <c r="AN21" s="43">
        <f t="shared" si="46"/>
        <v>2</v>
      </c>
      <c r="AO21" s="43">
        <f t="shared" si="47"/>
        <v>6</v>
      </c>
      <c r="AP21" s="43">
        <f t="shared" si="48"/>
        <v>5</v>
      </c>
      <c r="AQ21" s="43">
        <f t="shared" si="49"/>
        <v>1</v>
      </c>
      <c r="AR21" s="43">
        <f t="shared" si="50"/>
        <v>2</v>
      </c>
      <c r="AS21" s="43">
        <f t="shared" si="51"/>
        <v>3</v>
      </c>
      <c r="AT21" s="44">
        <f t="shared" si="52"/>
        <v>1</v>
      </c>
      <c r="AU21" s="43">
        <v>0.0</v>
      </c>
      <c r="AV21" s="3">
        <f t="shared" si="7"/>
        <v>1.3</v>
      </c>
      <c r="AW21" s="43">
        <f t="shared" si="53"/>
        <v>6</v>
      </c>
      <c r="AX21" s="2">
        <f t="shared" si="54"/>
        <v>1</v>
      </c>
      <c r="AY21" s="43">
        <f t="shared" si="55"/>
        <v>2</v>
      </c>
      <c r="AZ21" s="43">
        <f t="shared" si="56"/>
        <v>7</v>
      </c>
      <c r="BA21" s="43">
        <f t="shared" si="57"/>
        <v>2</v>
      </c>
      <c r="BB21" s="43">
        <f t="shared" si="58"/>
        <v>2</v>
      </c>
      <c r="BC21" s="43">
        <f t="shared" si="59"/>
        <v>6</v>
      </c>
      <c r="BD21" s="43">
        <f t="shared" si="60"/>
        <v>0</v>
      </c>
      <c r="BE21" s="44">
        <f t="shared" si="61"/>
        <v>1</v>
      </c>
      <c r="BF21" s="46">
        <f t="shared" ref="BF21:BO21" si="76">+(AK21+Z21+O21+D21)/4</f>
        <v>1.95</v>
      </c>
      <c r="BG21" s="43">
        <f t="shared" si="76"/>
        <v>7</v>
      </c>
      <c r="BH21" s="43">
        <f t="shared" si="76"/>
        <v>5.25</v>
      </c>
      <c r="BI21" s="43">
        <f t="shared" si="76"/>
        <v>1.75</v>
      </c>
      <c r="BJ21" s="43">
        <f t="shared" si="76"/>
        <v>8.25</v>
      </c>
      <c r="BK21" s="43">
        <f t="shared" si="76"/>
        <v>5.75</v>
      </c>
      <c r="BL21" s="43">
        <f t="shared" si="76"/>
        <v>0.75</v>
      </c>
      <c r="BM21" s="43">
        <f t="shared" si="76"/>
        <v>3</v>
      </c>
      <c r="BN21" s="43">
        <f t="shared" si="76"/>
        <v>4</v>
      </c>
      <c r="BO21" s="63">
        <f t="shared" si="76"/>
        <v>1.25</v>
      </c>
      <c r="BP21" s="37">
        <f t="shared" si="9"/>
        <v>-0.65</v>
      </c>
      <c r="BQ21" s="38">
        <f t="shared" si="10"/>
        <v>0.2</v>
      </c>
      <c r="BR21" s="38">
        <f t="shared" si="11"/>
        <v>0.6</v>
      </c>
      <c r="BS21" s="38">
        <f t="shared" si="12"/>
        <v>0</v>
      </c>
      <c r="BT21" s="38">
        <f t="shared" si="13"/>
        <v>0.1</v>
      </c>
      <c r="BU21" s="38">
        <f t="shared" si="14"/>
        <v>0.1</v>
      </c>
      <c r="BV21" s="38">
        <f t="shared" si="15"/>
        <v>0.8</v>
      </c>
      <c r="BW21" s="38">
        <f t="shared" ref="BW21:BX21" si="77">+BR21+BS21+BT21</f>
        <v>0.7</v>
      </c>
      <c r="BX21" s="39">
        <f t="shared" si="77"/>
        <v>0.2</v>
      </c>
    </row>
    <row r="22">
      <c r="A22" s="60"/>
      <c r="B22" s="40">
        <v>11.0</v>
      </c>
      <c r="C22" s="24">
        <v>2.0</v>
      </c>
      <c r="D22" s="27">
        <f t="shared" si="3"/>
        <v>1.818181818</v>
      </c>
      <c r="E22" s="24">
        <f t="shared" si="17"/>
        <v>8</v>
      </c>
      <c r="F22" s="2">
        <f t="shared" si="18"/>
        <v>6</v>
      </c>
      <c r="G22" s="24">
        <f t="shared" si="19"/>
        <v>2</v>
      </c>
      <c r="H22" s="24">
        <f t="shared" si="20"/>
        <v>9</v>
      </c>
      <c r="I22" s="24">
        <f t="shared" si="21"/>
        <v>7</v>
      </c>
      <c r="J22" s="24">
        <f t="shared" si="22"/>
        <v>1</v>
      </c>
      <c r="K22" s="24">
        <f t="shared" si="23"/>
        <v>3</v>
      </c>
      <c r="L22" s="24">
        <f t="shared" si="24"/>
        <v>5</v>
      </c>
      <c r="M22" s="28">
        <f t="shared" si="25"/>
        <v>1</v>
      </c>
      <c r="N22" s="24">
        <v>0.0</v>
      </c>
      <c r="O22" s="27">
        <f t="shared" si="4"/>
        <v>1.454545455</v>
      </c>
      <c r="P22" s="24">
        <f t="shared" si="26"/>
        <v>9</v>
      </c>
      <c r="Q22" s="2">
        <f t="shared" si="27"/>
        <v>5</v>
      </c>
      <c r="R22" s="24">
        <f t="shared" si="28"/>
        <v>1</v>
      </c>
      <c r="S22" s="24">
        <f t="shared" si="29"/>
        <v>10</v>
      </c>
      <c r="T22" s="24">
        <f t="shared" si="30"/>
        <v>5</v>
      </c>
      <c r="U22" s="24">
        <f t="shared" si="31"/>
        <v>1</v>
      </c>
      <c r="V22" s="24">
        <f t="shared" si="32"/>
        <v>5</v>
      </c>
      <c r="W22" s="24">
        <f t="shared" si="33"/>
        <v>4</v>
      </c>
      <c r="X22" s="28">
        <f t="shared" si="34"/>
        <v>1</v>
      </c>
      <c r="Y22" s="24">
        <v>1.0</v>
      </c>
      <c r="Z22" s="27">
        <f t="shared" si="5"/>
        <v>1.727272727</v>
      </c>
      <c r="AA22" s="24">
        <f t="shared" si="35"/>
        <v>8</v>
      </c>
      <c r="AB22" s="2">
        <f t="shared" si="36"/>
        <v>7</v>
      </c>
      <c r="AC22" s="24">
        <f t="shared" si="37"/>
        <v>2</v>
      </c>
      <c r="AD22" s="24">
        <f t="shared" si="38"/>
        <v>10</v>
      </c>
      <c r="AE22" s="24">
        <f t="shared" si="39"/>
        <v>7</v>
      </c>
      <c r="AF22" s="24">
        <f t="shared" si="40"/>
        <v>1</v>
      </c>
      <c r="AG22" s="24">
        <f t="shared" si="41"/>
        <v>3</v>
      </c>
      <c r="AH22" s="24">
        <f t="shared" si="42"/>
        <v>5</v>
      </c>
      <c r="AI22" s="28">
        <f t="shared" si="43"/>
        <v>2</v>
      </c>
      <c r="AJ22" s="24">
        <v>3.0</v>
      </c>
      <c r="AK22" s="27">
        <f t="shared" si="6"/>
        <v>2.636363636</v>
      </c>
      <c r="AL22" s="24">
        <f t="shared" si="44"/>
        <v>5</v>
      </c>
      <c r="AM22" s="2">
        <f t="shared" si="45"/>
        <v>5</v>
      </c>
      <c r="AN22" s="24">
        <f t="shared" si="46"/>
        <v>3</v>
      </c>
      <c r="AO22" s="24">
        <f t="shared" si="47"/>
        <v>7</v>
      </c>
      <c r="AP22" s="24">
        <f t="shared" si="48"/>
        <v>6</v>
      </c>
      <c r="AQ22" s="24">
        <f t="shared" si="49"/>
        <v>1</v>
      </c>
      <c r="AR22" s="24">
        <f t="shared" si="50"/>
        <v>2</v>
      </c>
      <c r="AS22" s="24">
        <f t="shared" si="51"/>
        <v>3</v>
      </c>
      <c r="AT22" s="28">
        <f t="shared" si="52"/>
        <v>2</v>
      </c>
      <c r="AU22" s="24">
        <v>0.0</v>
      </c>
      <c r="AV22" s="27">
        <f t="shared" si="7"/>
        <v>1.181818182</v>
      </c>
      <c r="AW22" s="24">
        <f t="shared" si="53"/>
        <v>6</v>
      </c>
      <c r="AX22" s="2">
        <f t="shared" si="54"/>
        <v>1</v>
      </c>
      <c r="AY22" s="24">
        <f t="shared" si="55"/>
        <v>2</v>
      </c>
      <c r="AZ22" s="24">
        <f t="shared" si="56"/>
        <v>7</v>
      </c>
      <c r="BA22" s="24">
        <f t="shared" si="57"/>
        <v>2</v>
      </c>
      <c r="BB22" s="24">
        <f t="shared" si="58"/>
        <v>3</v>
      </c>
      <c r="BC22" s="24">
        <f t="shared" si="59"/>
        <v>6</v>
      </c>
      <c r="BD22" s="24">
        <f t="shared" si="60"/>
        <v>0</v>
      </c>
      <c r="BE22" s="28">
        <f t="shared" si="61"/>
        <v>1</v>
      </c>
      <c r="BF22" s="29">
        <f t="shared" ref="BF22:BO22" si="78">+(AK22+Z22+O22+D22)/4</f>
        <v>1.909090909</v>
      </c>
      <c r="BG22" s="24">
        <f t="shared" si="78"/>
        <v>7.5</v>
      </c>
      <c r="BH22" s="24">
        <f t="shared" si="78"/>
        <v>5.75</v>
      </c>
      <c r="BI22" s="24">
        <f t="shared" si="78"/>
        <v>2</v>
      </c>
      <c r="BJ22" s="24">
        <f t="shared" si="78"/>
        <v>9</v>
      </c>
      <c r="BK22" s="24">
        <f t="shared" si="78"/>
        <v>6.25</v>
      </c>
      <c r="BL22" s="24">
        <f t="shared" si="78"/>
        <v>1</v>
      </c>
      <c r="BM22" s="24">
        <f t="shared" si="78"/>
        <v>3.25</v>
      </c>
      <c r="BN22" s="24">
        <f t="shared" si="78"/>
        <v>4.25</v>
      </c>
      <c r="BO22" s="61">
        <f t="shared" si="78"/>
        <v>1.5</v>
      </c>
      <c r="BP22" s="30">
        <f t="shared" si="9"/>
        <v>-0.7272727273</v>
      </c>
      <c r="BQ22" s="31">
        <f t="shared" si="10"/>
        <v>0.2727272727</v>
      </c>
      <c r="BR22" s="31">
        <f t="shared" si="11"/>
        <v>0.5454545455</v>
      </c>
      <c r="BS22" s="31">
        <f t="shared" si="12"/>
        <v>0</v>
      </c>
      <c r="BT22" s="31">
        <f t="shared" si="13"/>
        <v>0.09090909091</v>
      </c>
      <c r="BU22" s="31">
        <f t="shared" si="14"/>
        <v>0.09090909091</v>
      </c>
      <c r="BV22" s="31">
        <f t="shared" si="15"/>
        <v>0.7272727273</v>
      </c>
      <c r="BW22" s="31">
        <f t="shared" ref="BW22:BX22" si="79">+BR22+BS22+BT22</f>
        <v>0.6363636364</v>
      </c>
      <c r="BX22" s="32">
        <f t="shared" si="79"/>
        <v>0.1818181818</v>
      </c>
    </row>
    <row r="23">
      <c r="B23" s="33">
        <v>12.0</v>
      </c>
      <c r="C23" s="2">
        <v>2.0</v>
      </c>
      <c r="D23" s="3">
        <f t="shared" si="3"/>
        <v>1.833333333</v>
      </c>
      <c r="E23" s="2">
        <f t="shared" si="17"/>
        <v>9</v>
      </c>
      <c r="F23" s="2">
        <f t="shared" si="18"/>
        <v>7</v>
      </c>
      <c r="G23" s="2">
        <f t="shared" si="19"/>
        <v>2</v>
      </c>
      <c r="H23" s="2">
        <f t="shared" si="20"/>
        <v>10</v>
      </c>
      <c r="I23" s="2">
        <f t="shared" si="21"/>
        <v>8</v>
      </c>
      <c r="J23" s="2">
        <f t="shared" si="22"/>
        <v>1</v>
      </c>
      <c r="K23" s="2">
        <f t="shared" si="23"/>
        <v>3</v>
      </c>
      <c r="L23" s="2">
        <f t="shared" si="24"/>
        <v>6</v>
      </c>
      <c r="M23" s="34">
        <f t="shared" si="25"/>
        <v>1</v>
      </c>
      <c r="N23" s="2">
        <v>2.0</v>
      </c>
      <c r="O23" s="3">
        <f t="shared" si="4"/>
        <v>1.5</v>
      </c>
      <c r="P23" s="2">
        <f t="shared" si="26"/>
        <v>10</v>
      </c>
      <c r="Q23" s="2">
        <f t="shared" si="27"/>
        <v>6</v>
      </c>
      <c r="R23" s="2">
        <f t="shared" si="28"/>
        <v>1</v>
      </c>
      <c r="S23" s="2">
        <f t="shared" si="29"/>
        <v>11</v>
      </c>
      <c r="T23" s="2">
        <f t="shared" si="30"/>
        <v>6</v>
      </c>
      <c r="U23" s="2">
        <f t="shared" si="31"/>
        <v>1</v>
      </c>
      <c r="V23" s="2">
        <f t="shared" si="32"/>
        <v>5</v>
      </c>
      <c r="W23" s="2">
        <f t="shared" si="33"/>
        <v>5</v>
      </c>
      <c r="X23" s="34">
        <f t="shared" si="34"/>
        <v>1</v>
      </c>
      <c r="Y23" s="2">
        <v>1.0</v>
      </c>
      <c r="Z23" s="3">
        <f t="shared" si="5"/>
        <v>1.666666667</v>
      </c>
      <c r="AA23" s="2">
        <f t="shared" si="35"/>
        <v>9</v>
      </c>
      <c r="AB23" s="2">
        <f t="shared" si="36"/>
        <v>7</v>
      </c>
      <c r="AC23" s="2">
        <f t="shared" si="37"/>
        <v>2</v>
      </c>
      <c r="AD23" s="2">
        <f t="shared" si="38"/>
        <v>11</v>
      </c>
      <c r="AE23" s="2">
        <f t="shared" si="39"/>
        <v>7</v>
      </c>
      <c r="AF23" s="2">
        <f t="shared" si="40"/>
        <v>1</v>
      </c>
      <c r="AG23" s="2">
        <f t="shared" si="41"/>
        <v>4</v>
      </c>
      <c r="AH23" s="2">
        <f t="shared" si="42"/>
        <v>5</v>
      </c>
      <c r="AI23" s="34">
        <f t="shared" si="43"/>
        <v>2</v>
      </c>
      <c r="AJ23" s="2">
        <v>2.0</v>
      </c>
      <c r="AK23" s="3">
        <f t="shared" si="6"/>
        <v>2.583333333</v>
      </c>
      <c r="AL23" s="2">
        <f t="shared" si="44"/>
        <v>6</v>
      </c>
      <c r="AM23" s="2">
        <f t="shared" si="45"/>
        <v>6</v>
      </c>
      <c r="AN23" s="2">
        <f t="shared" si="46"/>
        <v>3</v>
      </c>
      <c r="AO23" s="2">
        <f t="shared" si="47"/>
        <v>8</v>
      </c>
      <c r="AP23" s="2">
        <f t="shared" si="48"/>
        <v>7</v>
      </c>
      <c r="AQ23" s="2">
        <f t="shared" si="49"/>
        <v>1</v>
      </c>
      <c r="AR23" s="2">
        <f t="shared" si="50"/>
        <v>2</v>
      </c>
      <c r="AS23" s="2">
        <f t="shared" si="51"/>
        <v>4</v>
      </c>
      <c r="AT23" s="34">
        <f t="shared" si="52"/>
        <v>2</v>
      </c>
      <c r="AU23" s="2">
        <v>1.0</v>
      </c>
      <c r="AV23" s="3">
        <f t="shared" si="7"/>
        <v>1.166666667</v>
      </c>
      <c r="AW23" s="2">
        <f t="shared" si="53"/>
        <v>7</v>
      </c>
      <c r="AX23" s="2">
        <f t="shared" si="54"/>
        <v>1</v>
      </c>
      <c r="AY23" s="2">
        <f t="shared" si="55"/>
        <v>2</v>
      </c>
      <c r="AZ23" s="2">
        <f t="shared" si="56"/>
        <v>8</v>
      </c>
      <c r="BA23" s="2">
        <f t="shared" si="57"/>
        <v>2</v>
      </c>
      <c r="BB23" s="2">
        <f t="shared" si="58"/>
        <v>3</v>
      </c>
      <c r="BC23" s="2">
        <f t="shared" si="59"/>
        <v>7</v>
      </c>
      <c r="BD23" s="2">
        <f t="shared" si="60"/>
        <v>0</v>
      </c>
      <c r="BE23" s="34">
        <f t="shared" si="61"/>
        <v>1</v>
      </c>
      <c r="BF23" s="36">
        <f t="shared" ref="BF23:BO23" si="80">+(AK23+Z23+O23+D23)/4</f>
        <v>1.895833333</v>
      </c>
      <c r="BG23" s="2">
        <f t="shared" si="80"/>
        <v>8.5</v>
      </c>
      <c r="BH23" s="2">
        <f t="shared" si="80"/>
        <v>6.5</v>
      </c>
      <c r="BI23" s="2">
        <f t="shared" si="80"/>
        <v>2</v>
      </c>
      <c r="BJ23" s="2">
        <f t="shared" si="80"/>
        <v>10</v>
      </c>
      <c r="BK23" s="2">
        <f t="shared" si="80"/>
        <v>7</v>
      </c>
      <c r="BL23" s="2">
        <f t="shared" si="80"/>
        <v>1</v>
      </c>
      <c r="BM23" s="2">
        <f t="shared" si="80"/>
        <v>3.5</v>
      </c>
      <c r="BN23" s="2">
        <f t="shared" si="80"/>
        <v>5</v>
      </c>
      <c r="BO23" s="62">
        <f t="shared" si="80"/>
        <v>1.5</v>
      </c>
      <c r="BP23" s="37">
        <f t="shared" si="9"/>
        <v>-0.7291666667</v>
      </c>
      <c r="BQ23" s="38">
        <f t="shared" si="10"/>
        <v>0.25</v>
      </c>
      <c r="BR23" s="38">
        <f t="shared" si="11"/>
        <v>0.5833333333</v>
      </c>
      <c r="BS23" s="38">
        <f t="shared" si="12"/>
        <v>0</v>
      </c>
      <c r="BT23" s="38">
        <f t="shared" si="13"/>
        <v>0.08333333333</v>
      </c>
      <c r="BU23" s="38">
        <f t="shared" si="14"/>
        <v>0.08333333333</v>
      </c>
      <c r="BV23" s="38">
        <f t="shared" si="15"/>
        <v>0.75</v>
      </c>
      <c r="BW23" s="38">
        <f t="shared" ref="BW23:BX23" si="81">+BR23+BS23+BT23</f>
        <v>0.6666666667</v>
      </c>
      <c r="BX23" s="39">
        <f t="shared" si="81"/>
        <v>0.1666666667</v>
      </c>
    </row>
    <row r="24">
      <c r="A24" s="60"/>
      <c r="B24" s="40">
        <v>13.0</v>
      </c>
      <c r="C24" s="24">
        <v>5.0</v>
      </c>
      <c r="D24" s="27">
        <f t="shared" si="3"/>
        <v>2.076923077</v>
      </c>
      <c r="E24" s="24">
        <f t="shared" si="17"/>
        <v>9</v>
      </c>
      <c r="F24" s="2">
        <f t="shared" si="18"/>
        <v>7</v>
      </c>
      <c r="G24" s="24">
        <f t="shared" si="19"/>
        <v>2</v>
      </c>
      <c r="H24" s="24">
        <f t="shared" si="20"/>
        <v>10</v>
      </c>
      <c r="I24" s="24">
        <f t="shared" si="21"/>
        <v>8</v>
      </c>
      <c r="J24" s="24">
        <f t="shared" si="22"/>
        <v>1</v>
      </c>
      <c r="K24" s="24">
        <f t="shared" si="23"/>
        <v>3</v>
      </c>
      <c r="L24" s="24">
        <f t="shared" si="24"/>
        <v>6</v>
      </c>
      <c r="M24" s="28">
        <f t="shared" si="25"/>
        <v>1</v>
      </c>
      <c r="N24" s="24">
        <v>1.0</v>
      </c>
      <c r="O24" s="27">
        <f t="shared" si="4"/>
        <v>1.461538462</v>
      </c>
      <c r="P24" s="24">
        <f t="shared" si="26"/>
        <v>11</v>
      </c>
      <c r="Q24" s="2">
        <f t="shared" si="27"/>
        <v>6</v>
      </c>
      <c r="R24" s="24">
        <f t="shared" si="28"/>
        <v>1</v>
      </c>
      <c r="S24" s="24">
        <f t="shared" si="29"/>
        <v>12</v>
      </c>
      <c r="T24" s="24">
        <f t="shared" si="30"/>
        <v>6</v>
      </c>
      <c r="U24" s="24">
        <f t="shared" si="31"/>
        <v>1</v>
      </c>
      <c r="V24" s="24">
        <f t="shared" si="32"/>
        <v>6</v>
      </c>
      <c r="W24" s="24">
        <f t="shared" si="33"/>
        <v>5</v>
      </c>
      <c r="X24" s="28">
        <f t="shared" si="34"/>
        <v>1</v>
      </c>
      <c r="Y24" s="24">
        <v>1.0</v>
      </c>
      <c r="Z24" s="27">
        <f t="shared" si="5"/>
        <v>1.615384615</v>
      </c>
      <c r="AA24" s="24">
        <f t="shared" si="35"/>
        <v>10</v>
      </c>
      <c r="AB24" s="2">
        <f t="shared" si="36"/>
        <v>7</v>
      </c>
      <c r="AC24" s="24">
        <f t="shared" si="37"/>
        <v>2</v>
      </c>
      <c r="AD24" s="24">
        <f t="shared" si="38"/>
        <v>12</v>
      </c>
      <c r="AE24" s="24">
        <f t="shared" si="39"/>
        <v>7</v>
      </c>
      <c r="AF24" s="24">
        <f t="shared" si="40"/>
        <v>1</v>
      </c>
      <c r="AG24" s="24">
        <f t="shared" si="41"/>
        <v>5</v>
      </c>
      <c r="AH24" s="24">
        <f t="shared" si="42"/>
        <v>5</v>
      </c>
      <c r="AI24" s="28">
        <f t="shared" si="43"/>
        <v>2</v>
      </c>
      <c r="AJ24" s="24">
        <v>3.0</v>
      </c>
      <c r="AK24" s="27">
        <f t="shared" si="6"/>
        <v>2.615384615</v>
      </c>
      <c r="AL24" s="24">
        <f t="shared" si="44"/>
        <v>6</v>
      </c>
      <c r="AM24" s="2">
        <f t="shared" si="45"/>
        <v>7</v>
      </c>
      <c r="AN24" s="24">
        <f t="shared" si="46"/>
        <v>4</v>
      </c>
      <c r="AO24" s="24">
        <f t="shared" si="47"/>
        <v>9</v>
      </c>
      <c r="AP24" s="24">
        <f t="shared" si="48"/>
        <v>8</v>
      </c>
      <c r="AQ24" s="24">
        <f t="shared" si="49"/>
        <v>1</v>
      </c>
      <c r="AR24" s="24">
        <f t="shared" si="50"/>
        <v>2</v>
      </c>
      <c r="AS24" s="24">
        <f t="shared" si="51"/>
        <v>4</v>
      </c>
      <c r="AT24" s="28">
        <f t="shared" si="52"/>
        <v>3</v>
      </c>
      <c r="AU24" s="24">
        <v>2.0</v>
      </c>
      <c r="AV24" s="27">
        <f t="shared" si="7"/>
        <v>1.230769231</v>
      </c>
      <c r="AW24" s="24">
        <f t="shared" si="53"/>
        <v>8</v>
      </c>
      <c r="AX24" s="2">
        <f t="shared" si="54"/>
        <v>2</v>
      </c>
      <c r="AY24" s="24">
        <f t="shared" si="55"/>
        <v>2</v>
      </c>
      <c r="AZ24" s="24">
        <f t="shared" si="56"/>
        <v>9</v>
      </c>
      <c r="BA24" s="24">
        <f t="shared" si="57"/>
        <v>3</v>
      </c>
      <c r="BB24" s="24">
        <f t="shared" si="58"/>
        <v>3</v>
      </c>
      <c r="BC24" s="24">
        <f t="shared" si="59"/>
        <v>7</v>
      </c>
      <c r="BD24" s="24">
        <f t="shared" si="60"/>
        <v>1</v>
      </c>
      <c r="BE24" s="28">
        <f t="shared" si="61"/>
        <v>1</v>
      </c>
      <c r="BF24" s="29">
        <f t="shared" ref="BF24:BO24" si="82">+(AK24+Z24+O24+D24)/4</f>
        <v>1.942307692</v>
      </c>
      <c r="BG24" s="24">
        <f t="shared" si="82"/>
        <v>9</v>
      </c>
      <c r="BH24" s="24">
        <f t="shared" si="82"/>
        <v>6.75</v>
      </c>
      <c r="BI24" s="24">
        <f t="shared" si="82"/>
        <v>2.25</v>
      </c>
      <c r="BJ24" s="24">
        <f t="shared" si="82"/>
        <v>10.75</v>
      </c>
      <c r="BK24" s="24">
        <f t="shared" si="82"/>
        <v>7.25</v>
      </c>
      <c r="BL24" s="24">
        <f t="shared" si="82"/>
        <v>1</v>
      </c>
      <c r="BM24" s="24">
        <f t="shared" si="82"/>
        <v>4</v>
      </c>
      <c r="BN24" s="24">
        <f t="shared" si="82"/>
        <v>5</v>
      </c>
      <c r="BO24" s="61">
        <f t="shared" si="82"/>
        <v>1.75</v>
      </c>
      <c r="BP24" s="30">
        <f t="shared" si="9"/>
        <v>-0.7115384615</v>
      </c>
      <c r="BQ24" s="31">
        <f t="shared" si="10"/>
        <v>0.2307692308</v>
      </c>
      <c r="BR24" s="31">
        <f t="shared" si="11"/>
        <v>0.5384615385</v>
      </c>
      <c r="BS24" s="31">
        <f t="shared" si="12"/>
        <v>0.07692307692</v>
      </c>
      <c r="BT24" s="31">
        <f t="shared" si="13"/>
        <v>0.07692307692</v>
      </c>
      <c r="BU24" s="31">
        <f t="shared" si="14"/>
        <v>0.07692307692</v>
      </c>
      <c r="BV24" s="31">
        <f t="shared" si="15"/>
        <v>0.7692307692</v>
      </c>
      <c r="BW24" s="31">
        <f t="shared" ref="BW24:BX24" si="83">+BR24+BS24+BT24</f>
        <v>0.6923076923</v>
      </c>
      <c r="BX24" s="32">
        <f t="shared" si="83"/>
        <v>0.2307692308</v>
      </c>
    </row>
    <row r="25">
      <c r="B25" s="33">
        <v>14.0</v>
      </c>
      <c r="C25" s="2">
        <v>1.0</v>
      </c>
      <c r="D25" s="3">
        <f t="shared" si="3"/>
        <v>2</v>
      </c>
      <c r="E25" s="2">
        <f t="shared" si="17"/>
        <v>10</v>
      </c>
      <c r="F25" s="2">
        <f t="shared" si="18"/>
        <v>7</v>
      </c>
      <c r="G25" s="2">
        <f t="shared" si="19"/>
        <v>2</v>
      </c>
      <c r="H25" s="2">
        <f t="shared" si="20"/>
        <v>11</v>
      </c>
      <c r="I25" s="2">
        <f t="shared" si="21"/>
        <v>8</v>
      </c>
      <c r="J25" s="2">
        <f t="shared" si="22"/>
        <v>1</v>
      </c>
      <c r="K25" s="2">
        <f t="shared" si="23"/>
        <v>4</v>
      </c>
      <c r="L25" s="2">
        <f t="shared" si="24"/>
        <v>6</v>
      </c>
      <c r="M25" s="34">
        <f t="shared" si="25"/>
        <v>1</v>
      </c>
      <c r="N25" s="2">
        <v>1.0</v>
      </c>
      <c r="O25" s="3">
        <f t="shared" si="4"/>
        <v>1.428571429</v>
      </c>
      <c r="P25" s="2">
        <f t="shared" si="26"/>
        <v>12</v>
      </c>
      <c r="Q25" s="2">
        <f t="shared" si="27"/>
        <v>6</v>
      </c>
      <c r="R25" s="2">
        <f t="shared" si="28"/>
        <v>1</v>
      </c>
      <c r="S25" s="2">
        <f t="shared" si="29"/>
        <v>13</v>
      </c>
      <c r="T25" s="2">
        <f t="shared" si="30"/>
        <v>6</v>
      </c>
      <c r="U25" s="2">
        <f t="shared" si="31"/>
        <v>1</v>
      </c>
      <c r="V25" s="2">
        <f t="shared" si="32"/>
        <v>7</v>
      </c>
      <c r="W25" s="2">
        <f t="shared" si="33"/>
        <v>5</v>
      </c>
      <c r="X25" s="34">
        <f t="shared" si="34"/>
        <v>1</v>
      </c>
      <c r="Y25" s="2">
        <v>0.0</v>
      </c>
      <c r="Z25" s="3">
        <f t="shared" si="5"/>
        <v>1.5</v>
      </c>
      <c r="AA25" s="2">
        <f t="shared" si="35"/>
        <v>10</v>
      </c>
      <c r="AB25" s="2">
        <f t="shared" si="36"/>
        <v>7</v>
      </c>
      <c r="AC25" s="2">
        <f t="shared" si="37"/>
        <v>2</v>
      </c>
      <c r="AD25" s="2">
        <f t="shared" si="38"/>
        <v>12</v>
      </c>
      <c r="AE25" s="2">
        <f t="shared" si="39"/>
        <v>7</v>
      </c>
      <c r="AF25" s="2">
        <f t="shared" si="40"/>
        <v>2</v>
      </c>
      <c r="AG25" s="2">
        <f t="shared" si="41"/>
        <v>5</v>
      </c>
      <c r="AH25" s="2">
        <f t="shared" si="42"/>
        <v>5</v>
      </c>
      <c r="AI25" s="34">
        <f t="shared" si="43"/>
        <v>2</v>
      </c>
      <c r="AJ25" s="2">
        <v>2.0</v>
      </c>
      <c r="AK25" s="3">
        <f t="shared" si="6"/>
        <v>2.571428571</v>
      </c>
      <c r="AL25" s="2">
        <f t="shared" si="44"/>
        <v>7</v>
      </c>
      <c r="AM25" s="2">
        <f t="shared" si="45"/>
        <v>8</v>
      </c>
      <c r="AN25" s="2">
        <f t="shared" si="46"/>
        <v>4</v>
      </c>
      <c r="AO25" s="2">
        <f t="shared" si="47"/>
        <v>10</v>
      </c>
      <c r="AP25" s="2">
        <f t="shared" si="48"/>
        <v>9</v>
      </c>
      <c r="AQ25" s="2">
        <f t="shared" si="49"/>
        <v>1</v>
      </c>
      <c r="AR25" s="2">
        <f t="shared" si="50"/>
        <v>2</v>
      </c>
      <c r="AS25" s="2">
        <f t="shared" si="51"/>
        <v>5</v>
      </c>
      <c r="AT25" s="34">
        <f t="shared" si="52"/>
        <v>3</v>
      </c>
      <c r="AU25" s="2">
        <v>1.0</v>
      </c>
      <c r="AV25" s="3">
        <f t="shared" si="7"/>
        <v>1.214285714</v>
      </c>
      <c r="AW25" s="2">
        <f t="shared" si="53"/>
        <v>9</v>
      </c>
      <c r="AX25" s="2">
        <f t="shared" si="54"/>
        <v>2</v>
      </c>
      <c r="AY25" s="2">
        <f t="shared" si="55"/>
        <v>2</v>
      </c>
      <c r="AZ25" s="2">
        <f t="shared" si="56"/>
        <v>10</v>
      </c>
      <c r="BA25" s="2">
        <f t="shared" si="57"/>
        <v>3</v>
      </c>
      <c r="BB25" s="2">
        <f t="shared" si="58"/>
        <v>3</v>
      </c>
      <c r="BC25" s="2">
        <f t="shared" si="59"/>
        <v>8</v>
      </c>
      <c r="BD25" s="2">
        <f t="shared" si="60"/>
        <v>1</v>
      </c>
      <c r="BE25" s="34">
        <f t="shared" si="61"/>
        <v>1</v>
      </c>
      <c r="BF25" s="36">
        <f t="shared" ref="BF25:BO25" si="84">+(AK25+Z25+O25+D25)/4</f>
        <v>1.875</v>
      </c>
      <c r="BG25" s="2">
        <f t="shared" si="84"/>
        <v>9.75</v>
      </c>
      <c r="BH25" s="2">
        <f t="shared" si="84"/>
        <v>7</v>
      </c>
      <c r="BI25" s="2">
        <f t="shared" si="84"/>
        <v>2.25</v>
      </c>
      <c r="BJ25" s="2">
        <f t="shared" si="84"/>
        <v>11.5</v>
      </c>
      <c r="BK25" s="2">
        <f t="shared" si="84"/>
        <v>7.5</v>
      </c>
      <c r="BL25" s="2">
        <f t="shared" si="84"/>
        <v>1.25</v>
      </c>
      <c r="BM25" s="2">
        <f t="shared" si="84"/>
        <v>4.5</v>
      </c>
      <c r="BN25" s="2">
        <f t="shared" si="84"/>
        <v>5.25</v>
      </c>
      <c r="BO25" s="62">
        <f t="shared" si="84"/>
        <v>1.75</v>
      </c>
      <c r="BP25" s="37">
        <f t="shared" si="9"/>
        <v>-0.6607142857</v>
      </c>
      <c r="BQ25" s="38">
        <f t="shared" si="10"/>
        <v>0.2142857143</v>
      </c>
      <c r="BR25" s="38">
        <f t="shared" si="11"/>
        <v>0.5714285714</v>
      </c>
      <c r="BS25" s="38">
        <f t="shared" si="12"/>
        <v>0.07142857143</v>
      </c>
      <c r="BT25" s="38">
        <f t="shared" si="13"/>
        <v>0.07142857143</v>
      </c>
      <c r="BU25" s="38">
        <f t="shared" si="14"/>
        <v>0.07142857143</v>
      </c>
      <c r="BV25" s="38">
        <f t="shared" si="15"/>
        <v>0.7857142857</v>
      </c>
      <c r="BW25" s="38">
        <f t="shared" ref="BW25:BX25" si="85">+BR25+BS25+BT25</f>
        <v>0.7142857143</v>
      </c>
      <c r="BX25" s="39">
        <f t="shared" si="85"/>
        <v>0.2142857143</v>
      </c>
    </row>
    <row r="26">
      <c r="A26" s="60"/>
      <c r="B26" s="40">
        <v>15.0</v>
      </c>
      <c r="C26" s="24">
        <v>4.0</v>
      </c>
      <c r="D26" s="27">
        <f t="shared" si="3"/>
        <v>2.133333333</v>
      </c>
      <c r="E26" s="24">
        <f t="shared" si="17"/>
        <v>10</v>
      </c>
      <c r="F26" s="2">
        <f t="shared" si="18"/>
        <v>7</v>
      </c>
      <c r="G26" s="24">
        <f t="shared" si="19"/>
        <v>3</v>
      </c>
      <c r="H26" s="24">
        <f t="shared" si="20"/>
        <v>11</v>
      </c>
      <c r="I26" s="24">
        <f t="shared" si="21"/>
        <v>9</v>
      </c>
      <c r="J26" s="24">
        <f t="shared" si="22"/>
        <v>1</v>
      </c>
      <c r="K26" s="24">
        <f t="shared" si="23"/>
        <v>4</v>
      </c>
      <c r="L26" s="24">
        <f t="shared" si="24"/>
        <v>6</v>
      </c>
      <c r="M26" s="28">
        <f t="shared" si="25"/>
        <v>1</v>
      </c>
      <c r="N26" s="24">
        <v>2.0</v>
      </c>
      <c r="O26" s="27">
        <f t="shared" si="4"/>
        <v>1.466666667</v>
      </c>
      <c r="P26" s="24">
        <f t="shared" si="26"/>
        <v>13</v>
      </c>
      <c r="Q26" s="2">
        <f t="shared" si="27"/>
        <v>7</v>
      </c>
      <c r="R26" s="24">
        <f t="shared" si="28"/>
        <v>1</v>
      </c>
      <c r="S26" s="24">
        <f t="shared" si="29"/>
        <v>14</v>
      </c>
      <c r="T26" s="24">
        <f t="shared" si="30"/>
        <v>7</v>
      </c>
      <c r="U26" s="24">
        <f t="shared" si="31"/>
        <v>1</v>
      </c>
      <c r="V26" s="24">
        <f t="shared" si="32"/>
        <v>7</v>
      </c>
      <c r="W26" s="24">
        <f t="shared" si="33"/>
        <v>6</v>
      </c>
      <c r="X26" s="28">
        <f t="shared" si="34"/>
        <v>1</v>
      </c>
      <c r="Y26" s="24">
        <v>3.0</v>
      </c>
      <c r="Z26" s="27">
        <f t="shared" si="5"/>
        <v>1.6</v>
      </c>
      <c r="AA26" s="24">
        <f t="shared" si="35"/>
        <v>10</v>
      </c>
      <c r="AB26" s="2">
        <f t="shared" si="36"/>
        <v>8</v>
      </c>
      <c r="AC26" s="24">
        <f t="shared" si="37"/>
        <v>3</v>
      </c>
      <c r="AD26" s="24">
        <f t="shared" si="38"/>
        <v>13</v>
      </c>
      <c r="AE26" s="24">
        <f t="shared" si="39"/>
        <v>8</v>
      </c>
      <c r="AF26" s="24">
        <f t="shared" si="40"/>
        <v>2</v>
      </c>
      <c r="AG26" s="24">
        <f t="shared" si="41"/>
        <v>5</v>
      </c>
      <c r="AH26" s="24">
        <f t="shared" si="42"/>
        <v>5</v>
      </c>
      <c r="AI26" s="28">
        <f t="shared" si="43"/>
        <v>3</v>
      </c>
      <c r="AJ26" s="24">
        <v>2.0</v>
      </c>
      <c r="AK26" s="27">
        <f t="shared" si="6"/>
        <v>2.533333333</v>
      </c>
      <c r="AL26" s="24">
        <f t="shared" si="44"/>
        <v>8</v>
      </c>
      <c r="AM26" s="2">
        <f t="shared" si="45"/>
        <v>9</v>
      </c>
      <c r="AN26" s="24">
        <f t="shared" si="46"/>
        <v>4</v>
      </c>
      <c r="AO26" s="24">
        <f t="shared" si="47"/>
        <v>11</v>
      </c>
      <c r="AP26" s="24">
        <f t="shared" si="48"/>
        <v>10</v>
      </c>
      <c r="AQ26" s="24">
        <f t="shared" si="49"/>
        <v>1</v>
      </c>
      <c r="AR26" s="24">
        <f t="shared" si="50"/>
        <v>2</v>
      </c>
      <c r="AS26" s="24">
        <f t="shared" si="51"/>
        <v>6</v>
      </c>
      <c r="AT26" s="28">
        <f t="shared" si="52"/>
        <v>3</v>
      </c>
      <c r="AU26" s="24">
        <v>2.0</v>
      </c>
      <c r="AV26" s="27">
        <f t="shared" si="7"/>
        <v>1.266666667</v>
      </c>
      <c r="AW26" s="24">
        <f t="shared" si="53"/>
        <v>10</v>
      </c>
      <c r="AX26" s="2">
        <f t="shared" si="54"/>
        <v>3</v>
      </c>
      <c r="AY26" s="24">
        <f t="shared" si="55"/>
        <v>2</v>
      </c>
      <c r="AZ26" s="24">
        <f t="shared" si="56"/>
        <v>11</v>
      </c>
      <c r="BA26" s="24">
        <f t="shared" si="57"/>
        <v>4</v>
      </c>
      <c r="BB26" s="24">
        <f t="shared" si="58"/>
        <v>3</v>
      </c>
      <c r="BC26" s="24">
        <f t="shared" si="59"/>
        <v>8</v>
      </c>
      <c r="BD26" s="24">
        <f t="shared" si="60"/>
        <v>2</v>
      </c>
      <c r="BE26" s="28">
        <f t="shared" si="61"/>
        <v>1</v>
      </c>
      <c r="BF26" s="29">
        <f t="shared" ref="BF26:BO26" si="86">+(AK26+Z26+O26+D26)/4</f>
        <v>1.933333333</v>
      </c>
      <c r="BG26" s="24">
        <f t="shared" si="86"/>
        <v>10.25</v>
      </c>
      <c r="BH26" s="24">
        <f t="shared" si="86"/>
        <v>7.75</v>
      </c>
      <c r="BI26" s="24">
        <f t="shared" si="86"/>
        <v>2.75</v>
      </c>
      <c r="BJ26" s="24">
        <f t="shared" si="86"/>
        <v>12.25</v>
      </c>
      <c r="BK26" s="24">
        <f t="shared" si="86"/>
        <v>8.5</v>
      </c>
      <c r="BL26" s="24">
        <f t="shared" si="86"/>
        <v>1.25</v>
      </c>
      <c r="BM26" s="24">
        <f t="shared" si="86"/>
        <v>4.5</v>
      </c>
      <c r="BN26" s="24">
        <f t="shared" si="86"/>
        <v>5.75</v>
      </c>
      <c r="BO26" s="61">
        <f t="shared" si="86"/>
        <v>2</v>
      </c>
      <c r="BP26" s="30">
        <f t="shared" si="9"/>
        <v>-0.6666666667</v>
      </c>
      <c r="BQ26" s="31">
        <f t="shared" si="10"/>
        <v>0.2</v>
      </c>
      <c r="BR26" s="31">
        <f t="shared" si="11"/>
        <v>0.5333333333</v>
      </c>
      <c r="BS26" s="31">
        <f t="shared" si="12"/>
        <v>0.1333333333</v>
      </c>
      <c r="BT26" s="31">
        <f t="shared" si="13"/>
        <v>0.06666666667</v>
      </c>
      <c r="BU26" s="31">
        <f t="shared" si="14"/>
        <v>0.06666666667</v>
      </c>
      <c r="BV26" s="31">
        <f t="shared" si="15"/>
        <v>0.8</v>
      </c>
      <c r="BW26" s="31">
        <f t="shared" ref="BW26:BX26" si="87">+BR26+BS26+BT26</f>
        <v>0.7333333333</v>
      </c>
      <c r="BX26" s="32">
        <f t="shared" si="87"/>
        <v>0.2666666667</v>
      </c>
    </row>
    <row r="27" ht="15.75" customHeight="1">
      <c r="B27" s="33">
        <v>16.0</v>
      </c>
      <c r="C27" s="2">
        <v>3.0</v>
      </c>
      <c r="D27" s="3">
        <f t="shared" si="3"/>
        <v>2.1875</v>
      </c>
      <c r="E27" s="2">
        <f t="shared" si="17"/>
        <v>10</v>
      </c>
      <c r="F27" s="2">
        <f t="shared" si="18"/>
        <v>8</v>
      </c>
      <c r="G27" s="2">
        <f t="shared" si="19"/>
        <v>4</v>
      </c>
      <c r="H27" s="2">
        <f t="shared" si="20"/>
        <v>12</v>
      </c>
      <c r="I27" s="2">
        <f t="shared" si="21"/>
        <v>10</v>
      </c>
      <c r="J27" s="2">
        <f t="shared" si="22"/>
        <v>1</v>
      </c>
      <c r="K27" s="2">
        <f t="shared" si="23"/>
        <v>4</v>
      </c>
      <c r="L27" s="2">
        <f t="shared" si="24"/>
        <v>6</v>
      </c>
      <c r="M27" s="34">
        <f t="shared" si="25"/>
        <v>2</v>
      </c>
      <c r="N27" s="2">
        <v>2.0</v>
      </c>
      <c r="O27" s="3">
        <f t="shared" si="4"/>
        <v>1.5</v>
      </c>
      <c r="P27" s="2">
        <f t="shared" si="26"/>
        <v>14</v>
      </c>
      <c r="Q27" s="2">
        <f t="shared" si="27"/>
        <v>8</v>
      </c>
      <c r="R27" s="2">
        <f t="shared" si="28"/>
        <v>1</v>
      </c>
      <c r="S27" s="2">
        <f t="shared" si="29"/>
        <v>15</v>
      </c>
      <c r="T27" s="2">
        <f t="shared" si="30"/>
        <v>8</v>
      </c>
      <c r="U27" s="2">
        <f t="shared" si="31"/>
        <v>1</v>
      </c>
      <c r="V27" s="2">
        <f t="shared" si="32"/>
        <v>7</v>
      </c>
      <c r="W27" s="2">
        <f t="shared" si="33"/>
        <v>7</v>
      </c>
      <c r="X27" s="34">
        <f t="shared" si="34"/>
        <v>1</v>
      </c>
      <c r="Y27" s="2">
        <v>4.0</v>
      </c>
      <c r="Z27" s="3">
        <f t="shared" si="5"/>
        <v>1.75</v>
      </c>
      <c r="AA27" s="2">
        <f t="shared" si="35"/>
        <v>10</v>
      </c>
      <c r="AB27" s="2">
        <f t="shared" si="36"/>
        <v>8</v>
      </c>
      <c r="AC27" s="2">
        <f t="shared" si="37"/>
        <v>4</v>
      </c>
      <c r="AD27" s="2">
        <f t="shared" si="38"/>
        <v>13</v>
      </c>
      <c r="AE27" s="2">
        <f t="shared" si="39"/>
        <v>9</v>
      </c>
      <c r="AF27" s="2">
        <f t="shared" si="40"/>
        <v>2</v>
      </c>
      <c r="AG27" s="2">
        <f t="shared" si="41"/>
        <v>5</v>
      </c>
      <c r="AH27" s="2">
        <f t="shared" si="42"/>
        <v>5</v>
      </c>
      <c r="AI27" s="34">
        <f t="shared" si="43"/>
        <v>3</v>
      </c>
      <c r="AJ27" s="2">
        <v>1.0</v>
      </c>
      <c r="AK27" s="3">
        <f t="shared" si="6"/>
        <v>2.4375</v>
      </c>
      <c r="AL27" s="2">
        <f t="shared" si="44"/>
        <v>9</v>
      </c>
      <c r="AM27" s="2">
        <f t="shared" si="45"/>
        <v>9</v>
      </c>
      <c r="AN27" s="2">
        <f t="shared" si="46"/>
        <v>4</v>
      </c>
      <c r="AO27" s="2">
        <f t="shared" si="47"/>
        <v>12</v>
      </c>
      <c r="AP27" s="2">
        <f t="shared" si="48"/>
        <v>10</v>
      </c>
      <c r="AQ27" s="2">
        <f t="shared" si="49"/>
        <v>1</v>
      </c>
      <c r="AR27" s="2">
        <f t="shared" si="50"/>
        <v>3</v>
      </c>
      <c r="AS27" s="2">
        <f t="shared" si="51"/>
        <v>6</v>
      </c>
      <c r="AT27" s="34">
        <f t="shared" si="52"/>
        <v>3</v>
      </c>
      <c r="AU27" s="47">
        <v>1.0</v>
      </c>
      <c r="AV27" s="3">
        <f t="shared" si="7"/>
        <v>1.25</v>
      </c>
      <c r="AW27" s="2">
        <f t="shared" si="53"/>
        <v>11</v>
      </c>
      <c r="AX27" s="2">
        <f t="shared" si="54"/>
        <v>3</v>
      </c>
      <c r="AY27" s="2">
        <f t="shared" si="55"/>
        <v>2</v>
      </c>
      <c r="AZ27" s="2">
        <f t="shared" si="56"/>
        <v>12</v>
      </c>
      <c r="BA27" s="2">
        <f t="shared" si="57"/>
        <v>4</v>
      </c>
      <c r="BB27" s="2">
        <f t="shared" si="58"/>
        <v>3</v>
      </c>
      <c r="BC27" s="2">
        <f t="shared" si="59"/>
        <v>9</v>
      </c>
      <c r="BD27" s="2">
        <f t="shared" si="60"/>
        <v>2</v>
      </c>
      <c r="BE27" s="34">
        <f t="shared" si="61"/>
        <v>1</v>
      </c>
      <c r="BF27" s="36">
        <f t="shared" ref="BF27:BO27" si="88">+(AK27+Z27+O27+D27)/4</f>
        <v>1.96875</v>
      </c>
      <c r="BG27" s="2">
        <f t="shared" si="88"/>
        <v>10.75</v>
      </c>
      <c r="BH27" s="2">
        <f t="shared" si="88"/>
        <v>8.25</v>
      </c>
      <c r="BI27" s="2">
        <f t="shared" si="88"/>
        <v>3.25</v>
      </c>
      <c r="BJ27" s="2">
        <f t="shared" si="88"/>
        <v>13</v>
      </c>
      <c r="BK27" s="2">
        <f t="shared" si="88"/>
        <v>9.25</v>
      </c>
      <c r="BL27" s="2">
        <f t="shared" si="88"/>
        <v>1.25</v>
      </c>
      <c r="BM27" s="2">
        <f t="shared" si="88"/>
        <v>4.75</v>
      </c>
      <c r="BN27" s="2">
        <f t="shared" si="88"/>
        <v>6</v>
      </c>
      <c r="BO27" s="62">
        <f t="shared" si="88"/>
        <v>2.25</v>
      </c>
      <c r="BP27" s="37">
        <f t="shared" si="9"/>
        <v>-0.71875</v>
      </c>
      <c r="BQ27" s="38">
        <f t="shared" si="10"/>
        <v>0.1875</v>
      </c>
      <c r="BR27" s="38">
        <f t="shared" si="11"/>
        <v>0.5625</v>
      </c>
      <c r="BS27" s="38">
        <f t="shared" si="12"/>
        <v>0.125</v>
      </c>
      <c r="BT27" s="38">
        <f t="shared" si="13"/>
        <v>0.0625</v>
      </c>
      <c r="BU27" s="38">
        <f t="shared" si="14"/>
        <v>0.0625</v>
      </c>
      <c r="BV27" s="38">
        <f t="shared" si="15"/>
        <v>0.8125</v>
      </c>
      <c r="BW27" s="38">
        <f t="shared" ref="BW27:BX27" si="89">+BR27+BS27+BT27</f>
        <v>0.75</v>
      </c>
      <c r="BX27" s="39">
        <f t="shared" si="89"/>
        <v>0.25</v>
      </c>
    </row>
    <row r="28" ht="15.75" customHeight="1">
      <c r="A28" s="60"/>
      <c r="B28" s="40">
        <v>17.0</v>
      </c>
      <c r="C28" s="24">
        <v>2.0</v>
      </c>
      <c r="D28" s="27">
        <f t="shared" si="3"/>
        <v>2.176470588</v>
      </c>
      <c r="E28" s="24">
        <f t="shared" si="17"/>
        <v>11</v>
      </c>
      <c r="F28" s="2">
        <f t="shared" si="18"/>
        <v>9</v>
      </c>
      <c r="G28" s="24">
        <f t="shared" si="19"/>
        <v>4</v>
      </c>
      <c r="H28" s="24">
        <f t="shared" si="20"/>
        <v>13</v>
      </c>
      <c r="I28" s="24">
        <f t="shared" si="21"/>
        <v>11</v>
      </c>
      <c r="J28" s="24">
        <f t="shared" si="22"/>
        <v>1</v>
      </c>
      <c r="K28" s="24">
        <f t="shared" si="23"/>
        <v>4</v>
      </c>
      <c r="L28" s="24">
        <f t="shared" si="24"/>
        <v>7</v>
      </c>
      <c r="M28" s="28">
        <f t="shared" si="25"/>
        <v>2</v>
      </c>
      <c r="N28" s="24">
        <v>2.0</v>
      </c>
      <c r="O28" s="27">
        <f t="shared" si="4"/>
        <v>1.529411765</v>
      </c>
      <c r="P28" s="24">
        <f t="shared" si="26"/>
        <v>15</v>
      </c>
      <c r="Q28" s="2">
        <f t="shared" si="27"/>
        <v>9</v>
      </c>
      <c r="R28" s="24">
        <f t="shared" si="28"/>
        <v>1</v>
      </c>
      <c r="S28" s="24">
        <f t="shared" si="29"/>
        <v>16</v>
      </c>
      <c r="T28" s="24">
        <f t="shared" si="30"/>
        <v>9</v>
      </c>
      <c r="U28" s="24">
        <f t="shared" si="31"/>
        <v>1</v>
      </c>
      <c r="V28" s="24">
        <f t="shared" si="32"/>
        <v>7</v>
      </c>
      <c r="W28" s="24">
        <f t="shared" si="33"/>
        <v>8</v>
      </c>
      <c r="X28" s="28">
        <f t="shared" si="34"/>
        <v>1</v>
      </c>
      <c r="Y28" s="24">
        <v>0.0</v>
      </c>
      <c r="Z28" s="27">
        <f t="shared" si="5"/>
        <v>1.647058824</v>
      </c>
      <c r="AA28" s="24">
        <f t="shared" si="35"/>
        <v>10</v>
      </c>
      <c r="AB28" s="2">
        <f t="shared" si="36"/>
        <v>8</v>
      </c>
      <c r="AC28" s="24">
        <f t="shared" si="37"/>
        <v>4</v>
      </c>
      <c r="AD28" s="24">
        <f t="shared" si="38"/>
        <v>13</v>
      </c>
      <c r="AE28" s="24">
        <f t="shared" si="39"/>
        <v>9</v>
      </c>
      <c r="AF28" s="24">
        <f t="shared" si="40"/>
        <v>3</v>
      </c>
      <c r="AG28" s="24">
        <f t="shared" si="41"/>
        <v>5</v>
      </c>
      <c r="AH28" s="24">
        <f t="shared" si="42"/>
        <v>5</v>
      </c>
      <c r="AI28" s="28">
        <f t="shared" si="43"/>
        <v>3</v>
      </c>
      <c r="AJ28" s="24">
        <v>3.0</v>
      </c>
      <c r="AK28" s="27">
        <f t="shared" si="6"/>
        <v>2.470588235</v>
      </c>
      <c r="AL28" s="24">
        <f t="shared" si="44"/>
        <v>9</v>
      </c>
      <c r="AM28" s="2">
        <f t="shared" si="45"/>
        <v>10</v>
      </c>
      <c r="AN28" s="24">
        <f t="shared" si="46"/>
        <v>5</v>
      </c>
      <c r="AO28" s="24">
        <f t="shared" si="47"/>
        <v>13</v>
      </c>
      <c r="AP28" s="24">
        <f t="shared" si="48"/>
        <v>11</v>
      </c>
      <c r="AQ28" s="24">
        <f t="shared" si="49"/>
        <v>1</v>
      </c>
      <c r="AR28" s="24">
        <f t="shared" si="50"/>
        <v>3</v>
      </c>
      <c r="AS28" s="24">
        <f t="shared" si="51"/>
        <v>6</v>
      </c>
      <c r="AT28" s="28">
        <f t="shared" si="52"/>
        <v>4</v>
      </c>
      <c r="AU28" s="41">
        <v>0.0</v>
      </c>
      <c r="AV28" s="27">
        <f t="shared" si="7"/>
        <v>1.176470588</v>
      </c>
      <c r="AW28" s="24">
        <f t="shared" si="53"/>
        <v>11</v>
      </c>
      <c r="AX28" s="2">
        <f t="shared" si="54"/>
        <v>3</v>
      </c>
      <c r="AY28" s="24">
        <f t="shared" si="55"/>
        <v>2</v>
      </c>
      <c r="AZ28" s="24">
        <f t="shared" si="56"/>
        <v>12</v>
      </c>
      <c r="BA28" s="24">
        <f t="shared" si="57"/>
        <v>4</v>
      </c>
      <c r="BB28" s="24">
        <f t="shared" si="58"/>
        <v>4</v>
      </c>
      <c r="BC28" s="24">
        <f t="shared" si="59"/>
        <v>9</v>
      </c>
      <c r="BD28" s="24">
        <f t="shared" si="60"/>
        <v>2</v>
      </c>
      <c r="BE28" s="28">
        <f t="shared" si="61"/>
        <v>1</v>
      </c>
      <c r="BF28" s="29">
        <f t="shared" ref="BF28:BO28" si="90">+(AK28+Z28+O28+D28)/4</f>
        <v>1.955882353</v>
      </c>
      <c r="BG28" s="24">
        <f t="shared" si="90"/>
        <v>11.25</v>
      </c>
      <c r="BH28" s="24">
        <f t="shared" si="90"/>
        <v>9</v>
      </c>
      <c r="BI28" s="24">
        <f t="shared" si="90"/>
        <v>3.5</v>
      </c>
      <c r="BJ28" s="24">
        <f t="shared" si="90"/>
        <v>13.75</v>
      </c>
      <c r="BK28" s="24">
        <f t="shared" si="90"/>
        <v>10</v>
      </c>
      <c r="BL28" s="24">
        <f t="shared" si="90"/>
        <v>1.5</v>
      </c>
      <c r="BM28" s="24">
        <f t="shared" si="90"/>
        <v>4.75</v>
      </c>
      <c r="BN28" s="24">
        <f t="shared" si="90"/>
        <v>6.5</v>
      </c>
      <c r="BO28" s="61">
        <f t="shared" si="90"/>
        <v>2.5</v>
      </c>
      <c r="BP28" s="30">
        <f t="shared" si="9"/>
        <v>-0.7794117647</v>
      </c>
      <c r="BQ28" s="31">
        <f t="shared" si="10"/>
        <v>0.2352941176</v>
      </c>
      <c r="BR28" s="31">
        <f t="shared" si="11"/>
        <v>0.5294117647</v>
      </c>
      <c r="BS28" s="31">
        <f t="shared" si="12"/>
        <v>0.1176470588</v>
      </c>
      <c r="BT28" s="31">
        <f t="shared" si="13"/>
        <v>0.05882352941</v>
      </c>
      <c r="BU28" s="31">
        <f t="shared" si="14"/>
        <v>0.05882352941</v>
      </c>
      <c r="BV28" s="31">
        <f t="shared" si="15"/>
        <v>0.7647058824</v>
      </c>
      <c r="BW28" s="31">
        <f t="shared" ref="BW28:BX28" si="91">+BR28+BS28+BT28</f>
        <v>0.7058823529</v>
      </c>
      <c r="BX28" s="32">
        <f t="shared" si="91"/>
        <v>0.2352941176</v>
      </c>
    </row>
    <row r="29" ht="15.75" customHeight="1">
      <c r="B29" s="33">
        <v>18.0</v>
      </c>
      <c r="C29" s="2">
        <v>1.0</v>
      </c>
      <c r="D29" s="3">
        <f t="shared" si="3"/>
        <v>2.111111111</v>
      </c>
      <c r="E29" s="2">
        <f t="shared" si="17"/>
        <v>12</v>
      </c>
      <c r="F29" s="2">
        <f t="shared" si="18"/>
        <v>9</v>
      </c>
      <c r="G29" s="2">
        <f t="shared" si="19"/>
        <v>4</v>
      </c>
      <c r="H29" s="2">
        <f t="shared" si="20"/>
        <v>14</v>
      </c>
      <c r="I29" s="2">
        <f t="shared" si="21"/>
        <v>11</v>
      </c>
      <c r="J29" s="2">
        <f t="shared" si="22"/>
        <v>1</v>
      </c>
      <c r="K29" s="2">
        <f t="shared" si="23"/>
        <v>5</v>
      </c>
      <c r="L29" s="2">
        <f t="shared" si="24"/>
        <v>7</v>
      </c>
      <c r="M29" s="34">
        <f t="shared" si="25"/>
        <v>2</v>
      </c>
      <c r="N29" s="2">
        <v>8.0</v>
      </c>
      <c r="O29" s="3">
        <f t="shared" si="4"/>
        <v>1.888888889</v>
      </c>
      <c r="P29" s="2">
        <f t="shared" si="26"/>
        <v>15</v>
      </c>
      <c r="Q29" s="2">
        <f t="shared" si="27"/>
        <v>9</v>
      </c>
      <c r="R29" s="2">
        <f t="shared" si="28"/>
        <v>1</v>
      </c>
      <c r="S29" s="2">
        <f t="shared" si="29"/>
        <v>16</v>
      </c>
      <c r="T29" s="2">
        <f t="shared" si="30"/>
        <v>9</v>
      </c>
      <c r="U29" s="2">
        <f t="shared" si="31"/>
        <v>1</v>
      </c>
      <c r="V29" s="2">
        <f t="shared" si="32"/>
        <v>7</v>
      </c>
      <c r="W29" s="2">
        <f t="shared" si="33"/>
        <v>8</v>
      </c>
      <c r="X29" s="34">
        <f t="shared" si="34"/>
        <v>1</v>
      </c>
      <c r="Y29" s="2">
        <v>1.0</v>
      </c>
      <c r="Z29" s="3">
        <f t="shared" si="5"/>
        <v>1.611111111</v>
      </c>
      <c r="AA29" s="2">
        <f t="shared" si="35"/>
        <v>11</v>
      </c>
      <c r="AB29" s="2">
        <f t="shared" si="36"/>
        <v>8</v>
      </c>
      <c r="AC29" s="2">
        <f t="shared" si="37"/>
        <v>4</v>
      </c>
      <c r="AD29" s="2">
        <f t="shared" si="38"/>
        <v>14</v>
      </c>
      <c r="AE29" s="2">
        <f t="shared" si="39"/>
        <v>9</v>
      </c>
      <c r="AF29" s="2">
        <f t="shared" si="40"/>
        <v>3</v>
      </c>
      <c r="AG29" s="2">
        <f t="shared" si="41"/>
        <v>6</v>
      </c>
      <c r="AH29" s="2">
        <f t="shared" si="42"/>
        <v>5</v>
      </c>
      <c r="AI29" s="34">
        <f t="shared" si="43"/>
        <v>3</v>
      </c>
      <c r="AJ29" s="2">
        <v>1.0</v>
      </c>
      <c r="AK29" s="3">
        <f t="shared" si="6"/>
        <v>2.388888889</v>
      </c>
      <c r="AL29" s="2">
        <f t="shared" si="44"/>
        <v>10</v>
      </c>
      <c r="AM29" s="2">
        <f t="shared" si="45"/>
        <v>10</v>
      </c>
      <c r="AN29" s="2">
        <f t="shared" si="46"/>
        <v>5</v>
      </c>
      <c r="AO29" s="2">
        <f t="shared" si="47"/>
        <v>14</v>
      </c>
      <c r="AP29" s="2">
        <f t="shared" si="48"/>
        <v>11</v>
      </c>
      <c r="AQ29" s="2">
        <f t="shared" si="49"/>
        <v>1</v>
      </c>
      <c r="AR29" s="2">
        <f t="shared" si="50"/>
        <v>4</v>
      </c>
      <c r="AS29" s="2">
        <f t="shared" si="51"/>
        <v>6</v>
      </c>
      <c r="AT29" s="34">
        <f t="shared" si="52"/>
        <v>4</v>
      </c>
      <c r="AU29" s="47">
        <v>1.0</v>
      </c>
      <c r="AV29" s="3">
        <f t="shared" si="7"/>
        <v>1.166666667</v>
      </c>
      <c r="AW29" s="2">
        <f t="shared" si="53"/>
        <v>12</v>
      </c>
      <c r="AX29" s="2">
        <f t="shared" si="54"/>
        <v>3</v>
      </c>
      <c r="AY29" s="2">
        <f t="shared" si="55"/>
        <v>2</v>
      </c>
      <c r="AZ29" s="2">
        <f t="shared" si="56"/>
        <v>13</v>
      </c>
      <c r="BA29" s="2">
        <f t="shared" si="57"/>
        <v>4</v>
      </c>
      <c r="BB29" s="2">
        <f t="shared" si="58"/>
        <v>4</v>
      </c>
      <c r="BC29" s="2">
        <f t="shared" si="59"/>
        <v>10</v>
      </c>
      <c r="BD29" s="2">
        <f t="shared" si="60"/>
        <v>2</v>
      </c>
      <c r="BE29" s="34">
        <f t="shared" si="61"/>
        <v>1</v>
      </c>
      <c r="BF29" s="36">
        <f t="shared" ref="BF29:BO29" si="92">+(AK29+Z29+O29+D29)/4</f>
        <v>2</v>
      </c>
      <c r="BG29" s="2">
        <f t="shared" si="92"/>
        <v>12</v>
      </c>
      <c r="BH29" s="2">
        <f t="shared" si="92"/>
        <v>9</v>
      </c>
      <c r="BI29" s="2">
        <f t="shared" si="92"/>
        <v>3.5</v>
      </c>
      <c r="BJ29" s="2">
        <f t="shared" si="92"/>
        <v>14.5</v>
      </c>
      <c r="BK29" s="2">
        <f t="shared" si="92"/>
        <v>10</v>
      </c>
      <c r="BL29" s="2">
        <f t="shared" si="92"/>
        <v>1.5</v>
      </c>
      <c r="BM29" s="2">
        <f t="shared" si="92"/>
        <v>5.5</v>
      </c>
      <c r="BN29" s="2">
        <f t="shared" si="92"/>
        <v>6.5</v>
      </c>
      <c r="BO29" s="62">
        <f t="shared" si="92"/>
        <v>2.5</v>
      </c>
      <c r="BP29" s="37">
        <f t="shared" si="9"/>
        <v>-0.8333333333</v>
      </c>
      <c r="BQ29" s="38">
        <f t="shared" si="10"/>
        <v>0.2222222222</v>
      </c>
      <c r="BR29" s="38">
        <f t="shared" si="11"/>
        <v>0.5555555556</v>
      </c>
      <c r="BS29" s="38">
        <f t="shared" si="12"/>
        <v>0.1111111111</v>
      </c>
      <c r="BT29" s="38">
        <f t="shared" si="13"/>
        <v>0.05555555556</v>
      </c>
      <c r="BU29" s="38">
        <f t="shared" si="14"/>
        <v>0.05555555556</v>
      </c>
      <c r="BV29" s="38">
        <f t="shared" si="15"/>
        <v>0.7777777778</v>
      </c>
      <c r="BW29" s="38">
        <f t="shared" ref="BW29:BX29" si="93">+BR29+BS29+BT29</f>
        <v>0.7222222222</v>
      </c>
      <c r="BX29" s="39">
        <f t="shared" si="93"/>
        <v>0.2222222222</v>
      </c>
    </row>
    <row r="30" ht="15.75" customHeight="1">
      <c r="A30" s="60"/>
      <c r="B30" s="40">
        <v>19.0</v>
      </c>
      <c r="C30" s="24">
        <v>0.0</v>
      </c>
      <c r="D30" s="27">
        <f t="shared" si="3"/>
        <v>2</v>
      </c>
      <c r="E30" s="24">
        <f t="shared" si="17"/>
        <v>12</v>
      </c>
      <c r="F30" s="2">
        <f t="shared" si="18"/>
        <v>9</v>
      </c>
      <c r="G30" s="24">
        <f t="shared" si="19"/>
        <v>4</v>
      </c>
      <c r="H30" s="24">
        <f t="shared" si="20"/>
        <v>14</v>
      </c>
      <c r="I30" s="24">
        <f t="shared" si="21"/>
        <v>11</v>
      </c>
      <c r="J30" s="24">
        <f t="shared" si="22"/>
        <v>2</v>
      </c>
      <c r="K30" s="24">
        <f t="shared" si="23"/>
        <v>5</v>
      </c>
      <c r="L30" s="24">
        <f t="shared" si="24"/>
        <v>7</v>
      </c>
      <c r="M30" s="28">
        <f t="shared" si="25"/>
        <v>2</v>
      </c>
      <c r="N30" s="24">
        <v>3.0</v>
      </c>
      <c r="O30" s="27">
        <f t="shared" si="4"/>
        <v>1.947368421</v>
      </c>
      <c r="P30" s="24">
        <f t="shared" si="26"/>
        <v>15</v>
      </c>
      <c r="Q30" s="2">
        <f t="shared" si="27"/>
        <v>10</v>
      </c>
      <c r="R30" s="24">
        <f t="shared" si="28"/>
        <v>2</v>
      </c>
      <c r="S30" s="24">
        <f t="shared" si="29"/>
        <v>17</v>
      </c>
      <c r="T30" s="24">
        <f t="shared" si="30"/>
        <v>10</v>
      </c>
      <c r="U30" s="24">
        <f t="shared" si="31"/>
        <v>1</v>
      </c>
      <c r="V30" s="24">
        <f t="shared" si="32"/>
        <v>7</v>
      </c>
      <c r="W30" s="24">
        <f t="shared" si="33"/>
        <v>8</v>
      </c>
      <c r="X30" s="28">
        <f t="shared" si="34"/>
        <v>2</v>
      </c>
      <c r="Y30" s="24">
        <v>1.0</v>
      </c>
      <c r="Z30" s="27">
        <f t="shared" si="5"/>
        <v>1.578947368</v>
      </c>
      <c r="AA30" s="24">
        <f t="shared" si="35"/>
        <v>12</v>
      </c>
      <c r="AB30" s="2">
        <f t="shared" si="36"/>
        <v>8</v>
      </c>
      <c r="AC30" s="24">
        <f t="shared" si="37"/>
        <v>4</v>
      </c>
      <c r="AD30" s="24">
        <f t="shared" si="38"/>
        <v>15</v>
      </c>
      <c r="AE30" s="24">
        <f t="shared" si="39"/>
        <v>9</v>
      </c>
      <c r="AF30" s="24">
        <f t="shared" si="40"/>
        <v>3</v>
      </c>
      <c r="AG30" s="24">
        <f t="shared" si="41"/>
        <v>7</v>
      </c>
      <c r="AH30" s="24">
        <f t="shared" si="42"/>
        <v>5</v>
      </c>
      <c r="AI30" s="28">
        <f t="shared" si="43"/>
        <v>3</v>
      </c>
      <c r="AJ30" s="24">
        <v>0.0</v>
      </c>
      <c r="AK30" s="27">
        <f t="shared" si="6"/>
        <v>2.263157895</v>
      </c>
      <c r="AL30" s="24">
        <f t="shared" si="44"/>
        <v>10</v>
      </c>
      <c r="AM30" s="2">
        <f t="shared" si="45"/>
        <v>10</v>
      </c>
      <c r="AN30" s="24">
        <f t="shared" si="46"/>
        <v>5</v>
      </c>
      <c r="AO30" s="24">
        <f t="shared" si="47"/>
        <v>14</v>
      </c>
      <c r="AP30" s="24">
        <f t="shared" si="48"/>
        <v>11</v>
      </c>
      <c r="AQ30" s="24">
        <f t="shared" si="49"/>
        <v>2</v>
      </c>
      <c r="AR30" s="24">
        <f t="shared" si="50"/>
        <v>4</v>
      </c>
      <c r="AS30" s="24">
        <f t="shared" si="51"/>
        <v>6</v>
      </c>
      <c r="AT30" s="28">
        <f t="shared" si="52"/>
        <v>4</v>
      </c>
      <c r="AU30" s="41"/>
      <c r="AV30" s="27">
        <f t="shared" si="7"/>
        <v>1.166666667</v>
      </c>
      <c r="AW30" s="24">
        <f t="shared" si="53"/>
        <v>12</v>
      </c>
      <c r="AX30" s="2">
        <f t="shared" si="54"/>
        <v>3</v>
      </c>
      <c r="AY30" s="24">
        <f t="shared" si="55"/>
        <v>2</v>
      </c>
      <c r="AZ30" s="24">
        <f t="shared" si="56"/>
        <v>13</v>
      </c>
      <c r="BA30" s="24">
        <f t="shared" si="57"/>
        <v>4</v>
      </c>
      <c r="BB30" s="24">
        <f t="shared" si="58"/>
        <v>5</v>
      </c>
      <c r="BC30" s="24">
        <f t="shared" si="59"/>
        <v>10</v>
      </c>
      <c r="BD30" s="24">
        <f t="shared" si="60"/>
        <v>2</v>
      </c>
      <c r="BE30" s="28">
        <f t="shared" si="61"/>
        <v>1</v>
      </c>
      <c r="BF30" s="29">
        <f t="shared" ref="BF30:BO30" si="94">+(AK30+Z30+O30+D30)/4</f>
        <v>1.947368421</v>
      </c>
      <c r="BG30" s="24">
        <f t="shared" si="94"/>
        <v>12.25</v>
      </c>
      <c r="BH30" s="24">
        <f t="shared" si="94"/>
        <v>9.25</v>
      </c>
      <c r="BI30" s="24">
        <f t="shared" si="94"/>
        <v>3.75</v>
      </c>
      <c r="BJ30" s="24">
        <f t="shared" si="94"/>
        <v>15</v>
      </c>
      <c r="BK30" s="24">
        <f t="shared" si="94"/>
        <v>10.25</v>
      </c>
      <c r="BL30" s="24">
        <f t="shared" si="94"/>
        <v>2</v>
      </c>
      <c r="BM30" s="24">
        <f t="shared" si="94"/>
        <v>5.75</v>
      </c>
      <c r="BN30" s="24">
        <f t="shared" si="94"/>
        <v>6.5</v>
      </c>
      <c r="BO30" s="61">
        <f t="shared" si="94"/>
        <v>2.75</v>
      </c>
      <c r="BP30" s="30">
        <f t="shared" si="9"/>
        <v>-0.7807017544</v>
      </c>
      <c r="BQ30" s="31">
        <f t="shared" si="10"/>
        <v>0.2105263158</v>
      </c>
      <c r="BR30" s="31">
        <f t="shared" si="11"/>
        <v>0.5263157895</v>
      </c>
      <c r="BS30" s="31">
        <f t="shared" si="12"/>
        <v>0.1052631579</v>
      </c>
      <c r="BT30" s="31">
        <f t="shared" si="13"/>
        <v>0.05263157895</v>
      </c>
      <c r="BU30" s="31">
        <f t="shared" si="14"/>
        <v>0.05263157895</v>
      </c>
      <c r="BV30" s="31">
        <f t="shared" si="15"/>
        <v>0.7894736842</v>
      </c>
      <c r="BW30" s="31">
        <f t="shared" ref="BW30:BX30" si="95">+BR30+BS30+BT30</f>
        <v>0.6842105263</v>
      </c>
      <c r="BX30" s="32">
        <f t="shared" si="95"/>
        <v>0.2105263158</v>
      </c>
    </row>
    <row r="31" ht="15.75" customHeight="1">
      <c r="B31" s="33">
        <v>20.0</v>
      </c>
      <c r="C31" s="2">
        <v>6.0</v>
      </c>
      <c r="D31" s="3">
        <f t="shared" si="3"/>
        <v>2.2</v>
      </c>
      <c r="E31" s="2">
        <f t="shared" si="17"/>
        <v>12</v>
      </c>
      <c r="F31" s="2">
        <f t="shared" si="18"/>
        <v>9</v>
      </c>
      <c r="G31" s="2">
        <f t="shared" si="19"/>
        <v>4</v>
      </c>
      <c r="H31" s="2">
        <f t="shared" si="20"/>
        <v>14</v>
      </c>
      <c r="I31" s="2">
        <f t="shared" si="21"/>
        <v>11</v>
      </c>
      <c r="J31" s="2">
        <f t="shared" si="22"/>
        <v>2</v>
      </c>
      <c r="K31" s="2">
        <f t="shared" si="23"/>
        <v>5</v>
      </c>
      <c r="L31" s="2">
        <f t="shared" si="24"/>
        <v>7</v>
      </c>
      <c r="M31" s="34">
        <f t="shared" si="25"/>
        <v>2</v>
      </c>
      <c r="N31" s="2">
        <v>2.0</v>
      </c>
      <c r="O31" s="3">
        <f t="shared" si="4"/>
        <v>1.95</v>
      </c>
      <c r="P31" s="2">
        <f t="shared" si="26"/>
        <v>16</v>
      </c>
      <c r="Q31" s="2">
        <f t="shared" si="27"/>
        <v>11</v>
      </c>
      <c r="R31" s="2">
        <f t="shared" si="28"/>
        <v>2</v>
      </c>
      <c r="S31" s="2">
        <f t="shared" si="29"/>
        <v>18</v>
      </c>
      <c r="T31" s="2">
        <f t="shared" si="30"/>
        <v>11</v>
      </c>
      <c r="U31" s="2">
        <f t="shared" si="31"/>
        <v>1</v>
      </c>
      <c r="V31" s="2">
        <f t="shared" si="32"/>
        <v>7</v>
      </c>
      <c r="W31" s="2">
        <f t="shared" si="33"/>
        <v>9</v>
      </c>
      <c r="X31" s="34">
        <f t="shared" si="34"/>
        <v>2</v>
      </c>
      <c r="Y31" s="2">
        <v>5.0</v>
      </c>
      <c r="Z31" s="3">
        <f t="shared" si="5"/>
        <v>1.75</v>
      </c>
      <c r="AA31" s="2">
        <f t="shared" si="35"/>
        <v>12</v>
      </c>
      <c r="AB31" s="2">
        <f t="shared" si="36"/>
        <v>8</v>
      </c>
      <c r="AC31" s="2">
        <f t="shared" si="37"/>
        <v>4</v>
      </c>
      <c r="AD31" s="2">
        <f t="shared" si="38"/>
        <v>15</v>
      </c>
      <c r="AE31" s="2">
        <f t="shared" si="39"/>
        <v>9</v>
      </c>
      <c r="AF31" s="2">
        <f t="shared" si="40"/>
        <v>3</v>
      </c>
      <c r="AG31" s="2">
        <f t="shared" si="41"/>
        <v>7</v>
      </c>
      <c r="AH31" s="2">
        <f t="shared" si="42"/>
        <v>5</v>
      </c>
      <c r="AI31" s="34">
        <f t="shared" si="43"/>
        <v>3</v>
      </c>
      <c r="AJ31" s="2">
        <v>1.0</v>
      </c>
      <c r="AK31" s="3">
        <f t="shared" si="6"/>
        <v>2.2</v>
      </c>
      <c r="AL31" s="2">
        <f t="shared" si="44"/>
        <v>11</v>
      </c>
      <c r="AM31" s="2">
        <f t="shared" si="45"/>
        <v>10</v>
      </c>
      <c r="AN31" s="2">
        <f t="shared" si="46"/>
        <v>5</v>
      </c>
      <c r="AO31" s="2">
        <f t="shared" si="47"/>
        <v>15</v>
      </c>
      <c r="AP31" s="2">
        <f t="shared" si="48"/>
        <v>11</v>
      </c>
      <c r="AQ31" s="2">
        <f t="shared" si="49"/>
        <v>2</v>
      </c>
      <c r="AR31" s="2">
        <f t="shared" si="50"/>
        <v>5</v>
      </c>
      <c r="AS31" s="2">
        <f t="shared" si="51"/>
        <v>6</v>
      </c>
      <c r="AT31" s="34">
        <f t="shared" si="52"/>
        <v>4</v>
      </c>
      <c r="AU31" s="2"/>
      <c r="AV31" s="3">
        <f t="shared" si="7"/>
        <v>1.166666667</v>
      </c>
      <c r="AW31" s="2">
        <f t="shared" si="53"/>
        <v>12</v>
      </c>
      <c r="AX31" s="2">
        <f t="shared" si="54"/>
        <v>3</v>
      </c>
      <c r="AY31" s="2">
        <f t="shared" si="55"/>
        <v>2</v>
      </c>
      <c r="AZ31" s="2">
        <f t="shared" si="56"/>
        <v>13</v>
      </c>
      <c r="BA31" s="2">
        <f t="shared" si="57"/>
        <v>4</v>
      </c>
      <c r="BB31" s="2">
        <f t="shared" si="58"/>
        <v>6</v>
      </c>
      <c r="BC31" s="2">
        <f t="shared" si="59"/>
        <v>10</v>
      </c>
      <c r="BD31" s="2">
        <f t="shared" si="60"/>
        <v>2</v>
      </c>
      <c r="BE31" s="34">
        <f t="shared" si="61"/>
        <v>1</v>
      </c>
      <c r="BF31" s="36">
        <f t="shared" ref="BF31:BO31" si="96">+(AK31+Z31+O31+D31)/4</f>
        <v>2.025</v>
      </c>
      <c r="BG31" s="2">
        <f t="shared" si="96"/>
        <v>12.75</v>
      </c>
      <c r="BH31" s="2">
        <f t="shared" si="96"/>
        <v>9.5</v>
      </c>
      <c r="BI31" s="2">
        <f t="shared" si="96"/>
        <v>3.75</v>
      </c>
      <c r="BJ31" s="2">
        <f t="shared" si="96"/>
        <v>15.5</v>
      </c>
      <c r="BK31" s="2">
        <f t="shared" si="96"/>
        <v>10.5</v>
      </c>
      <c r="BL31" s="2">
        <f t="shared" si="96"/>
        <v>2</v>
      </c>
      <c r="BM31" s="2">
        <f t="shared" si="96"/>
        <v>6</v>
      </c>
      <c r="BN31" s="2">
        <f t="shared" si="96"/>
        <v>6.75</v>
      </c>
      <c r="BO31" s="62">
        <f t="shared" si="96"/>
        <v>2.75</v>
      </c>
      <c r="BP31" s="37">
        <f t="shared" si="9"/>
        <v>-0.8583333333</v>
      </c>
      <c r="BQ31" s="38">
        <f t="shared" si="10"/>
        <v>0.2</v>
      </c>
      <c r="BR31" s="38">
        <f t="shared" si="11"/>
        <v>0.5</v>
      </c>
      <c r="BS31" s="38">
        <f t="shared" si="12"/>
        <v>0.1</v>
      </c>
      <c r="BT31" s="38">
        <f t="shared" si="13"/>
        <v>0.05</v>
      </c>
      <c r="BU31" s="38">
        <f t="shared" si="14"/>
        <v>0.05</v>
      </c>
      <c r="BV31" s="38">
        <f t="shared" si="15"/>
        <v>0.8</v>
      </c>
      <c r="BW31" s="38">
        <f t="shared" ref="BW31:BX31" si="97">+BR31+BS31+BT31</f>
        <v>0.65</v>
      </c>
      <c r="BX31" s="39">
        <f t="shared" si="97"/>
        <v>0.2</v>
      </c>
    </row>
    <row r="32" ht="15.75" customHeight="1">
      <c r="A32" s="60"/>
      <c r="B32" s="40">
        <v>21.0</v>
      </c>
      <c r="C32" s="24">
        <v>0.0</v>
      </c>
      <c r="D32" s="27">
        <f t="shared" si="3"/>
        <v>2.095238095</v>
      </c>
      <c r="E32" s="24">
        <f t="shared" si="17"/>
        <v>12</v>
      </c>
      <c r="F32" s="2">
        <f t="shared" si="18"/>
        <v>9</v>
      </c>
      <c r="G32" s="24">
        <f t="shared" si="19"/>
        <v>4</v>
      </c>
      <c r="H32" s="24">
        <f t="shared" si="20"/>
        <v>14</v>
      </c>
      <c r="I32" s="24">
        <f t="shared" si="21"/>
        <v>11</v>
      </c>
      <c r="J32" s="24">
        <f t="shared" si="22"/>
        <v>3</v>
      </c>
      <c r="K32" s="24">
        <f t="shared" si="23"/>
        <v>5</v>
      </c>
      <c r="L32" s="24">
        <f t="shared" si="24"/>
        <v>7</v>
      </c>
      <c r="M32" s="28">
        <f t="shared" si="25"/>
        <v>2</v>
      </c>
      <c r="N32" s="24">
        <v>0.0</v>
      </c>
      <c r="O32" s="27">
        <f t="shared" si="4"/>
        <v>1.857142857</v>
      </c>
      <c r="P32" s="24">
        <f t="shared" si="26"/>
        <v>16</v>
      </c>
      <c r="Q32" s="2">
        <f t="shared" si="27"/>
        <v>11</v>
      </c>
      <c r="R32" s="24">
        <f t="shared" si="28"/>
        <v>2</v>
      </c>
      <c r="S32" s="24">
        <f t="shared" si="29"/>
        <v>18</v>
      </c>
      <c r="T32" s="24">
        <f t="shared" si="30"/>
        <v>11</v>
      </c>
      <c r="U32" s="24">
        <f t="shared" si="31"/>
        <v>2</v>
      </c>
      <c r="V32" s="24">
        <f t="shared" si="32"/>
        <v>7</v>
      </c>
      <c r="W32" s="24">
        <f t="shared" si="33"/>
        <v>9</v>
      </c>
      <c r="X32" s="28">
        <f t="shared" si="34"/>
        <v>2</v>
      </c>
      <c r="Y32" s="24">
        <v>0.0</v>
      </c>
      <c r="Z32" s="27">
        <f t="shared" si="5"/>
        <v>1.666666667</v>
      </c>
      <c r="AA32" s="24">
        <f t="shared" si="35"/>
        <v>12</v>
      </c>
      <c r="AB32" s="2">
        <f t="shared" si="36"/>
        <v>8</v>
      </c>
      <c r="AC32" s="24">
        <f t="shared" si="37"/>
        <v>4</v>
      </c>
      <c r="AD32" s="24">
        <f t="shared" si="38"/>
        <v>15</v>
      </c>
      <c r="AE32" s="24">
        <f t="shared" si="39"/>
        <v>9</v>
      </c>
      <c r="AF32" s="24">
        <f t="shared" si="40"/>
        <v>4</v>
      </c>
      <c r="AG32" s="24">
        <f t="shared" si="41"/>
        <v>7</v>
      </c>
      <c r="AH32" s="24">
        <f t="shared" si="42"/>
        <v>5</v>
      </c>
      <c r="AI32" s="28">
        <f t="shared" si="43"/>
        <v>3</v>
      </c>
      <c r="AJ32" s="24">
        <v>2.0</v>
      </c>
      <c r="AK32" s="27">
        <f t="shared" si="6"/>
        <v>2.19047619</v>
      </c>
      <c r="AL32" s="24">
        <f t="shared" si="44"/>
        <v>12</v>
      </c>
      <c r="AM32" s="2">
        <f t="shared" si="45"/>
        <v>11</v>
      </c>
      <c r="AN32" s="24">
        <f t="shared" si="46"/>
        <v>5</v>
      </c>
      <c r="AO32" s="24">
        <f t="shared" si="47"/>
        <v>16</v>
      </c>
      <c r="AP32" s="24">
        <f t="shared" si="48"/>
        <v>12</v>
      </c>
      <c r="AQ32" s="24">
        <f t="shared" si="49"/>
        <v>2</v>
      </c>
      <c r="AR32" s="24">
        <f t="shared" si="50"/>
        <v>5</v>
      </c>
      <c r="AS32" s="24">
        <f t="shared" si="51"/>
        <v>7</v>
      </c>
      <c r="AT32" s="28">
        <f t="shared" si="52"/>
        <v>4</v>
      </c>
      <c r="AU32" s="24"/>
      <c r="AV32" s="27">
        <f t="shared" si="7"/>
        <v>1.166666667</v>
      </c>
      <c r="AW32" s="24">
        <f t="shared" si="53"/>
        <v>12</v>
      </c>
      <c r="AX32" s="2">
        <f t="shared" si="54"/>
        <v>3</v>
      </c>
      <c r="AY32" s="24">
        <f t="shared" si="55"/>
        <v>2</v>
      </c>
      <c r="AZ32" s="24">
        <f t="shared" si="56"/>
        <v>13</v>
      </c>
      <c r="BA32" s="24">
        <f t="shared" si="57"/>
        <v>4</v>
      </c>
      <c r="BB32" s="24">
        <f t="shared" si="58"/>
        <v>7</v>
      </c>
      <c r="BC32" s="24">
        <f t="shared" si="59"/>
        <v>10</v>
      </c>
      <c r="BD32" s="24">
        <f t="shared" si="60"/>
        <v>2</v>
      </c>
      <c r="BE32" s="28">
        <f t="shared" si="61"/>
        <v>1</v>
      </c>
      <c r="BF32" s="29">
        <f t="shared" ref="BF32:BO32" si="98">+(AK32+Z32+O32+D32)/4</f>
        <v>1.952380952</v>
      </c>
      <c r="BG32" s="24">
        <f t="shared" si="98"/>
        <v>13</v>
      </c>
      <c r="BH32" s="24">
        <f t="shared" si="98"/>
        <v>9.75</v>
      </c>
      <c r="BI32" s="24">
        <f t="shared" si="98"/>
        <v>3.75</v>
      </c>
      <c r="BJ32" s="24">
        <f t="shared" si="98"/>
        <v>15.75</v>
      </c>
      <c r="BK32" s="24">
        <f t="shared" si="98"/>
        <v>10.75</v>
      </c>
      <c r="BL32" s="24">
        <f t="shared" si="98"/>
        <v>2.75</v>
      </c>
      <c r="BM32" s="24">
        <f t="shared" si="98"/>
        <v>6</v>
      </c>
      <c r="BN32" s="24">
        <f t="shared" si="98"/>
        <v>7</v>
      </c>
      <c r="BO32" s="61">
        <f t="shared" si="98"/>
        <v>2.75</v>
      </c>
      <c r="BP32" s="30">
        <f t="shared" si="9"/>
        <v>-0.7857142857</v>
      </c>
      <c r="BQ32" s="31">
        <f t="shared" si="10"/>
        <v>0.1904761905</v>
      </c>
      <c r="BR32" s="31">
        <f t="shared" si="11"/>
        <v>0.4761904762</v>
      </c>
      <c r="BS32" s="31">
        <f t="shared" si="12"/>
        <v>0.09523809524</v>
      </c>
      <c r="BT32" s="31">
        <f t="shared" si="13"/>
        <v>0.04761904762</v>
      </c>
      <c r="BU32" s="31">
        <f t="shared" si="14"/>
        <v>0.04761904762</v>
      </c>
      <c r="BV32" s="31">
        <f t="shared" si="15"/>
        <v>0.8095238095</v>
      </c>
      <c r="BW32" s="31">
        <f t="shared" ref="BW32:BX32" si="99">+BR32+BS32+BT32</f>
        <v>0.619047619</v>
      </c>
      <c r="BX32" s="32">
        <f t="shared" si="99"/>
        <v>0.1904761905</v>
      </c>
    </row>
    <row r="33" ht="15.75" customHeight="1">
      <c r="B33" s="33">
        <v>22.0</v>
      </c>
      <c r="C33" s="2">
        <v>0.0</v>
      </c>
      <c r="D33" s="3">
        <f t="shared" si="3"/>
        <v>2</v>
      </c>
      <c r="E33" s="2">
        <f t="shared" si="17"/>
        <v>12</v>
      </c>
      <c r="F33" s="2">
        <f t="shared" si="18"/>
        <v>9</v>
      </c>
      <c r="G33" s="2">
        <f t="shared" si="19"/>
        <v>4</v>
      </c>
      <c r="H33" s="2">
        <f t="shared" si="20"/>
        <v>14</v>
      </c>
      <c r="I33" s="2">
        <f t="shared" si="21"/>
        <v>11</v>
      </c>
      <c r="J33" s="2">
        <f t="shared" si="22"/>
        <v>4</v>
      </c>
      <c r="K33" s="2">
        <f t="shared" si="23"/>
        <v>5</v>
      </c>
      <c r="L33" s="2">
        <f t="shared" si="24"/>
        <v>7</v>
      </c>
      <c r="M33" s="34">
        <f t="shared" si="25"/>
        <v>2</v>
      </c>
      <c r="N33" s="2">
        <v>2.0</v>
      </c>
      <c r="O33" s="3">
        <f t="shared" si="4"/>
        <v>1.863636364</v>
      </c>
      <c r="P33" s="2">
        <f t="shared" si="26"/>
        <v>17</v>
      </c>
      <c r="Q33" s="2">
        <f t="shared" si="27"/>
        <v>12</v>
      </c>
      <c r="R33" s="2">
        <f t="shared" si="28"/>
        <v>2</v>
      </c>
      <c r="S33" s="2">
        <f t="shared" si="29"/>
        <v>19</v>
      </c>
      <c r="T33" s="2">
        <f t="shared" si="30"/>
        <v>12</v>
      </c>
      <c r="U33" s="2">
        <f t="shared" si="31"/>
        <v>2</v>
      </c>
      <c r="V33" s="2">
        <f t="shared" si="32"/>
        <v>7</v>
      </c>
      <c r="W33" s="2">
        <f t="shared" si="33"/>
        <v>10</v>
      </c>
      <c r="X33" s="34">
        <f t="shared" si="34"/>
        <v>2</v>
      </c>
      <c r="Y33" s="2">
        <v>2.0</v>
      </c>
      <c r="Z33" s="3">
        <f t="shared" si="5"/>
        <v>1.681818182</v>
      </c>
      <c r="AA33" s="2">
        <f t="shared" si="35"/>
        <v>13</v>
      </c>
      <c r="AB33" s="2">
        <f t="shared" si="36"/>
        <v>9</v>
      </c>
      <c r="AC33" s="2">
        <f t="shared" si="37"/>
        <v>4</v>
      </c>
      <c r="AD33" s="2">
        <f t="shared" si="38"/>
        <v>16</v>
      </c>
      <c r="AE33" s="2">
        <f t="shared" si="39"/>
        <v>10</v>
      </c>
      <c r="AF33" s="2">
        <f t="shared" si="40"/>
        <v>4</v>
      </c>
      <c r="AG33" s="2">
        <f t="shared" si="41"/>
        <v>7</v>
      </c>
      <c r="AH33" s="2">
        <f t="shared" si="42"/>
        <v>6</v>
      </c>
      <c r="AI33" s="34">
        <f t="shared" si="43"/>
        <v>3</v>
      </c>
      <c r="AJ33" s="2">
        <v>2.0</v>
      </c>
      <c r="AK33" s="3">
        <f t="shared" si="6"/>
        <v>2.181818182</v>
      </c>
      <c r="AL33" s="2">
        <f t="shared" si="44"/>
        <v>13</v>
      </c>
      <c r="AM33" s="2">
        <f t="shared" si="45"/>
        <v>12</v>
      </c>
      <c r="AN33" s="2">
        <f t="shared" si="46"/>
        <v>5</v>
      </c>
      <c r="AO33" s="2">
        <f t="shared" si="47"/>
        <v>17</v>
      </c>
      <c r="AP33" s="2">
        <f t="shared" si="48"/>
        <v>13</v>
      </c>
      <c r="AQ33" s="2">
        <f t="shared" si="49"/>
        <v>2</v>
      </c>
      <c r="AR33" s="2">
        <f t="shared" si="50"/>
        <v>5</v>
      </c>
      <c r="AS33" s="2">
        <f t="shared" si="51"/>
        <v>8</v>
      </c>
      <c r="AT33" s="34">
        <f t="shared" si="52"/>
        <v>4</v>
      </c>
      <c r="AU33" s="2"/>
      <c r="AV33" s="3">
        <f t="shared" si="7"/>
        <v>1.166666667</v>
      </c>
      <c r="AW33" s="2">
        <f t="shared" si="53"/>
        <v>12</v>
      </c>
      <c r="AX33" s="2">
        <f t="shared" si="54"/>
        <v>3</v>
      </c>
      <c r="AY33" s="2">
        <f t="shared" si="55"/>
        <v>2</v>
      </c>
      <c r="AZ33" s="2">
        <f t="shared" si="56"/>
        <v>13</v>
      </c>
      <c r="BA33" s="2">
        <f t="shared" si="57"/>
        <v>4</v>
      </c>
      <c r="BB33" s="2">
        <f t="shared" si="58"/>
        <v>8</v>
      </c>
      <c r="BC33" s="2">
        <f t="shared" si="59"/>
        <v>10</v>
      </c>
      <c r="BD33" s="2">
        <f t="shared" si="60"/>
        <v>2</v>
      </c>
      <c r="BE33" s="34">
        <f t="shared" si="61"/>
        <v>1</v>
      </c>
      <c r="BF33" s="36">
        <f t="shared" ref="BF33:BO33" si="100">+(AK33+Z33+O33+D33)/4</f>
        <v>1.931818182</v>
      </c>
      <c r="BG33" s="2">
        <f t="shared" si="100"/>
        <v>13.75</v>
      </c>
      <c r="BH33" s="2">
        <f t="shared" si="100"/>
        <v>10.5</v>
      </c>
      <c r="BI33" s="2">
        <f t="shared" si="100"/>
        <v>3.75</v>
      </c>
      <c r="BJ33" s="2">
        <f t="shared" si="100"/>
        <v>16.5</v>
      </c>
      <c r="BK33" s="2">
        <f t="shared" si="100"/>
        <v>11.5</v>
      </c>
      <c r="BL33" s="2">
        <f t="shared" si="100"/>
        <v>3</v>
      </c>
      <c r="BM33" s="2">
        <f t="shared" si="100"/>
        <v>6</v>
      </c>
      <c r="BN33" s="2">
        <f t="shared" si="100"/>
        <v>7.75</v>
      </c>
      <c r="BO33" s="62">
        <f t="shared" si="100"/>
        <v>2.75</v>
      </c>
      <c r="BP33" s="37">
        <f t="shared" si="9"/>
        <v>-0.7651515152</v>
      </c>
      <c r="BQ33" s="38">
        <f t="shared" si="10"/>
        <v>0.1818181818</v>
      </c>
      <c r="BR33" s="38">
        <f t="shared" si="11"/>
        <v>0.4545454545</v>
      </c>
      <c r="BS33" s="38">
        <f t="shared" si="12"/>
        <v>0.09090909091</v>
      </c>
      <c r="BT33" s="38">
        <f t="shared" si="13"/>
        <v>0.04545454545</v>
      </c>
      <c r="BU33" s="38">
        <f t="shared" si="14"/>
        <v>0.04545454545</v>
      </c>
      <c r="BV33" s="38">
        <f t="shared" si="15"/>
        <v>0.8181818182</v>
      </c>
      <c r="BW33" s="38">
        <f t="shared" ref="BW33:BX33" si="101">+BR33+BS33+BT33</f>
        <v>0.5909090909</v>
      </c>
      <c r="BX33" s="39">
        <f t="shared" si="101"/>
        <v>0.1818181818</v>
      </c>
    </row>
    <row r="34" ht="15.75" customHeight="1">
      <c r="A34" s="60"/>
      <c r="B34" s="40">
        <v>23.0</v>
      </c>
      <c r="C34" s="24">
        <v>1.0</v>
      </c>
      <c r="D34" s="27">
        <f t="shared" si="3"/>
        <v>1.956521739</v>
      </c>
      <c r="E34" s="24">
        <f t="shared" si="17"/>
        <v>13</v>
      </c>
      <c r="F34" s="2">
        <f t="shared" si="18"/>
        <v>9</v>
      </c>
      <c r="G34" s="24">
        <f t="shared" si="19"/>
        <v>4</v>
      </c>
      <c r="H34" s="24">
        <f t="shared" si="20"/>
        <v>15</v>
      </c>
      <c r="I34" s="24">
        <f t="shared" si="21"/>
        <v>11</v>
      </c>
      <c r="J34" s="24">
        <f t="shared" si="22"/>
        <v>4</v>
      </c>
      <c r="K34" s="24">
        <f t="shared" si="23"/>
        <v>6</v>
      </c>
      <c r="L34" s="24">
        <f t="shared" si="24"/>
        <v>7</v>
      </c>
      <c r="M34" s="28">
        <f t="shared" si="25"/>
        <v>2</v>
      </c>
      <c r="N34" s="24">
        <v>1.0</v>
      </c>
      <c r="O34" s="27">
        <f t="shared" si="4"/>
        <v>1.826086957</v>
      </c>
      <c r="P34" s="24">
        <f t="shared" si="26"/>
        <v>18</v>
      </c>
      <c r="Q34" s="2">
        <f t="shared" si="27"/>
        <v>12</v>
      </c>
      <c r="R34" s="24">
        <f t="shared" si="28"/>
        <v>2</v>
      </c>
      <c r="S34" s="24">
        <f t="shared" si="29"/>
        <v>20</v>
      </c>
      <c r="T34" s="24">
        <f t="shared" si="30"/>
        <v>12</v>
      </c>
      <c r="U34" s="24">
        <f t="shared" si="31"/>
        <v>2</v>
      </c>
      <c r="V34" s="24">
        <f t="shared" si="32"/>
        <v>8</v>
      </c>
      <c r="W34" s="24">
        <f t="shared" si="33"/>
        <v>10</v>
      </c>
      <c r="X34" s="28">
        <f t="shared" si="34"/>
        <v>2</v>
      </c>
      <c r="Y34" s="24">
        <v>3.0</v>
      </c>
      <c r="Z34" s="27">
        <f t="shared" si="5"/>
        <v>1.739130435</v>
      </c>
      <c r="AA34" s="24">
        <f t="shared" si="35"/>
        <v>13</v>
      </c>
      <c r="AB34" s="2">
        <f t="shared" si="36"/>
        <v>10</v>
      </c>
      <c r="AC34" s="24">
        <f t="shared" si="37"/>
        <v>5</v>
      </c>
      <c r="AD34" s="24">
        <f t="shared" si="38"/>
        <v>17</v>
      </c>
      <c r="AE34" s="24">
        <f t="shared" si="39"/>
        <v>11</v>
      </c>
      <c r="AF34" s="24">
        <f t="shared" si="40"/>
        <v>4</v>
      </c>
      <c r="AG34" s="24">
        <f t="shared" si="41"/>
        <v>7</v>
      </c>
      <c r="AH34" s="24">
        <f t="shared" si="42"/>
        <v>6</v>
      </c>
      <c r="AI34" s="28">
        <f t="shared" si="43"/>
        <v>4</v>
      </c>
      <c r="AJ34" s="24">
        <v>1.0</v>
      </c>
      <c r="AK34" s="27">
        <f t="shared" si="6"/>
        <v>2.130434783</v>
      </c>
      <c r="AL34" s="24">
        <f t="shared" si="44"/>
        <v>14</v>
      </c>
      <c r="AM34" s="2">
        <f t="shared" si="45"/>
        <v>12</v>
      </c>
      <c r="AN34" s="24">
        <f t="shared" si="46"/>
        <v>5</v>
      </c>
      <c r="AO34" s="24">
        <f t="shared" si="47"/>
        <v>18</v>
      </c>
      <c r="AP34" s="24">
        <f t="shared" si="48"/>
        <v>13</v>
      </c>
      <c r="AQ34" s="24">
        <f t="shared" si="49"/>
        <v>2</v>
      </c>
      <c r="AR34" s="24">
        <f t="shared" si="50"/>
        <v>6</v>
      </c>
      <c r="AS34" s="24">
        <f t="shared" si="51"/>
        <v>8</v>
      </c>
      <c r="AT34" s="28">
        <f t="shared" si="52"/>
        <v>4</v>
      </c>
      <c r="AU34" s="24"/>
      <c r="AV34" s="27">
        <f t="shared" si="7"/>
        <v>1.166666667</v>
      </c>
      <c r="AW34" s="24">
        <f t="shared" si="53"/>
        <v>12</v>
      </c>
      <c r="AX34" s="2">
        <f t="shared" si="54"/>
        <v>3</v>
      </c>
      <c r="AY34" s="24">
        <f t="shared" si="55"/>
        <v>2</v>
      </c>
      <c r="AZ34" s="24">
        <f t="shared" si="56"/>
        <v>13</v>
      </c>
      <c r="BA34" s="24">
        <f t="shared" si="57"/>
        <v>4</v>
      </c>
      <c r="BB34" s="24">
        <f t="shared" si="58"/>
        <v>9</v>
      </c>
      <c r="BC34" s="24">
        <f t="shared" si="59"/>
        <v>10</v>
      </c>
      <c r="BD34" s="24">
        <f t="shared" si="60"/>
        <v>2</v>
      </c>
      <c r="BE34" s="28">
        <f t="shared" si="61"/>
        <v>1</v>
      </c>
      <c r="BF34" s="29">
        <f t="shared" ref="BF34:BO34" si="102">+(AK34+Z34+O34+D34)/4</f>
        <v>1.913043478</v>
      </c>
      <c r="BG34" s="24">
        <f t="shared" si="102"/>
        <v>14.5</v>
      </c>
      <c r="BH34" s="24">
        <f t="shared" si="102"/>
        <v>10.75</v>
      </c>
      <c r="BI34" s="24">
        <f t="shared" si="102"/>
        <v>4</v>
      </c>
      <c r="BJ34" s="24">
        <f t="shared" si="102"/>
        <v>17.5</v>
      </c>
      <c r="BK34" s="24">
        <f t="shared" si="102"/>
        <v>11.75</v>
      </c>
      <c r="BL34" s="24">
        <f t="shared" si="102"/>
        <v>3</v>
      </c>
      <c r="BM34" s="24">
        <f t="shared" si="102"/>
        <v>6.75</v>
      </c>
      <c r="BN34" s="24">
        <f t="shared" si="102"/>
        <v>7.75</v>
      </c>
      <c r="BO34" s="61">
        <f t="shared" si="102"/>
        <v>3</v>
      </c>
      <c r="BP34" s="30">
        <f t="shared" si="9"/>
        <v>-0.7463768116</v>
      </c>
      <c r="BQ34" s="31">
        <f t="shared" si="10"/>
        <v>0.1739130435</v>
      </c>
      <c r="BR34" s="31">
        <f t="shared" si="11"/>
        <v>0.4347826087</v>
      </c>
      <c r="BS34" s="31">
        <f t="shared" si="12"/>
        <v>0.08695652174</v>
      </c>
      <c r="BT34" s="31">
        <f t="shared" si="13"/>
        <v>0.04347826087</v>
      </c>
      <c r="BU34" s="31">
        <f t="shared" si="14"/>
        <v>0.04347826087</v>
      </c>
      <c r="BV34" s="31">
        <f t="shared" si="15"/>
        <v>0.8260869565</v>
      </c>
      <c r="BW34" s="31">
        <f t="shared" ref="BW34:BX34" si="103">+BR34+BS34+BT34</f>
        <v>0.5652173913</v>
      </c>
      <c r="BX34" s="32">
        <f t="shared" si="103"/>
        <v>0.1739130435</v>
      </c>
    </row>
    <row r="35" ht="15.75" customHeight="1">
      <c r="B35" s="33">
        <v>24.0</v>
      </c>
      <c r="C35" s="2">
        <v>1.0</v>
      </c>
      <c r="D35" s="3">
        <f t="shared" si="3"/>
        <v>1.916666667</v>
      </c>
      <c r="E35" s="2">
        <f t="shared" si="17"/>
        <v>14</v>
      </c>
      <c r="F35" s="2">
        <f t="shared" si="18"/>
        <v>9</v>
      </c>
      <c r="G35" s="2">
        <f t="shared" si="19"/>
        <v>4</v>
      </c>
      <c r="H35" s="2">
        <f t="shared" si="20"/>
        <v>16</v>
      </c>
      <c r="I35" s="2">
        <f t="shared" si="21"/>
        <v>11</v>
      </c>
      <c r="J35" s="2">
        <f t="shared" si="22"/>
        <v>4</v>
      </c>
      <c r="K35" s="2">
        <f t="shared" si="23"/>
        <v>7</v>
      </c>
      <c r="L35" s="2">
        <f t="shared" si="24"/>
        <v>7</v>
      </c>
      <c r="M35" s="34">
        <f t="shared" si="25"/>
        <v>2</v>
      </c>
      <c r="N35" s="2">
        <v>0.0</v>
      </c>
      <c r="O35" s="3">
        <f t="shared" si="4"/>
        <v>1.75</v>
      </c>
      <c r="P35" s="2">
        <f t="shared" si="26"/>
        <v>18</v>
      </c>
      <c r="Q35" s="2">
        <f t="shared" si="27"/>
        <v>12</v>
      </c>
      <c r="R35" s="2">
        <f t="shared" si="28"/>
        <v>2</v>
      </c>
      <c r="S35" s="2">
        <f t="shared" si="29"/>
        <v>20</v>
      </c>
      <c r="T35" s="2">
        <f t="shared" si="30"/>
        <v>12</v>
      </c>
      <c r="U35" s="2">
        <f t="shared" si="31"/>
        <v>3</v>
      </c>
      <c r="V35" s="2">
        <f t="shared" si="32"/>
        <v>8</v>
      </c>
      <c r="W35" s="2">
        <f t="shared" si="33"/>
        <v>10</v>
      </c>
      <c r="X35" s="34">
        <f t="shared" si="34"/>
        <v>2</v>
      </c>
      <c r="Y35" s="2">
        <v>4.0</v>
      </c>
      <c r="Z35" s="3">
        <f t="shared" si="5"/>
        <v>1.833333333</v>
      </c>
      <c r="AA35" s="2">
        <f t="shared" si="35"/>
        <v>13</v>
      </c>
      <c r="AB35" s="2">
        <f t="shared" si="36"/>
        <v>10</v>
      </c>
      <c r="AC35" s="2">
        <f t="shared" si="37"/>
        <v>6</v>
      </c>
      <c r="AD35" s="2">
        <f t="shared" si="38"/>
        <v>17</v>
      </c>
      <c r="AE35" s="2">
        <f t="shared" si="39"/>
        <v>12</v>
      </c>
      <c r="AF35" s="2">
        <f t="shared" si="40"/>
        <v>4</v>
      </c>
      <c r="AG35" s="2">
        <f t="shared" si="41"/>
        <v>7</v>
      </c>
      <c r="AH35" s="2">
        <f t="shared" si="42"/>
        <v>6</v>
      </c>
      <c r="AI35" s="34">
        <f t="shared" si="43"/>
        <v>4</v>
      </c>
      <c r="AJ35" s="2">
        <v>5.0</v>
      </c>
      <c r="AK35" s="3">
        <f t="shared" si="6"/>
        <v>2.25</v>
      </c>
      <c r="AL35" s="2">
        <f t="shared" si="44"/>
        <v>14</v>
      </c>
      <c r="AM35" s="2">
        <f t="shared" si="45"/>
        <v>12</v>
      </c>
      <c r="AN35" s="2">
        <f t="shared" si="46"/>
        <v>5</v>
      </c>
      <c r="AO35" s="2">
        <f t="shared" si="47"/>
        <v>18</v>
      </c>
      <c r="AP35" s="2">
        <f t="shared" si="48"/>
        <v>13</v>
      </c>
      <c r="AQ35" s="2">
        <f t="shared" si="49"/>
        <v>2</v>
      </c>
      <c r="AR35" s="2">
        <f t="shared" si="50"/>
        <v>6</v>
      </c>
      <c r="AS35" s="2">
        <f t="shared" si="51"/>
        <v>8</v>
      </c>
      <c r="AT35" s="34">
        <f t="shared" si="52"/>
        <v>4</v>
      </c>
      <c r="AU35" s="2"/>
      <c r="AV35" s="3">
        <f t="shared" si="7"/>
        <v>1.166666667</v>
      </c>
      <c r="AW35" s="2">
        <f t="shared" si="53"/>
        <v>12</v>
      </c>
      <c r="AX35" s="2">
        <f t="shared" si="54"/>
        <v>3</v>
      </c>
      <c r="AY35" s="2">
        <f t="shared" si="55"/>
        <v>2</v>
      </c>
      <c r="AZ35" s="2">
        <f t="shared" si="56"/>
        <v>13</v>
      </c>
      <c r="BA35" s="2">
        <f t="shared" si="57"/>
        <v>4</v>
      </c>
      <c r="BB35" s="2">
        <f t="shared" si="58"/>
        <v>10</v>
      </c>
      <c r="BC35" s="2">
        <f t="shared" si="59"/>
        <v>10</v>
      </c>
      <c r="BD35" s="2">
        <f t="shared" si="60"/>
        <v>2</v>
      </c>
      <c r="BE35" s="34">
        <f t="shared" si="61"/>
        <v>1</v>
      </c>
      <c r="BF35" s="36">
        <f t="shared" ref="BF35:BO35" si="104">+(AK35+Z35+O35+D35)/4</f>
        <v>1.9375</v>
      </c>
      <c r="BG35" s="2">
        <f t="shared" si="104"/>
        <v>14.75</v>
      </c>
      <c r="BH35" s="2">
        <f t="shared" si="104"/>
        <v>10.75</v>
      </c>
      <c r="BI35" s="2">
        <f t="shared" si="104"/>
        <v>4.25</v>
      </c>
      <c r="BJ35" s="2">
        <f t="shared" si="104"/>
        <v>17.75</v>
      </c>
      <c r="BK35" s="2">
        <f t="shared" si="104"/>
        <v>12</v>
      </c>
      <c r="BL35" s="2">
        <f t="shared" si="104"/>
        <v>3.25</v>
      </c>
      <c r="BM35" s="2">
        <f t="shared" si="104"/>
        <v>7</v>
      </c>
      <c r="BN35" s="2">
        <f t="shared" si="104"/>
        <v>7.75</v>
      </c>
      <c r="BO35" s="62">
        <f t="shared" si="104"/>
        <v>3</v>
      </c>
      <c r="BP35" s="37">
        <f t="shared" si="9"/>
        <v>-0.7708333333</v>
      </c>
      <c r="BQ35" s="38">
        <f t="shared" si="10"/>
        <v>0.1666666667</v>
      </c>
      <c r="BR35" s="38">
        <f t="shared" si="11"/>
        <v>0.4166666667</v>
      </c>
      <c r="BS35" s="38">
        <f t="shared" si="12"/>
        <v>0.08333333333</v>
      </c>
      <c r="BT35" s="38">
        <f t="shared" si="13"/>
        <v>0.04166666667</v>
      </c>
      <c r="BU35" s="38">
        <f t="shared" si="14"/>
        <v>0.04166666667</v>
      </c>
      <c r="BV35" s="38">
        <f t="shared" si="15"/>
        <v>0.8333333333</v>
      </c>
      <c r="BW35" s="38">
        <f t="shared" ref="BW35:BX35" si="105">+BR35+BS35+BT35</f>
        <v>0.5416666667</v>
      </c>
      <c r="BX35" s="39">
        <f t="shared" si="105"/>
        <v>0.1666666667</v>
      </c>
    </row>
    <row r="36" ht="15.75" customHeight="1">
      <c r="A36" s="60"/>
      <c r="B36" s="40">
        <v>25.0</v>
      </c>
      <c r="C36" s="24">
        <v>0.0</v>
      </c>
      <c r="D36" s="27">
        <f t="shared" si="3"/>
        <v>1.84</v>
      </c>
      <c r="E36" s="24">
        <f t="shared" si="17"/>
        <v>14</v>
      </c>
      <c r="F36" s="2">
        <f t="shared" si="18"/>
        <v>9</v>
      </c>
      <c r="G36" s="24">
        <f t="shared" si="19"/>
        <v>4</v>
      </c>
      <c r="H36" s="24">
        <f t="shared" si="20"/>
        <v>16</v>
      </c>
      <c r="I36" s="24">
        <f t="shared" si="21"/>
        <v>11</v>
      </c>
      <c r="J36" s="24">
        <f t="shared" si="22"/>
        <v>5</v>
      </c>
      <c r="K36" s="24">
        <f t="shared" si="23"/>
        <v>7</v>
      </c>
      <c r="L36" s="24">
        <f t="shared" si="24"/>
        <v>7</v>
      </c>
      <c r="M36" s="28">
        <f t="shared" si="25"/>
        <v>2</v>
      </c>
      <c r="N36" s="24">
        <v>0.0</v>
      </c>
      <c r="O36" s="27">
        <f t="shared" si="4"/>
        <v>1.68</v>
      </c>
      <c r="P36" s="24">
        <f t="shared" si="26"/>
        <v>18</v>
      </c>
      <c r="Q36" s="2">
        <f t="shared" si="27"/>
        <v>12</v>
      </c>
      <c r="R36" s="24">
        <f t="shared" si="28"/>
        <v>2</v>
      </c>
      <c r="S36" s="24">
        <f t="shared" si="29"/>
        <v>20</v>
      </c>
      <c r="T36" s="24">
        <f t="shared" si="30"/>
        <v>12</v>
      </c>
      <c r="U36" s="24">
        <f t="shared" si="31"/>
        <v>4</v>
      </c>
      <c r="V36" s="24">
        <f t="shared" si="32"/>
        <v>8</v>
      </c>
      <c r="W36" s="24">
        <f t="shared" si="33"/>
        <v>10</v>
      </c>
      <c r="X36" s="28">
        <f t="shared" si="34"/>
        <v>2</v>
      </c>
      <c r="Y36" s="24">
        <v>3.0</v>
      </c>
      <c r="Z36" s="27">
        <f t="shared" si="5"/>
        <v>1.88</v>
      </c>
      <c r="AA36" s="24">
        <f t="shared" si="35"/>
        <v>13</v>
      </c>
      <c r="AB36" s="2">
        <f t="shared" si="36"/>
        <v>11</v>
      </c>
      <c r="AC36" s="24">
        <f t="shared" si="37"/>
        <v>7</v>
      </c>
      <c r="AD36" s="24">
        <f t="shared" si="38"/>
        <v>18</v>
      </c>
      <c r="AE36" s="24">
        <f t="shared" si="39"/>
        <v>13</v>
      </c>
      <c r="AF36" s="24">
        <f t="shared" si="40"/>
        <v>4</v>
      </c>
      <c r="AG36" s="24">
        <f t="shared" si="41"/>
        <v>7</v>
      </c>
      <c r="AH36" s="24">
        <f t="shared" si="42"/>
        <v>6</v>
      </c>
      <c r="AI36" s="28">
        <f t="shared" si="43"/>
        <v>5</v>
      </c>
      <c r="AJ36" s="24">
        <v>0.0</v>
      </c>
      <c r="AK36" s="27">
        <f t="shared" si="6"/>
        <v>2.16</v>
      </c>
      <c r="AL36" s="24">
        <f t="shared" si="44"/>
        <v>14</v>
      </c>
      <c r="AM36" s="2">
        <f t="shared" si="45"/>
        <v>12</v>
      </c>
      <c r="AN36" s="24">
        <f t="shared" si="46"/>
        <v>5</v>
      </c>
      <c r="AO36" s="24">
        <f t="shared" si="47"/>
        <v>18</v>
      </c>
      <c r="AP36" s="24">
        <f t="shared" si="48"/>
        <v>13</v>
      </c>
      <c r="AQ36" s="24">
        <f t="shared" si="49"/>
        <v>3</v>
      </c>
      <c r="AR36" s="24">
        <f t="shared" si="50"/>
        <v>6</v>
      </c>
      <c r="AS36" s="24">
        <f t="shared" si="51"/>
        <v>8</v>
      </c>
      <c r="AT36" s="28">
        <f t="shared" si="52"/>
        <v>4</v>
      </c>
      <c r="AU36" s="24"/>
      <c r="AV36" s="27">
        <f t="shared" si="7"/>
        <v>1.166666667</v>
      </c>
      <c r="AW36" s="24">
        <f t="shared" si="53"/>
        <v>12</v>
      </c>
      <c r="AX36" s="2">
        <f t="shared" si="54"/>
        <v>3</v>
      </c>
      <c r="AY36" s="24">
        <f t="shared" si="55"/>
        <v>2</v>
      </c>
      <c r="AZ36" s="24">
        <f t="shared" si="56"/>
        <v>13</v>
      </c>
      <c r="BA36" s="24">
        <f t="shared" si="57"/>
        <v>4</v>
      </c>
      <c r="BB36" s="24">
        <f t="shared" si="58"/>
        <v>11</v>
      </c>
      <c r="BC36" s="24">
        <f t="shared" si="59"/>
        <v>10</v>
      </c>
      <c r="BD36" s="24">
        <f t="shared" si="60"/>
        <v>2</v>
      </c>
      <c r="BE36" s="28">
        <f t="shared" si="61"/>
        <v>1</v>
      </c>
      <c r="BF36" s="29">
        <f t="shared" ref="BF36:BO36" si="106">+(AK36+Z36+O36+D36)/4</f>
        <v>1.89</v>
      </c>
      <c r="BG36" s="24">
        <f t="shared" si="106"/>
        <v>14.75</v>
      </c>
      <c r="BH36" s="24">
        <f t="shared" si="106"/>
        <v>11</v>
      </c>
      <c r="BI36" s="24">
        <f t="shared" si="106"/>
        <v>4.5</v>
      </c>
      <c r="BJ36" s="24">
        <f t="shared" si="106"/>
        <v>18</v>
      </c>
      <c r="BK36" s="24">
        <f t="shared" si="106"/>
        <v>12.25</v>
      </c>
      <c r="BL36" s="24">
        <f t="shared" si="106"/>
        <v>4</v>
      </c>
      <c r="BM36" s="24">
        <f t="shared" si="106"/>
        <v>7</v>
      </c>
      <c r="BN36" s="24">
        <f t="shared" si="106"/>
        <v>7.75</v>
      </c>
      <c r="BO36" s="61">
        <f t="shared" si="106"/>
        <v>3.25</v>
      </c>
      <c r="BP36" s="30">
        <f t="shared" si="9"/>
        <v>-0.7233333333</v>
      </c>
      <c r="BQ36" s="31">
        <f t="shared" si="10"/>
        <v>0.16</v>
      </c>
      <c r="BR36" s="31">
        <f t="shared" si="11"/>
        <v>0.4</v>
      </c>
      <c r="BS36" s="31">
        <f t="shared" si="12"/>
        <v>0.08</v>
      </c>
      <c r="BT36" s="31">
        <f t="shared" si="13"/>
        <v>0.04</v>
      </c>
      <c r="BU36" s="31">
        <f t="shared" si="14"/>
        <v>0.04</v>
      </c>
      <c r="BV36" s="31">
        <f t="shared" si="15"/>
        <v>0.84</v>
      </c>
      <c r="BW36" s="31">
        <f t="shared" ref="BW36:BX36" si="107">+BR36+BS36+BT36</f>
        <v>0.52</v>
      </c>
      <c r="BX36" s="32">
        <f t="shared" si="107"/>
        <v>0.16</v>
      </c>
    </row>
    <row r="37" ht="15.75" customHeight="1">
      <c r="B37" s="33">
        <v>26.0</v>
      </c>
      <c r="C37" s="2">
        <v>4.0</v>
      </c>
      <c r="D37" s="3">
        <f t="shared" si="3"/>
        <v>1.923076923</v>
      </c>
      <c r="E37" s="2">
        <f t="shared" si="17"/>
        <v>14</v>
      </c>
      <c r="F37" s="2">
        <f t="shared" si="18"/>
        <v>9</v>
      </c>
      <c r="G37" s="2">
        <f t="shared" si="19"/>
        <v>5</v>
      </c>
      <c r="H37" s="2">
        <f t="shared" si="20"/>
        <v>16</v>
      </c>
      <c r="I37" s="2">
        <f t="shared" si="21"/>
        <v>12</v>
      </c>
      <c r="J37" s="2">
        <f t="shared" si="22"/>
        <v>5</v>
      </c>
      <c r="K37" s="2">
        <f t="shared" si="23"/>
        <v>7</v>
      </c>
      <c r="L37" s="2">
        <f t="shared" si="24"/>
        <v>7</v>
      </c>
      <c r="M37" s="34">
        <f t="shared" si="25"/>
        <v>2</v>
      </c>
      <c r="N37" s="2">
        <v>0.0</v>
      </c>
      <c r="O37" s="3">
        <f t="shared" si="4"/>
        <v>1.615384615</v>
      </c>
      <c r="P37" s="2">
        <f t="shared" si="26"/>
        <v>18</v>
      </c>
      <c r="Q37" s="2">
        <f t="shared" si="27"/>
        <v>12</v>
      </c>
      <c r="R37" s="2">
        <f t="shared" si="28"/>
        <v>2</v>
      </c>
      <c r="S37" s="2">
        <f t="shared" si="29"/>
        <v>20</v>
      </c>
      <c r="T37" s="2">
        <f t="shared" si="30"/>
        <v>12</v>
      </c>
      <c r="U37" s="2">
        <f t="shared" si="31"/>
        <v>5</v>
      </c>
      <c r="V37" s="2">
        <f t="shared" si="32"/>
        <v>8</v>
      </c>
      <c r="W37" s="2">
        <f t="shared" si="33"/>
        <v>10</v>
      </c>
      <c r="X37" s="34">
        <f t="shared" si="34"/>
        <v>2</v>
      </c>
      <c r="Y37" s="2">
        <v>1.0</v>
      </c>
      <c r="Z37" s="3">
        <f t="shared" si="5"/>
        <v>1.846153846</v>
      </c>
      <c r="AA37" s="2">
        <f t="shared" si="35"/>
        <v>14</v>
      </c>
      <c r="AB37" s="2">
        <f t="shared" si="36"/>
        <v>11</v>
      </c>
      <c r="AC37" s="2">
        <f t="shared" si="37"/>
        <v>7</v>
      </c>
      <c r="AD37" s="2">
        <f t="shared" si="38"/>
        <v>19</v>
      </c>
      <c r="AE37" s="2">
        <f t="shared" si="39"/>
        <v>13</v>
      </c>
      <c r="AF37" s="2">
        <f t="shared" si="40"/>
        <v>4</v>
      </c>
      <c r="AG37" s="2">
        <f t="shared" si="41"/>
        <v>8</v>
      </c>
      <c r="AH37" s="2">
        <f t="shared" si="42"/>
        <v>6</v>
      </c>
      <c r="AI37" s="34">
        <f t="shared" si="43"/>
        <v>5</v>
      </c>
      <c r="AJ37" s="2">
        <v>5.0</v>
      </c>
      <c r="AK37" s="3">
        <f t="shared" si="6"/>
        <v>2.269230769</v>
      </c>
      <c r="AL37" s="2">
        <f t="shared" si="44"/>
        <v>14</v>
      </c>
      <c r="AM37" s="2">
        <f t="shared" si="45"/>
        <v>12</v>
      </c>
      <c r="AN37" s="2">
        <f t="shared" si="46"/>
        <v>5</v>
      </c>
      <c r="AO37" s="2">
        <f t="shared" si="47"/>
        <v>18</v>
      </c>
      <c r="AP37" s="2">
        <f t="shared" si="48"/>
        <v>13</v>
      </c>
      <c r="AQ37" s="2">
        <f t="shared" si="49"/>
        <v>3</v>
      </c>
      <c r="AR37" s="2">
        <f t="shared" si="50"/>
        <v>6</v>
      </c>
      <c r="AS37" s="2">
        <f t="shared" si="51"/>
        <v>8</v>
      </c>
      <c r="AT37" s="34">
        <f t="shared" si="52"/>
        <v>4</v>
      </c>
      <c r="AU37" s="2"/>
      <c r="AV37" s="3">
        <f t="shared" si="7"/>
        <v>1.166666667</v>
      </c>
      <c r="AW37" s="2">
        <f t="shared" si="53"/>
        <v>12</v>
      </c>
      <c r="AX37" s="2">
        <f t="shared" si="54"/>
        <v>3</v>
      </c>
      <c r="AY37" s="2">
        <f t="shared" si="55"/>
        <v>2</v>
      </c>
      <c r="AZ37" s="2">
        <f t="shared" si="56"/>
        <v>13</v>
      </c>
      <c r="BA37" s="2">
        <f t="shared" si="57"/>
        <v>4</v>
      </c>
      <c r="BB37" s="2">
        <f t="shared" si="58"/>
        <v>12</v>
      </c>
      <c r="BC37" s="2">
        <f t="shared" si="59"/>
        <v>10</v>
      </c>
      <c r="BD37" s="2">
        <f t="shared" si="60"/>
        <v>2</v>
      </c>
      <c r="BE37" s="34">
        <f t="shared" si="61"/>
        <v>1</v>
      </c>
      <c r="BF37" s="36">
        <f t="shared" ref="BF37:BO37" si="108">+(AK37+Z37+O37+D37)/4</f>
        <v>1.913461538</v>
      </c>
      <c r="BG37" s="2">
        <f t="shared" si="108"/>
        <v>15</v>
      </c>
      <c r="BH37" s="2">
        <f t="shared" si="108"/>
        <v>11</v>
      </c>
      <c r="BI37" s="2">
        <f t="shared" si="108"/>
        <v>4.75</v>
      </c>
      <c r="BJ37" s="2">
        <f t="shared" si="108"/>
        <v>18.25</v>
      </c>
      <c r="BK37" s="2">
        <f t="shared" si="108"/>
        <v>12.5</v>
      </c>
      <c r="BL37" s="2">
        <f t="shared" si="108"/>
        <v>4.25</v>
      </c>
      <c r="BM37" s="2">
        <f t="shared" si="108"/>
        <v>7.25</v>
      </c>
      <c r="BN37" s="2">
        <f t="shared" si="108"/>
        <v>7.75</v>
      </c>
      <c r="BO37" s="62">
        <f t="shared" si="108"/>
        <v>3.25</v>
      </c>
      <c r="BP37" s="37">
        <f t="shared" si="9"/>
        <v>-0.7467948718</v>
      </c>
      <c r="BQ37" s="38">
        <f t="shared" si="10"/>
        <v>0.1538461538</v>
      </c>
      <c r="BR37" s="38">
        <f t="shared" si="11"/>
        <v>0.3846153846</v>
      </c>
      <c r="BS37" s="38">
        <f t="shared" si="12"/>
        <v>0.07692307692</v>
      </c>
      <c r="BT37" s="38">
        <f t="shared" si="13"/>
        <v>0.03846153846</v>
      </c>
      <c r="BU37" s="38">
        <f t="shared" si="14"/>
        <v>0.03846153846</v>
      </c>
      <c r="BV37" s="38">
        <f t="shared" si="15"/>
        <v>0.8461538462</v>
      </c>
      <c r="BW37" s="38">
        <f t="shared" ref="BW37:BX37" si="109">+BR37+BS37+BT37</f>
        <v>0.5</v>
      </c>
      <c r="BX37" s="39">
        <f t="shared" si="109"/>
        <v>0.1538461538</v>
      </c>
    </row>
    <row r="38" ht="15.75" customHeight="1">
      <c r="A38" s="60"/>
      <c r="B38" s="40">
        <v>27.0</v>
      </c>
      <c r="C38" s="24">
        <v>0.0</v>
      </c>
      <c r="D38" s="27">
        <f t="shared" si="3"/>
        <v>1.851851852</v>
      </c>
      <c r="E38" s="24">
        <f t="shared" si="17"/>
        <v>14</v>
      </c>
      <c r="F38" s="2">
        <f t="shared" si="18"/>
        <v>9</v>
      </c>
      <c r="G38" s="24">
        <f t="shared" si="19"/>
        <v>5</v>
      </c>
      <c r="H38" s="24">
        <f t="shared" si="20"/>
        <v>16</v>
      </c>
      <c r="I38" s="24">
        <f t="shared" si="21"/>
        <v>12</v>
      </c>
      <c r="J38" s="24">
        <f t="shared" si="22"/>
        <v>6</v>
      </c>
      <c r="K38" s="24">
        <f t="shared" si="23"/>
        <v>7</v>
      </c>
      <c r="L38" s="24">
        <f t="shared" si="24"/>
        <v>7</v>
      </c>
      <c r="M38" s="28">
        <f t="shared" si="25"/>
        <v>2</v>
      </c>
      <c r="N38" s="24">
        <v>2.0</v>
      </c>
      <c r="O38" s="27">
        <f t="shared" si="4"/>
        <v>1.62962963</v>
      </c>
      <c r="P38" s="24">
        <f t="shared" si="26"/>
        <v>19</v>
      </c>
      <c r="Q38" s="2">
        <f t="shared" si="27"/>
        <v>13</v>
      </c>
      <c r="R38" s="24">
        <f t="shared" si="28"/>
        <v>2</v>
      </c>
      <c r="S38" s="24">
        <f t="shared" si="29"/>
        <v>21</v>
      </c>
      <c r="T38" s="24">
        <f t="shared" si="30"/>
        <v>13</v>
      </c>
      <c r="U38" s="24">
        <f t="shared" si="31"/>
        <v>5</v>
      </c>
      <c r="V38" s="24">
        <f t="shared" si="32"/>
        <v>8</v>
      </c>
      <c r="W38" s="24">
        <f t="shared" si="33"/>
        <v>11</v>
      </c>
      <c r="X38" s="28">
        <f t="shared" si="34"/>
        <v>2</v>
      </c>
      <c r="Y38" s="24">
        <v>1.0</v>
      </c>
      <c r="Z38" s="27">
        <f t="shared" si="5"/>
        <v>1.814814815</v>
      </c>
      <c r="AA38" s="24">
        <f t="shared" si="35"/>
        <v>15</v>
      </c>
      <c r="AB38" s="2">
        <f t="shared" si="36"/>
        <v>11</v>
      </c>
      <c r="AC38" s="24">
        <f t="shared" si="37"/>
        <v>7</v>
      </c>
      <c r="AD38" s="24">
        <f t="shared" si="38"/>
        <v>20</v>
      </c>
      <c r="AE38" s="24">
        <f t="shared" si="39"/>
        <v>13</v>
      </c>
      <c r="AF38" s="24">
        <f t="shared" si="40"/>
        <v>4</v>
      </c>
      <c r="AG38" s="24">
        <f t="shared" si="41"/>
        <v>9</v>
      </c>
      <c r="AH38" s="24">
        <f t="shared" si="42"/>
        <v>6</v>
      </c>
      <c r="AI38" s="28">
        <f t="shared" si="43"/>
        <v>5</v>
      </c>
      <c r="AJ38" s="24">
        <v>0.0</v>
      </c>
      <c r="AK38" s="27">
        <f t="shared" si="6"/>
        <v>2.185185185</v>
      </c>
      <c r="AL38" s="24">
        <f t="shared" si="44"/>
        <v>14</v>
      </c>
      <c r="AM38" s="2">
        <f t="shared" si="45"/>
        <v>12</v>
      </c>
      <c r="AN38" s="24">
        <f t="shared" si="46"/>
        <v>5</v>
      </c>
      <c r="AO38" s="24">
        <f t="shared" si="47"/>
        <v>18</v>
      </c>
      <c r="AP38" s="24">
        <f t="shared" si="48"/>
        <v>13</v>
      </c>
      <c r="AQ38" s="24">
        <f t="shared" si="49"/>
        <v>4</v>
      </c>
      <c r="AR38" s="24">
        <f t="shared" si="50"/>
        <v>6</v>
      </c>
      <c r="AS38" s="24">
        <f t="shared" si="51"/>
        <v>8</v>
      </c>
      <c r="AT38" s="28">
        <f t="shared" si="52"/>
        <v>4</v>
      </c>
      <c r="AU38" s="24"/>
      <c r="AV38" s="27">
        <f t="shared" si="7"/>
        <v>1.166666667</v>
      </c>
      <c r="AW38" s="24">
        <f t="shared" si="53"/>
        <v>12</v>
      </c>
      <c r="AX38" s="2">
        <f t="shared" si="54"/>
        <v>3</v>
      </c>
      <c r="AY38" s="24">
        <f t="shared" si="55"/>
        <v>2</v>
      </c>
      <c r="AZ38" s="24">
        <f t="shared" si="56"/>
        <v>13</v>
      </c>
      <c r="BA38" s="24">
        <f t="shared" si="57"/>
        <v>4</v>
      </c>
      <c r="BB38" s="24">
        <f t="shared" si="58"/>
        <v>13</v>
      </c>
      <c r="BC38" s="24">
        <f t="shared" si="59"/>
        <v>10</v>
      </c>
      <c r="BD38" s="24">
        <f t="shared" si="60"/>
        <v>2</v>
      </c>
      <c r="BE38" s="28">
        <f t="shared" si="61"/>
        <v>1</v>
      </c>
      <c r="BF38" s="29">
        <f t="shared" ref="BF38:BO38" si="110">+(AK38+Z38+O38+D38)/4</f>
        <v>1.87037037</v>
      </c>
      <c r="BG38" s="24">
        <f t="shared" si="110"/>
        <v>15.5</v>
      </c>
      <c r="BH38" s="24">
        <f t="shared" si="110"/>
        <v>11.25</v>
      </c>
      <c r="BI38" s="24">
        <f t="shared" si="110"/>
        <v>4.75</v>
      </c>
      <c r="BJ38" s="24">
        <f t="shared" si="110"/>
        <v>18.75</v>
      </c>
      <c r="BK38" s="24">
        <f t="shared" si="110"/>
        <v>12.75</v>
      </c>
      <c r="BL38" s="24">
        <f t="shared" si="110"/>
        <v>4.75</v>
      </c>
      <c r="BM38" s="24">
        <f t="shared" si="110"/>
        <v>7.5</v>
      </c>
      <c r="BN38" s="24">
        <f t="shared" si="110"/>
        <v>8</v>
      </c>
      <c r="BO38" s="61">
        <f t="shared" si="110"/>
        <v>3.25</v>
      </c>
      <c r="BP38" s="30">
        <f t="shared" si="9"/>
        <v>-0.7037037037</v>
      </c>
      <c r="BQ38" s="31">
        <f t="shared" si="10"/>
        <v>0.1481481481</v>
      </c>
      <c r="BR38" s="31">
        <f t="shared" si="11"/>
        <v>0.3703703704</v>
      </c>
      <c r="BS38" s="31">
        <f t="shared" si="12"/>
        <v>0.07407407407</v>
      </c>
      <c r="BT38" s="31">
        <f t="shared" si="13"/>
        <v>0.03703703704</v>
      </c>
      <c r="BU38" s="31">
        <f t="shared" si="14"/>
        <v>0.03703703704</v>
      </c>
      <c r="BV38" s="31">
        <f t="shared" si="15"/>
        <v>0.8518518519</v>
      </c>
      <c r="BW38" s="31">
        <f t="shared" ref="BW38:BX38" si="111">+BR38+BS38+BT38</f>
        <v>0.4814814815</v>
      </c>
      <c r="BX38" s="32">
        <f t="shared" si="111"/>
        <v>0.1481481481</v>
      </c>
    </row>
    <row r="39" ht="15.75" customHeight="1">
      <c r="B39" s="33">
        <v>28.0</v>
      </c>
      <c r="C39" s="2">
        <v>0.0</v>
      </c>
      <c r="D39" s="3">
        <f t="shared" si="3"/>
        <v>1.785714286</v>
      </c>
      <c r="E39" s="2">
        <f t="shared" si="17"/>
        <v>14</v>
      </c>
      <c r="F39" s="2">
        <f t="shared" si="18"/>
        <v>9</v>
      </c>
      <c r="G39" s="2">
        <f t="shared" si="19"/>
        <v>5</v>
      </c>
      <c r="H39" s="2">
        <f t="shared" si="20"/>
        <v>16</v>
      </c>
      <c r="I39" s="2">
        <f t="shared" si="21"/>
        <v>12</v>
      </c>
      <c r="J39" s="2">
        <f t="shared" si="22"/>
        <v>7</v>
      </c>
      <c r="K39" s="2">
        <f t="shared" si="23"/>
        <v>7</v>
      </c>
      <c r="L39" s="2">
        <f t="shared" si="24"/>
        <v>7</v>
      </c>
      <c r="M39" s="34">
        <f t="shared" si="25"/>
        <v>2</v>
      </c>
      <c r="N39" s="2">
        <v>3.0</v>
      </c>
      <c r="O39" s="3">
        <f t="shared" si="4"/>
        <v>1.678571429</v>
      </c>
      <c r="P39" s="2">
        <f t="shared" si="26"/>
        <v>19</v>
      </c>
      <c r="Q39" s="2">
        <f t="shared" si="27"/>
        <v>14</v>
      </c>
      <c r="R39" s="2">
        <f t="shared" si="28"/>
        <v>3</v>
      </c>
      <c r="S39" s="2">
        <f t="shared" si="29"/>
        <v>22</v>
      </c>
      <c r="T39" s="2">
        <f t="shared" si="30"/>
        <v>14</v>
      </c>
      <c r="U39" s="2">
        <f t="shared" si="31"/>
        <v>5</v>
      </c>
      <c r="V39" s="2">
        <f t="shared" si="32"/>
        <v>8</v>
      </c>
      <c r="W39" s="2">
        <f t="shared" si="33"/>
        <v>11</v>
      </c>
      <c r="X39" s="34">
        <f t="shared" si="34"/>
        <v>3</v>
      </c>
      <c r="Y39" s="2">
        <v>2.0</v>
      </c>
      <c r="Z39" s="3">
        <f t="shared" si="5"/>
        <v>1.821428571</v>
      </c>
      <c r="AA39" s="2">
        <f t="shared" si="35"/>
        <v>16</v>
      </c>
      <c r="AB39" s="2">
        <f t="shared" si="36"/>
        <v>12</v>
      </c>
      <c r="AC39" s="2">
        <f t="shared" si="37"/>
        <v>7</v>
      </c>
      <c r="AD39" s="2">
        <f t="shared" si="38"/>
        <v>21</v>
      </c>
      <c r="AE39" s="2">
        <f t="shared" si="39"/>
        <v>14</v>
      </c>
      <c r="AF39" s="2">
        <f t="shared" si="40"/>
        <v>4</v>
      </c>
      <c r="AG39" s="2">
        <f t="shared" si="41"/>
        <v>9</v>
      </c>
      <c r="AH39" s="2">
        <f t="shared" si="42"/>
        <v>7</v>
      </c>
      <c r="AI39" s="34">
        <f t="shared" si="43"/>
        <v>5</v>
      </c>
      <c r="AJ39" s="2">
        <v>4.0</v>
      </c>
      <c r="AK39" s="3">
        <f t="shared" si="6"/>
        <v>2.25</v>
      </c>
      <c r="AL39" s="2">
        <f t="shared" si="44"/>
        <v>14</v>
      </c>
      <c r="AM39" s="2">
        <f t="shared" si="45"/>
        <v>12</v>
      </c>
      <c r="AN39" s="2">
        <f t="shared" si="46"/>
        <v>6</v>
      </c>
      <c r="AO39" s="2">
        <f t="shared" si="47"/>
        <v>18</v>
      </c>
      <c r="AP39" s="2">
        <f t="shared" si="48"/>
        <v>14</v>
      </c>
      <c r="AQ39" s="2">
        <f t="shared" si="49"/>
        <v>4</v>
      </c>
      <c r="AR39" s="2">
        <f t="shared" si="50"/>
        <v>6</v>
      </c>
      <c r="AS39" s="2">
        <f t="shared" si="51"/>
        <v>8</v>
      </c>
      <c r="AT39" s="34">
        <f t="shared" si="52"/>
        <v>4</v>
      </c>
      <c r="AU39" s="2"/>
      <c r="AV39" s="3">
        <f t="shared" si="7"/>
        <v>1.166666667</v>
      </c>
      <c r="AW39" s="2">
        <f t="shared" si="53"/>
        <v>12</v>
      </c>
      <c r="AX39" s="2">
        <f t="shared" si="54"/>
        <v>3</v>
      </c>
      <c r="AY39" s="2">
        <f t="shared" si="55"/>
        <v>2</v>
      </c>
      <c r="AZ39" s="2">
        <f t="shared" si="56"/>
        <v>13</v>
      </c>
      <c r="BA39" s="2">
        <f t="shared" si="57"/>
        <v>4</v>
      </c>
      <c r="BB39" s="2">
        <f t="shared" si="58"/>
        <v>14</v>
      </c>
      <c r="BC39" s="2">
        <f t="shared" si="59"/>
        <v>10</v>
      </c>
      <c r="BD39" s="2">
        <f t="shared" si="60"/>
        <v>2</v>
      </c>
      <c r="BE39" s="34">
        <f t="shared" si="61"/>
        <v>1</v>
      </c>
      <c r="BF39" s="36">
        <f t="shared" ref="BF39:BO39" si="112">+(AK39+Z39+O39+D39)/4</f>
        <v>1.883928571</v>
      </c>
      <c r="BG39" s="2">
        <f t="shared" si="112"/>
        <v>15.75</v>
      </c>
      <c r="BH39" s="2">
        <f t="shared" si="112"/>
        <v>11.75</v>
      </c>
      <c r="BI39" s="2">
        <f t="shared" si="112"/>
        <v>5.25</v>
      </c>
      <c r="BJ39" s="2">
        <f t="shared" si="112"/>
        <v>19.25</v>
      </c>
      <c r="BK39" s="2">
        <f t="shared" si="112"/>
        <v>13.5</v>
      </c>
      <c r="BL39" s="2">
        <f t="shared" si="112"/>
        <v>5</v>
      </c>
      <c r="BM39" s="2">
        <f t="shared" si="112"/>
        <v>7.5</v>
      </c>
      <c r="BN39" s="2">
        <f t="shared" si="112"/>
        <v>8.25</v>
      </c>
      <c r="BO39" s="62">
        <f t="shared" si="112"/>
        <v>3.5</v>
      </c>
      <c r="BP39" s="37">
        <f t="shared" si="9"/>
        <v>-0.7172619048</v>
      </c>
      <c r="BQ39" s="38">
        <f t="shared" si="10"/>
        <v>0.1428571429</v>
      </c>
      <c r="BR39" s="38">
        <f t="shared" si="11"/>
        <v>0.3571428571</v>
      </c>
      <c r="BS39" s="38">
        <f t="shared" si="12"/>
        <v>0.07142857143</v>
      </c>
      <c r="BT39" s="38">
        <f t="shared" si="13"/>
        <v>0.03571428571</v>
      </c>
      <c r="BU39" s="38">
        <f t="shared" si="14"/>
        <v>0.03571428571</v>
      </c>
      <c r="BV39" s="38">
        <f t="shared" si="15"/>
        <v>0.8571428571</v>
      </c>
      <c r="BW39" s="38">
        <f t="shared" ref="BW39:BX39" si="113">+BR39+BS39+BT39</f>
        <v>0.4642857143</v>
      </c>
      <c r="BX39" s="39">
        <f t="shared" si="113"/>
        <v>0.1428571429</v>
      </c>
    </row>
    <row r="40" ht="15.75" customHeight="1">
      <c r="A40" s="60"/>
      <c r="B40" s="40">
        <v>29.0</v>
      </c>
      <c r="C40" s="24">
        <v>1.0</v>
      </c>
      <c r="D40" s="27">
        <f t="shared" si="3"/>
        <v>1.75862069</v>
      </c>
      <c r="E40" s="24">
        <f t="shared" si="17"/>
        <v>15</v>
      </c>
      <c r="F40" s="2">
        <f t="shared" si="18"/>
        <v>9</v>
      </c>
      <c r="G40" s="24">
        <f t="shared" si="19"/>
        <v>5</v>
      </c>
      <c r="H40" s="24">
        <f t="shared" si="20"/>
        <v>17</v>
      </c>
      <c r="I40" s="24">
        <f t="shared" si="21"/>
        <v>12</v>
      </c>
      <c r="J40" s="24">
        <f t="shared" si="22"/>
        <v>7</v>
      </c>
      <c r="K40" s="24">
        <f t="shared" si="23"/>
        <v>8</v>
      </c>
      <c r="L40" s="24">
        <f t="shared" si="24"/>
        <v>7</v>
      </c>
      <c r="M40" s="28">
        <f t="shared" si="25"/>
        <v>2</v>
      </c>
      <c r="N40" s="24">
        <v>0.0</v>
      </c>
      <c r="O40" s="27">
        <f t="shared" si="4"/>
        <v>1.620689655</v>
      </c>
      <c r="P40" s="24">
        <f t="shared" si="26"/>
        <v>19</v>
      </c>
      <c r="Q40" s="2">
        <f t="shared" si="27"/>
        <v>14</v>
      </c>
      <c r="R40" s="24">
        <f t="shared" si="28"/>
        <v>3</v>
      </c>
      <c r="S40" s="24">
        <f t="shared" si="29"/>
        <v>22</v>
      </c>
      <c r="T40" s="24">
        <f t="shared" si="30"/>
        <v>14</v>
      </c>
      <c r="U40" s="24">
        <f t="shared" si="31"/>
        <v>6</v>
      </c>
      <c r="V40" s="24">
        <f t="shared" si="32"/>
        <v>8</v>
      </c>
      <c r="W40" s="24">
        <f t="shared" si="33"/>
        <v>11</v>
      </c>
      <c r="X40" s="28">
        <f t="shared" si="34"/>
        <v>3</v>
      </c>
      <c r="Y40" s="24">
        <v>2.0</v>
      </c>
      <c r="Z40" s="27">
        <f t="shared" si="5"/>
        <v>1.827586207</v>
      </c>
      <c r="AA40" s="24">
        <f t="shared" si="35"/>
        <v>17</v>
      </c>
      <c r="AB40" s="2">
        <f t="shared" si="36"/>
        <v>13</v>
      </c>
      <c r="AC40" s="24">
        <f t="shared" si="37"/>
        <v>7</v>
      </c>
      <c r="AD40" s="24">
        <f t="shared" si="38"/>
        <v>22</v>
      </c>
      <c r="AE40" s="24">
        <f t="shared" si="39"/>
        <v>15</v>
      </c>
      <c r="AF40" s="24">
        <f t="shared" si="40"/>
        <v>4</v>
      </c>
      <c r="AG40" s="24">
        <f t="shared" si="41"/>
        <v>9</v>
      </c>
      <c r="AH40" s="24">
        <f t="shared" si="42"/>
        <v>8</v>
      </c>
      <c r="AI40" s="28">
        <f t="shared" si="43"/>
        <v>5</v>
      </c>
      <c r="AJ40" s="24">
        <v>0.0</v>
      </c>
      <c r="AK40" s="27">
        <f t="shared" si="6"/>
        <v>2.172413793</v>
      </c>
      <c r="AL40" s="24">
        <f t="shared" si="44"/>
        <v>14</v>
      </c>
      <c r="AM40" s="2">
        <f t="shared" si="45"/>
        <v>12</v>
      </c>
      <c r="AN40" s="24">
        <f t="shared" si="46"/>
        <v>6</v>
      </c>
      <c r="AO40" s="24">
        <f t="shared" si="47"/>
        <v>18</v>
      </c>
      <c r="AP40" s="24">
        <f t="shared" si="48"/>
        <v>14</v>
      </c>
      <c r="AQ40" s="24">
        <f t="shared" si="49"/>
        <v>5</v>
      </c>
      <c r="AR40" s="24">
        <f t="shared" si="50"/>
        <v>6</v>
      </c>
      <c r="AS40" s="24">
        <f t="shared" si="51"/>
        <v>8</v>
      </c>
      <c r="AT40" s="28">
        <f t="shared" si="52"/>
        <v>4</v>
      </c>
      <c r="AU40" s="24"/>
      <c r="AV40" s="27">
        <f t="shared" si="7"/>
        <v>1.166666667</v>
      </c>
      <c r="AW40" s="24">
        <f t="shared" si="53"/>
        <v>12</v>
      </c>
      <c r="AX40" s="2">
        <f t="shared" si="54"/>
        <v>3</v>
      </c>
      <c r="AY40" s="24">
        <f t="shared" si="55"/>
        <v>2</v>
      </c>
      <c r="AZ40" s="24">
        <f t="shared" si="56"/>
        <v>13</v>
      </c>
      <c r="BA40" s="24">
        <f t="shared" si="57"/>
        <v>4</v>
      </c>
      <c r="BB40" s="24">
        <f t="shared" si="58"/>
        <v>15</v>
      </c>
      <c r="BC40" s="24">
        <f t="shared" si="59"/>
        <v>10</v>
      </c>
      <c r="BD40" s="24">
        <f t="shared" si="60"/>
        <v>2</v>
      </c>
      <c r="BE40" s="28">
        <f t="shared" si="61"/>
        <v>1</v>
      </c>
      <c r="BF40" s="29">
        <f t="shared" ref="BF40:BO40" si="114">+(AK40+Z40+O40+D40)/4</f>
        <v>1.844827586</v>
      </c>
      <c r="BG40" s="24">
        <f t="shared" si="114"/>
        <v>16.25</v>
      </c>
      <c r="BH40" s="24">
        <f t="shared" si="114"/>
        <v>12</v>
      </c>
      <c r="BI40" s="24">
        <f t="shared" si="114"/>
        <v>5.25</v>
      </c>
      <c r="BJ40" s="24">
        <f t="shared" si="114"/>
        <v>19.75</v>
      </c>
      <c r="BK40" s="24">
        <f t="shared" si="114"/>
        <v>13.75</v>
      </c>
      <c r="BL40" s="24">
        <f t="shared" si="114"/>
        <v>5.5</v>
      </c>
      <c r="BM40" s="24">
        <f t="shared" si="114"/>
        <v>7.75</v>
      </c>
      <c r="BN40" s="24">
        <f t="shared" si="114"/>
        <v>8.5</v>
      </c>
      <c r="BO40" s="61">
        <f t="shared" si="114"/>
        <v>3.5</v>
      </c>
      <c r="BP40" s="30">
        <f t="shared" si="9"/>
        <v>-0.6781609195</v>
      </c>
      <c r="BQ40" s="31">
        <f t="shared" si="10"/>
        <v>0.1379310345</v>
      </c>
      <c r="BR40" s="31">
        <f t="shared" si="11"/>
        <v>0.3448275862</v>
      </c>
      <c r="BS40" s="31">
        <f t="shared" si="12"/>
        <v>0.06896551724</v>
      </c>
      <c r="BT40" s="31">
        <f t="shared" si="13"/>
        <v>0.03448275862</v>
      </c>
      <c r="BU40" s="31">
        <f t="shared" si="14"/>
        <v>0.03448275862</v>
      </c>
      <c r="BV40" s="31">
        <f t="shared" si="15"/>
        <v>0.8620689655</v>
      </c>
      <c r="BW40" s="31">
        <f t="shared" ref="BW40:BX40" si="115">+BR40+BS40+BT40</f>
        <v>0.4482758621</v>
      </c>
      <c r="BX40" s="32">
        <f t="shared" si="115"/>
        <v>0.1379310345</v>
      </c>
    </row>
    <row r="41" ht="15.75" customHeight="1">
      <c r="B41" s="42">
        <v>30.0</v>
      </c>
      <c r="C41" s="43">
        <v>1.0</v>
      </c>
      <c r="D41" s="3">
        <f t="shared" si="3"/>
        <v>1.733333333</v>
      </c>
      <c r="E41" s="43">
        <f t="shared" si="17"/>
        <v>16</v>
      </c>
      <c r="F41" s="2">
        <f t="shared" si="18"/>
        <v>9</v>
      </c>
      <c r="G41" s="43">
        <f t="shared" si="19"/>
        <v>5</v>
      </c>
      <c r="H41" s="43">
        <f t="shared" si="20"/>
        <v>18</v>
      </c>
      <c r="I41" s="43">
        <f t="shared" si="21"/>
        <v>12</v>
      </c>
      <c r="J41" s="43">
        <f t="shared" si="22"/>
        <v>7</v>
      </c>
      <c r="K41" s="43">
        <f t="shared" si="23"/>
        <v>9</v>
      </c>
      <c r="L41" s="43">
        <f t="shared" si="24"/>
        <v>7</v>
      </c>
      <c r="M41" s="44">
        <f t="shared" si="25"/>
        <v>2</v>
      </c>
      <c r="N41" s="43">
        <v>1.0</v>
      </c>
      <c r="O41" s="3">
        <f t="shared" si="4"/>
        <v>1.6</v>
      </c>
      <c r="P41" s="43">
        <f t="shared" si="26"/>
        <v>20</v>
      </c>
      <c r="Q41" s="2">
        <f t="shared" si="27"/>
        <v>14</v>
      </c>
      <c r="R41" s="43">
        <f t="shared" si="28"/>
        <v>3</v>
      </c>
      <c r="S41" s="43">
        <f t="shared" si="29"/>
        <v>23</v>
      </c>
      <c r="T41" s="43">
        <f t="shared" si="30"/>
        <v>14</v>
      </c>
      <c r="U41" s="43">
        <f t="shared" si="31"/>
        <v>6</v>
      </c>
      <c r="V41" s="43">
        <f t="shared" si="32"/>
        <v>9</v>
      </c>
      <c r="W41" s="43">
        <f t="shared" si="33"/>
        <v>11</v>
      </c>
      <c r="X41" s="44">
        <f t="shared" si="34"/>
        <v>3</v>
      </c>
      <c r="Y41" s="43">
        <v>3.0</v>
      </c>
      <c r="Z41" s="3">
        <f t="shared" si="5"/>
        <v>1.866666667</v>
      </c>
      <c r="AA41" s="43">
        <f t="shared" si="35"/>
        <v>17</v>
      </c>
      <c r="AB41" s="2">
        <f t="shared" si="36"/>
        <v>14</v>
      </c>
      <c r="AC41" s="43">
        <f t="shared" si="37"/>
        <v>8</v>
      </c>
      <c r="AD41" s="43">
        <f t="shared" si="38"/>
        <v>23</v>
      </c>
      <c r="AE41" s="43">
        <f t="shared" si="39"/>
        <v>16</v>
      </c>
      <c r="AF41" s="43">
        <f t="shared" si="40"/>
        <v>4</v>
      </c>
      <c r="AG41" s="43">
        <f t="shared" si="41"/>
        <v>9</v>
      </c>
      <c r="AH41" s="43">
        <f t="shared" si="42"/>
        <v>8</v>
      </c>
      <c r="AI41" s="44">
        <f t="shared" si="43"/>
        <v>6</v>
      </c>
      <c r="AJ41" s="43">
        <v>0.0</v>
      </c>
      <c r="AK41" s="3">
        <f t="shared" si="6"/>
        <v>2.1</v>
      </c>
      <c r="AL41" s="43">
        <f t="shared" si="44"/>
        <v>14</v>
      </c>
      <c r="AM41" s="2">
        <f t="shared" si="45"/>
        <v>12</v>
      </c>
      <c r="AN41" s="43">
        <f t="shared" si="46"/>
        <v>6</v>
      </c>
      <c r="AO41" s="43">
        <f t="shared" si="47"/>
        <v>18</v>
      </c>
      <c r="AP41" s="43">
        <f t="shared" si="48"/>
        <v>14</v>
      </c>
      <c r="AQ41" s="43">
        <f t="shared" si="49"/>
        <v>6</v>
      </c>
      <c r="AR41" s="43">
        <f t="shared" si="50"/>
        <v>6</v>
      </c>
      <c r="AS41" s="43">
        <f t="shared" si="51"/>
        <v>8</v>
      </c>
      <c r="AT41" s="44">
        <f t="shared" si="52"/>
        <v>4</v>
      </c>
      <c r="AU41" s="43"/>
      <c r="AV41" s="3">
        <f t="shared" si="7"/>
        <v>1.166666667</v>
      </c>
      <c r="AW41" s="43">
        <f t="shared" si="53"/>
        <v>12</v>
      </c>
      <c r="AX41" s="2">
        <f t="shared" si="54"/>
        <v>3</v>
      </c>
      <c r="AY41" s="43">
        <f t="shared" si="55"/>
        <v>2</v>
      </c>
      <c r="AZ41" s="43">
        <f t="shared" si="56"/>
        <v>13</v>
      </c>
      <c r="BA41" s="43">
        <f t="shared" si="57"/>
        <v>4</v>
      </c>
      <c r="BB41" s="43">
        <f t="shared" si="58"/>
        <v>16</v>
      </c>
      <c r="BC41" s="43">
        <f t="shared" si="59"/>
        <v>10</v>
      </c>
      <c r="BD41" s="43">
        <f t="shared" si="60"/>
        <v>2</v>
      </c>
      <c r="BE41" s="44">
        <f t="shared" si="61"/>
        <v>1</v>
      </c>
      <c r="BF41" s="46">
        <f t="shared" ref="BF41:BO41" si="116">+(AK41+Z41+O41+D41)/4</f>
        <v>1.825</v>
      </c>
      <c r="BG41" s="43">
        <f t="shared" si="116"/>
        <v>16.75</v>
      </c>
      <c r="BH41" s="43">
        <f t="shared" si="116"/>
        <v>12.25</v>
      </c>
      <c r="BI41" s="43">
        <f t="shared" si="116"/>
        <v>5.5</v>
      </c>
      <c r="BJ41" s="43">
        <f t="shared" si="116"/>
        <v>20.5</v>
      </c>
      <c r="BK41" s="43">
        <f t="shared" si="116"/>
        <v>14</v>
      </c>
      <c r="BL41" s="43">
        <f t="shared" si="116"/>
        <v>5.75</v>
      </c>
      <c r="BM41" s="43">
        <f t="shared" si="116"/>
        <v>8.25</v>
      </c>
      <c r="BN41" s="43">
        <f t="shared" si="116"/>
        <v>8.5</v>
      </c>
      <c r="BO41" s="63">
        <f t="shared" si="116"/>
        <v>3.75</v>
      </c>
      <c r="BP41" s="37">
        <f t="shared" si="9"/>
        <v>-0.6583333333</v>
      </c>
      <c r="BQ41" s="38">
        <f t="shared" si="10"/>
        <v>0.1333333333</v>
      </c>
      <c r="BR41" s="38">
        <f t="shared" si="11"/>
        <v>0.3333333333</v>
      </c>
      <c r="BS41" s="38">
        <f t="shared" si="12"/>
        <v>0.06666666667</v>
      </c>
      <c r="BT41" s="38">
        <f t="shared" si="13"/>
        <v>0.03333333333</v>
      </c>
      <c r="BU41" s="38">
        <f t="shared" si="14"/>
        <v>0.03333333333</v>
      </c>
      <c r="BV41" s="38">
        <f t="shared" si="15"/>
        <v>0.8666666667</v>
      </c>
      <c r="BW41" s="38">
        <f t="shared" ref="BW41:BX41" si="117">+BR41+BS41+BT41</f>
        <v>0.4333333333</v>
      </c>
      <c r="BX41" s="39">
        <f t="shared" si="117"/>
        <v>0.1333333333</v>
      </c>
    </row>
    <row r="42" ht="15.75" customHeight="1">
      <c r="A42" s="60"/>
      <c r="B42" s="40">
        <v>31.0</v>
      </c>
      <c r="C42" s="24">
        <v>1.0</v>
      </c>
      <c r="D42" s="27">
        <f t="shared" si="3"/>
        <v>1.709677419</v>
      </c>
      <c r="E42" s="24">
        <f t="shared" si="17"/>
        <v>17</v>
      </c>
      <c r="F42" s="2">
        <f t="shared" si="18"/>
        <v>9</v>
      </c>
      <c r="G42" s="24">
        <f t="shared" si="19"/>
        <v>5</v>
      </c>
      <c r="H42" s="24">
        <f t="shared" si="20"/>
        <v>19</v>
      </c>
      <c r="I42" s="24">
        <f t="shared" si="21"/>
        <v>12</v>
      </c>
      <c r="J42" s="24">
        <f t="shared" si="22"/>
        <v>7</v>
      </c>
      <c r="K42" s="24">
        <f t="shared" si="23"/>
        <v>10</v>
      </c>
      <c r="L42" s="24">
        <f t="shared" si="24"/>
        <v>7</v>
      </c>
      <c r="M42" s="28">
        <f t="shared" si="25"/>
        <v>2</v>
      </c>
      <c r="N42" s="24">
        <v>3.0</v>
      </c>
      <c r="O42" s="27">
        <f t="shared" si="4"/>
        <v>1.64516129</v>
      </c>
      <c r="P42" s="24">
        <f t="shared" si="26"/>
        <v>20</v>
      </c>
      <c r="Q42" s="2">
        <f t="shared" si="27"/>
        <v>15</v>
      </c>
      <c r="R42" s="24">
        <f t="shared" si="28"/>
        <v>4</v>
      </c>
      <c r="S42" s="24">
        <f t="shared" si="29"/>
        <v>24</v>
      </c>
      <c r="T42" s="24">
        <f t="shared" si="30"/>
        <v>15</v>
      </c>
      <c r="U42" s="24">
        <f t="shared" si="31"/>
        <v>6</v>
      </c>
      <c r="V42" s="24">
        <f t="shared" si="32"/>
        <v>9</v>
      </c>
      <c r="W42" s="24">
        <f t="shared" si="33"/>
        <v>11</v>
      </c>
      <c r="X42" s="28">
        <f t="shared" si="34"/>
        <v>4</v>
      </c>
      <c r="Y42" s="24">
        <v>1.0</v>
      </c>
      <c r="Z42" s="27">
        <f t="shared" si="5"/>
        <v>1.838709677</v>
      </c>
      <c r="AA42" s="24">
        <f t="shared" si="35"/>
        <v>18</v>
      </c>
      <c r="AB42" s="2">
        <f t="shared" si="36"/>
        <v>14</v>
      </c>
      <c r="AC42" s="24">
        <f t="shared" si="37"/>
        <v>8</v>
      </c>
      <c r="AD42" s="24">
        <f t="shared" si="38"/>
        <v>24</v>
      </c>
      <c r="AE42" s="24">
        <f t="shared" si="39"/>
        <v>16</v>
      </c>
      <c r="AF42" s="24">
        <f t="shared" si="40"/>
        <v>4</v>
      </c>
      <c r="AG42" s="24">
        <f t="shared" si="41"/>
        <v>10</v>
      </c>
      <c r="AH42" s="24">
        <f t="shared" si="42"/>
        <v>8</v>
      </c>
      <c r="AI42" s="28">
        <f t="shared" si="43"/>
        <v>6</v>
      </c>
      <c r="AJ42" s="24">
        <v>0.0</v>
      </c>
      <c r="AK42" s="27">
        <f t="shared" si="6"/>
        <v>2.032258065</v>
      </c>
      <c r="AL42" s="24">
        <f t="shared" si="44"/>
        <v>14</v>
      </c>
      <c r="AM42" s="2">
        <f t="shared" si="45"/>
        <v>12</v>
      </c>
      <c r="AN42" s="24">
        <f t="shared" si="46"/>
        <v>6</v>
      </c>
      <c r="AO42" s="24">
        <f t="shared" si="47"/>
        <v>18</v>
      </c>
      <c r="AP42" s="24">
        <f t="shared" si="48"/>
        <v>14</v>
      </c>
      <c r="AQ42" s="24">
        <f t="shared" si="49"/>
        <v>7</v>
      </c>
      <c r="AR42" s="24">
        <f t="shared" si="50"/>
        <v>6</v>
      </c>
      <c r="AS42" s="24">
        <f t="shared" si="51"/>
        <v>8</v>
      </c>
      <c r="AT42" s="28">
        <f t="shared" si="52"/>
        <v>4</v>
      </c>
      <c r="AU42" s="24"/>
      <c r="AV42" s="27">
        <f t="shared" si="7"/>
        <v>1.166666667</v>
      </c>
      <c r="AW42" s="24">
        <f t="shared" si="53"/>
        <v>12</v>
      </c>
      <c r="AX42" s="2">
        <f t="shared" si="54"/>
        <v>3</v>
      </c>
      <c r="AY42" s="24">
        <f t="shared" si="55"/>
        <v>2</v>
      </c>
      <c r="AZ42" s="24">
        <f t="shared" si="56"/>
        <v>13</v>
      </c>
      <c r="BA42" s="24">
        <f t="shared" si="57"/>
        <v>4</v>
      </c>
      <c r="BB42" s="24">
        <f t="shared" si="58"/>
        <v>17</v>
      </c>
      <c r="BC42" s="24">
        <f t="shared" si="59"/>
        <v>10</v>
      </c>
      <c r="BD42" s="24">
        <f t="shared" si="60"/>
        <v>2</v>
      </c>
      <c r="BE42" s="28">
        <f t="shared" si="61"/>
        <v>1</v>
      </c>
      <c r="BF42" s="29">
        <f t="shared" ref="BF42:BO42" si="118">+(AK42+Z42+O42+D42)/4</f>
        <v>1.806451613</v>
      </c>
      <c r="BG42" s="24">
        <f t="shared" si="118"/>
        <v>17.25</v>
      </c>
      <c r="BH42" s="24">
        <f t="shared" si="118"/>
        <v>12.5</v>
      </c>
      <c r="BI42" s="24">
        <f t="shared" si="118"/>
        <v>5.75</v>
      </c>
      <c r="BJ42" s="24">
        <f t="shared" si="118"/>
        <v>21.25</v>
      </c>
      <c r="BK42" s="24">
        <f t="shared" si="118"/>
        <v>14.25</v>
      </c>
      <c r="BL42" s="24">
        <f t="shared" si="118"/>
        <v>6</v>
      </c>
      <c r="BM42" s="24">
        <f t="shared" si="118"/>
        <v>8.75</v>
      </c>
      <c r="BN42" s="24">
        <f t="shared" si="118"/>
        <v>8.5</v>
      </c>
      <c r="BO42" s="61">
        <f t="shared" si="118"/>
        <v>4</v>
      </c>
      <c r="BP42" s="30">
        <f t="shared" si="9"/>
        <v>-0.6397849462</v>
      </c>
      <c r="BQ42" s="31">
        <f t="shared" si="10"/>
        <v>0.1290322581</v>
      </c>
      <c r="BR42" s="31">
        <f t="shared" si="11"/>
        <v>0.3225806452</v>
      </c>
      <c r="BS42" s="31">
        <f t="shared" si="12"/>
        <v>0.06451612903</v>
      </c>
      <c r="BT42" s="31">
        <f t="shared" si="13"/>
        <v>0.03225806452</v>
      </c>
      <c r="BU42" s="31">
        <f t="shared" si="14"/>
        <v>0.03225806452</v>
      </c>
      <c r="BV42" s="31">
        <f t="shared" si="15"/>
        <v>0.8709677419</v>
      </c>
      <c r="BW42" s="31">
        <f t="shared" ref="BW42:BX42" si="119">+BR42+BS42+BT42</f>
        <v>0.4193548387</v>
      </c>
      <c r="BX42" s="32">
        <f t="shared" si="119"/>
        <v>0.1290322581</v>
      </c>
    </row>
    <row r="43" ht="15.75" customHeight="1">
      <c r="B43" s="33">
        <v>32.0</v>
      </c>
      <c r="C43" s="2">
        <v>1.0</v>
      </c>
      <c r="D43" s="3">
        <f t="shared" si="3"/>
        <v>1.6875</v>
      </c>
      <c r="E43" s="2">
        <f t="shared" si="17"/>
        <v>18</v>
      </c>
      <c r="F43" s="2">
        <f t="shared" si="18"/>
        <v>9</v>
      </c>
      <c r="G43" s="2">
        <f t="shared" si="19"/>
        <v>5</v>
      </c>
      <c r="H43" s="2">
        <f t="shared" si="20"/>
        <v>20</v>
      </c>
      <c r="I43" s="2">
        <f t="shared" si="21"/>
        <v>12</v>
      </c>
      <c r="J43" s="2">
        <f t="shared" si="22"/>
        <v>7</v>
      </c>
      <c r="K43" s="2">
        <f t="shared" si="23"/>
        <v>11</v>
      </c>
      <c r="L43" s="2">
        <f t="shared" si="24"/>
        <v>7</v>
      </c>
      <c r="M43" s="34">
        <f t="shared" si="25"/>
        <v>2</v>
      </c>
      <c r="N43" s="2">
        <v>2.0</v>
      </c>
      <c r="O43" s="3">
        <f t="shared" si="4"/>
        <v>1.65625</v>
      </c>
      <c r="P43" s="2">
        <f t="shared" si="26"/>
        <v>21</v>
      </c>
      <c r="Q43" s="2">
        <f t="shared" si="27"/>
        <v>16</v>
      </c>
      <c r="R43" s="2">
        <f t="shared" si="28"/>
        <v>4</v>
      </c>
      <c r="S43" s="2">
        <f t="shared" si="29"/>
        <v>25</v>
      </c>
      <c r="T43" s="2">
        <f t="shared" si="30"/>
        <v>16</v>
      </c>
      <c r="U43" s="2">
        <f t="shared" si="31"/>
        <v>6</v>
      </c>
      <c r="V43" s="2">
        <f t="shared" si="32"/>
        <v>9</v>
      </c>
      <c r="W43" s="2">
        <f t="shared" si="33"/>
        <v>12</v>
      </c>
      <c r="X43" s="34">
        <f t="shared" si="34"/>
        <v>4</v>
      </c>
      <c r="Y43" s="2">
        <v>2.0</v>
      </c>
      <c r="Z43" s="3">
        <f t="shared" si="5"/>
        <v>1.84375</v>
      </c>
      <c r="AA43" s="2">
        <f t="shared" si="35"/>
        <v>19</v>
      </c>
      <c r="AB43" s="2">
        <f t="shared" si="36"/>
        <v>15</v>
      </c>
      <c r="AC43" s="2">
        <f t="shared" si="37"/>
        <v>8</v>
      </c>
      <c r="AD43" s="2">
        <f t="shared" si="38"/>
        <v>25</v>
      </c>
      <c r="AE43" s="2">
        <f t="shared" si="39"/>
        <v>17</v>
      </c>
      <c r="AF43" s="2">
        <f t="shared" si="40"/>
        <v>4</v>
      </c>
      <c r="AG43" s="2">
        <f t="shared" si="41"/>
        <v>10</v>
      </c>
      <c r="AH43" s="2">
        <f t="shared" si="42"/>
        <v>9</v>
      </c>
      <c r="AI43" s="34">
        <f t="shared" si="43"/>
        <v>6</v>
      </c>
      <c r="AJ43" s="2">
        <v>2.0</v>
      </c>
      <c r="AK43" s="3">
        <f t="shared" si="6"/>
        <v>2.03125</v>
      </c>
      <c r="AL43" s="2">
        <f t="shared" si="44"/>
        <v>15</v>
      </c>
      <c r="AM43" s="2">
        <f t="shared" si="45"/>
        <v>13</v>
      </c>
      <c r="AN43" s="2">
        <f t="shared" si="46"/>
        <v>6</v>
      </c>
      <c r="AO43" s="2">
        <f t="shared" si="47"/>
        <v>19</v>
      </c>
      <c r="AP43" s="2">
        <f t="shared" si="48"/>
        <v>15</v>
      </c>
      <c r="AQ43" s="2">
        <f t="shared" si="49"/>
        <v>7</v>
      </c>
      <c r="AR43" s="2">
        <f t="shared" si="50"/>
        <v>6</v>
      </c>
      <c r="AS43" s="2">
        <f t="shared" si="51"/>
        <v>9</v>
      </c>
      <c r="AT43" s="34">
        <f t="shared" si="52"/>
        <v>4</v>
      </c>
      <c r="AU43" s="2"/>
      <c r="AV43" s="3">
        <f t="shared" si="7"/>
        <v>1.166666667</v>
      </c>
      <c r="AW43" s="2">
        <f t="shared" si="53"/>
        <v>12</v>
      </c>
      <c r="AX43" s="2">
        <f t="shared" si="54"/>
        <v>3</v>
      </c>
      <c r="AY43" s="2">
        <f t="shared" si="55"/>
        <v>2</v>
      </c>
      <c r="AZ43" s="2">
        <f t="shared" si="56"/>
        <v>13</v>
      </c>
      <c r="BA43" s="2">
        <f t="shared" si="57"/>
        <v>4</v>
      </c>
      <c r="BB43" s="2">
        <f t="shared" si="58"/>
        <v>18</v>
      </c>
      <c r="BC43" s="2">
        <f t="shared" si="59"/>
        <v>10</v>
      </c>
      <c r="BD43" s="2">
        <f t="shared" si="60"/>
        <v>2</v>
      </c>
      <c r="BE43" s="34">
        <f t="shared" si="61"/>
        <v>1</v>
      </c>
      <c r="BF43" s="36">
        <f t="shared" ref="BF43:BO43" si="120">+(AK43+Z43+O43+D43)/4</f>
        <v>1.8046875</v>
      </c>
      <c r="BG43" s="2">
        <f t="shared" si="120"/>
        <v>18.25</v>
      </c>
      <c r="BH43" s="2">
        <f t="shared" si="120"/>
        <v>13.25</v>
      </c>
      <c r="BI43" s="2">
        <f t="shared" si="120"/>
        <v>5.75</v>
      </c>
      <c r="BJ43" s="2">
        <f t="shared" si="120"/>
        <v>22.25</v>
      </c>
      <c r="BK43" s="2">
        <f t="shared" si="120"/>
        <v>15</v>
      </c>
      <c r="BL43" s="2">
        <f t="shared" si="120"/>
        <v>6</v>
      </c>
      <c r="BM43" s="2">
        <f t="shared" si="120"/>
        <v>9</v>
      </c>
      <c r="BN43" s="2">
        <f t="shared" si="120"/>
        <v>9.25</v>
      </c>
      <c r="BO43" s="62">
        <f t="shared" si="120"/>
        <v>4</v>
      </c>
      <c r="BP43" s="37">
        <f t="shared" si="9"/>
        <v>-0.6380208333</v>
      </c>
      <c r="BQ43" s="38">
        <f t="shared" si="10"/>
        <v>0.125</v>
      </c>
      <c r="BR43" s="38">
        <f t="shared" si="11"/>
        <v>0.3125</v>
      </c>
      <c r="BS43" s="38">
        <f t="shared" si="12"/>
        <v>0.0625</v>
      </c>
      <c r="BT43" s="38">
        <f t="shared" si="13"/>
        <v>0.03125</v>
      </c>
      <c r="BU43" s="38">
        <f t="shared" si="14"/>
        <v>0.03125</v>
      </c>
      <c r="BV43" s="38">
        <f t="shared" si="15"/>
        <v>0.875</v>
      </c>
      <c r="BW43" s="38">
        <f t="shared" ref="BW43:BX43" si="121">+BR43+BS43+BT43</f>
        <v>0.40625</v>
      </c>
      <c r="BX43" s="39">
        <f t="shared" si="121"/>
        <v>0.125</v>
      </c>
    </row>
    <row r="44" ht="15.75" customHeight="1">
      <c r="A44" s="60"/>
      <c r="B44" s="40">
        <v>33.0</v>
      </c>
      <c r="C44" s="24">
        <v>3.0</v>
      </c>
      <c r="D44" s="27">
        <f t="shared" si="3"/>
        <v>1.727272727</v>
      </c>
      <c r="E44" s="24">
        <f t="shared" si="17"/>
        <v>18</v>
      </c>
      <c r="F44" s="2">
        <f t="shared" si="18"/>
        <v>10</v>
      </c>
      <c r="G44" s="24">
        <f t="shared" si="19"/>
        <v>6</v>
      </c>
      <c r="H44" s="24">
        <f t="shared" si="20"/>
        <v>21</v>
      </c>
      <c r="I44" s="24">
        <f t="shared" si="21"/>
        <v>13</v>
      </c>
      <c r="J44" s="24">
        <f t="shared" si="22"/>
        <v>7</v>
      </c>
      <c r="K44" s="24">
        <f t="shared" si="23"/>
        <v>11</v>
      </c>
      <c r="L44" s="24">
        <f t="shared" si="24"/>
        <v>7</v>
      </c>
      <c r="M44" s="28">
        <f t="shared" si="25"/>
        <v>3</v>
      </c>
      <c r="N44" s="24">
        <v>3.0</v>
      </c>
      <c r="O44" s="27">
        <f t="shared" si="4"/>
        <v>1.696969697</v>
      </c>
      <c r="P44" s="24">
        <f t="shared" si="26"/>
        <v>21</v>
      </c>
      <c r="Q44" s="2">
        <f t="shared" si="27"/>
        <v>17</v>
      </c>
      <c r="R44" s="24">
        <f t="shared" si="28"/>
        <v>5</v>
      </c>
      <c r="S44" s="24">
        <f t="shared" si="29"/>
        <v>26</v>
      </c>
      <c r="T44" s="24">
        <f t="shared" si="30"/>
        <v>17</v>
      </c>
      <c r="U44" s="24">
        <f t="shared" si="31"/>
        <v>6</v>
      </c>
      <c r="V44" s="24">
        <f t="shared" si="32"/>
        <v>9</v>
      </c>
      <c r="W44" s="24">
        <f t="shared" si="33"/>
        <v>12</v>
      </c>
      <c r="X44" s="28">
        <f t="shared" si="34"/>
        <v>5</v>
      </c>
      <c r="Y44" s="24">
        <v>2.0</v>
      </c>
      <c r="Z44" s="27">
        <f t="shared" si="5"/>
        <v>1.848484848</v>
      </c>
      <c r="AA44" s="24">
        <f t="shared" si="35"/>
        <v>20</v>
      </c>
      <c r="AB44" s="2">
        <f t="shared" si="36"/>
        <v>16</v>
      </c>
      <c r="AC44" s="24">
        <f t="shared" si="37"/>
        <v>8</v>
      </c>
      <c r="AD44" s="24">
        <f t="shared" si="38"/>
        <v>26</v>
      </c>
      <c r="AE44" s="24">
        <f t="shared" si="39"/>
        <v>18</v>
      </c>
      <c r="AF44" s="24">
        <f t="shared" si="40"/>
        <v>4</v>
      </c>
      <c r="AG44" s="24">
        <f t="shared" si="41"/>
        <v>10</v>
      </c>
      <c r="AH44" s="24">
        <f t="shared" si="42"/>
        <v>10</v>
      </c>
      <c r="AI44" s="28">
        <f t="shared" si="43"/>
        <v>6</v>
      </c>
      <c r="AJ44" s="24">
        <v>1.0</v>
      </c>
      <c r="AK44" s="27">
        <f t="shared" si="6"/>
        <v>2</v>
      </c>
      <c r="AL44" s="24">
        <f t="shared" si="44"/>
        <v>16</v>
      </c>
      <c r="AM44" s="2">
        <f t="shared" si="45"/>
        <v>13</v>
      </c>
      <c r="AN44" s="24">
        <f t="shared" si="46"/>
        <v>6</v>
      </c>
      <c r="AO44" s="24">
        <f t="shared" si="47"/>
        <v>20</v>
      </c>
      <c r="AP44" s="24">
        <f t="shared" si="48"/>
        <v>15</v>
      </c>
      <c r="AQ44" s="24">
        <f t="shared" si="49"/>
        <v>7</v>
      </c>
      <c r="AR44" s="24">
        <f t="shared" si="50"/>
        <v>7</v>
      </c>
      <c r="AS44" s="24">
        <f t="shared" si="51"/>
        <v>9</v>
      </c>
      <c r="AT44" s="28">
        <f t="shared" si="52"/>
        <v>4</v>
      </c>
      <c r="AU44" s="24"/>
      <c r="AV44" s="27">
        <f t="shared" si="7"/>
        <v>1.166666667</v>
      </c>
      <c r="AW44" s="24">
        <f t="shared" si="53"/>
        <v>12</v>
      </c>
      <c r="AX44" s="2">
        <f t="shared" si="54"/>
        <v>3</v>
      </c>
      <c r="AY44" s="24">
        <f t="shared" si="55"/>
        <v>2</v>
      </c>
      <c r="AZ44" s="24">
        <f t="shared" si="56"/>
        <v>13</v>
      </c>
      <c r="BA44" s="24">
        <f t="shared" si="57"/>
        <v>4</v>
      </c>
      <c r="BB44" s="24">
        <f t="shared" si="58"/>
        <v>19</v>
      </c>
      <c r="BC44" s="24">
        <f t="shared" si="59"/>
        <v>10</v>
      </c>
      <c r="BD44" s="24">
        <f t="shared" si="60"/>
        <v>2</v>
      </c>
      <c r="BE44" s="28">
        <f t="shared" si="61"/>
        <v>1</v>
      </c>
      <c r="BF44" s="29">
        <f t="shared" ref="BF44:BO44" si="122">+(AK44+Z44+O44+D44)/4</f>
        <v>1.818181818</v>
      </c>
      <c r="BG44" s="24">
        <f t="shared" si="122"/>
        <v>18.75</v>
      </c>
      <c r="BH44" s="24">
        <f t="shared" si="122"/>
        <v>14</v>
      </c>
      <c r="BI44" s="24">
        <f t="shared" si="122"/>
        <v>6.25</v>
      </c>
      <c r="BJ44" s="24">
        <f t="shared" si="122"/>
        <v>23.25</v>
      </c>
      <c r="BK44" s="24">
        <f t="shared" si="122"/>
        <v>15.75</v>
      </c>
      <c r="BL44" s="24">
        <f t="shared" si="122"/>
        <v>6</v>
      </c>
      <c r="BM44" s="24">
        <f t="shared" si="122"/>
        <v>9.25</v>
      </c>
      <c r="BN44" s="24">
        <f t="shared" si="122"/>
        <v>9.5</v>
      </c>
      <c r="BO44" s="61">
        <f t="shared" si="122"/>
        <v>4.5</v>
      </c>
      <c r="BP44" s="30">
        <f t="shared" si="9"/>
        <v>-0.6515151515</v>
      </c>
      <c r="BQ44" s="31">
        <f t="shared" si="10"/>
        <v>0.1212121212</v>
      </c>
      <c r="BR44" s="31">
        <f t="shared" si="11"/>
        <v>0.303030303</v>
      </c>
      <c r="BS44" s="31">
        <f t="shared" si="12"/>
        <v>0.06060606061</v>
      </c>
      <c r="BT44" s="31">
        <f t="shared" si="13"/>
        <v>0.0303030303</v>
      </c>
      <c r="BU44" s="31">
        <f t="shared" si="14"/>
        <v>0.0303030303</v>
      </c>
      <c r="BV44" s="31">
        <f t="shared" si="15"/>
        <v>0.8787878788</v>
      </c>
      <c r="BW44" s="31">
        <f t="shared" ref="BW44:BX44" si="123">+BR44+BS44+BT44</f>
        <v>0.3939393939</v>
      </c>
      <c r="BX44" s="32">
        <f t="shared" si="123"/>
        <v>0.1212121212</v>
      </c>
    </row>
    <row r="45" ht="15.75" customHeight="1">
      <c r="B45" s="33">
        <v>34.0</v>
      </c>
      <c r="C45" s="2">
        <v>4.0</v>
      </c>
      <c r="D45" s="3">
        <f t="shared" si="3"/>
        <v>1.794117647</v>
      </c>
      <c r="E45" s="2">
        <f t="shared" si="17"/>
        <v>18</v>
      </c>
      <c r="F45" s="2">
        <f t="shared" si="18"/>
        <v>10</v>
      </c>
      <c r="G45" s="2">
        <f t="shared" si="19"/>
        <v>7</v>
      </c>
      <c r="H45" s="2">
        <f t="shared" si="20"/>
        <v>21</v>
      </c>
      <c r="I45" s="2">
        <f t="shared" si="21"/>
        <v>14</v>
      </c>
      <c r="J45" s="2">
        <f t="shared" si="22"/>
        <v>7</v>
      </c>
      <c r="K45" s="2">
        <f t="shared" si="23"/>
        <v>11</v>
      </c>
      <c r="L45" s="2">
        <f t="shared" si="24"/>
        <v>7</v>
      </c>
      <c r="M45" s="34">
        <f t="shared" si="25"/>
        <v>3</v>
      </c>
      <c r="N45" s="2">
        <v>0.0</v>
      </c>
      <c r="O45" s="3">
        <f t="shared" si="4"/>
        <v>1.647058824</v>
      </c>
      <c r="P45" s="2">
        <f t="shared" si="26"/>
        <v>21</v>
      </c>
      <c r="Q45" s="2">
        <f t="shared" si="27"/>
        <v>17</v>
      </c>
      <c r="R45" s="2">
        <f t="shared" si="28"/>
        <v>5</v>
      </c>
      <c r="S45" s="2">
        <f t="shared" si="29"/>
        <v>26</v>
      </c>
      <c r="T45" s="2">
        <f t="shared" si="30"/>
        <v>17</v>
      </c>
      <c r="U45" s="2">
        <f t="shared" si="31"/>
        <v>7</v>
      </c>
      <c r="V45" s="2">
        <f t="shared" si="32"/>
        <v>9</v>
      </c>
      <c r="W45" s="2">
        <f t="shared" si="33"/>
        <v>12</v>
      </c>
      <c r="X45" s="34">
        <f t="shared" si="34"/>
        <v>5</v>
      </c>
      <c r="Y45" s="2">
        <v>2.0</v>
      </c>
      <c r="Z45" s="3">
        <f t="shared" si="5"/>
        <v>1.852941176</v>
      </c>
      <c r="AA45" s="2">
        <f t="shared" si="35"/>
        <v>21</v>
      </c>
      <c r="AB45" s="2">
        <f t="shared" si="36"/>
        <v>17</v>
      </c>
      <c r="AC45" s="2">
        <f t="shared" si="37"/>
        <v>8</v>
      </c>
      <c r="AD45" s="2">
        <f t="shared" si="38"/>
        <v>27</v>
      </c>
      <c r="AE45" s="2">
        <f t="shared" si="39"/>
        <v>19</v>
      </c>
      <c r="AF45" s="2">
        <f t="shared" si="40"/>
        <v>4</v>
      </c>
      <c r="AG45" s="2">
        <f t="shared" si="41"/>
        <v>10</v>
      </c>
      <c r="AH45" s="2">
        <f t="shared" si="42"/>
        <v>11</v>
      </c>
      <c r="AI45" s="34">
        <f t="shared" si="43"/>
        <v>6</v>
      </c>
      <c r="AJ45" s="2">
        <v>1.0</v>
      </c>
      <c r="AK45" s="3">
        <f t="shared" si="6"/>
        <v>1.970588235</v>
      </c>
      <c r="AL45" s="2">
        <f t="shared" si="44"/>
        <v>17</v>
      </c>
      <c r="AM45" s="2">
        <f t="shared" si="45"/>
        <v>13</v>
      </c>
      <c r="AN45" s="2">
        <f t="shared" si="46"/>
        <v>6</v>
      </c>
      <c r="AO45" s="2">
        <f t="shared" si="47"/>
        <v>21</v>
      </c>
      <c r="AP45" s="2">
        <f t="shared" si="48"/>
        <v>15</v>
      </c>
      <c r="AQ45" s="2">
        <f t="shared" si="49"/>
        <v>7</v>
      </c>
      <c r="AR45" s="2">
        <f t="shared" si="50"/>
        <v>8</v>
      </c>
      <c r="AS45" s="2">
        <f t="shared" si="51"/>
        <v>9</v>
      </c>
      <c r="AT45" s="34">
        <f t="shared" si="52"/>
        <v>4</v>
      </c>
      <c r="AU45" s="2"/>
      <c r="AV45" s="3">
        <f t="shared" si="7"/>
        <v>1.166666667</v>
      </c>
      <c r="AW45" s="2">
        <f t="shared" si="53"/>
        <v>12</v>
      </c>
      <c r="AX45" s="2">
        <f t="shared" si="54"/>
        <v>3</v>
      </c>
      <c r="AY45" s="2">
        <f t="shared" si="55"/>
        <v>2</v>
      </c>
      <c r="AZ45" s="2">
        <f t="shared" si="56"/>
        <v>13</v>
      </c>
      <c r="BA45" s="2">
        <f t="shared" si="57"/>
        <v>4</v>
      </c>
      <c r="BB45" s="2">
        <f t="shared" si="58"/>
        <v>20</v>
      </c>
      <c r="BC45" s="2">
        <f t="shared" si="59"/>
        <v>10</v>
      </c>
      <c r="BD45" s="2">
        <f t="shared" si="60"/>
        <v>2</v>
      </c>
      <c r="BE45" s="34">
        <f t="shared" si="61"/>
        <v>1</v>
      </c>
      <c r="BF45" s="36">
        <f t="shared" ref="BF45:BO45" si="124">+(AK45+Z45+O45+D45)/4</f>
        <v>1.816176471</v>
      </c>
      <c r="BG45" s="2">
        <f t="shared" si="124"/>
        <v>19.25</v>
      </c>
      <c r="BH45" s="2">
        <f t="shared" si="124"/>
        <v>14.25</v>
      </c>
      <c r="BI45" s="2">
        <f t="shared" si="124"/>
        <v>6.5</v>
      </c>
      <c r="BJ45" s="2">
        <f t="shared" si="124"/>
        <v>23.75</v>
      </c>
      <c r="BK45" s="2">
        <f t="shared" si="124"/>
        <v>16.25</v>
      </c>
      <c r="BL45" s="2">
        <f t="shared" si="124"/>
        <v>6.25</v>
      </c>
      <c r="BM45" s="2">
        <f t="shared" si="124"/>
        <v>9.5</v>
      </c>
      <c r="BN45" s="2">
        <f t="shared" si="124"/>
        <v>9.75</v>
      </c>
      <c r="BO45" s="62">
        <f t="shared" si="124"/>
        <v>4.5</v>
      </c>
      <c r="BP45" s="37">
        <f t="shared" si="9"/>
        <v>-0.6495098039</v>
      </c>
      <c r="BQ45" s="38">
        <f t="shared" si="10"/>
        <v>0.1176470588</v>
      </c>
      <c r="BR45" s="38">
        <f t="shared" si="11"/>
        <v>0.2941176471</v>
      </c>
      <c r="BS45" s="38">
        <f t="shared" si="12"/>
        <v>0.05882352941</v>
      </c>
      <c r="BT45" s="38">
        <f t="shared" si="13"/>
        <v>0.02941176471</v>
      </c>
      <c r="BU45" s="38">
        <f t="shared" si="14"/>
        <v>0.02941176471</v>
      </c>
      <c r="BV45" s="38">
        <f t="shared" si="15"/>
        <v>0.8823529412</v>
      </c>
      <c r="BW45" s="38">
        <f t="shared" ref="BW45:BX45" si="125">+BR45+BS45+BT45</f>
        <v>0.3823529412</v>
      </c>
      <c r="BX45" s="39">
        <f t="shared" si="125"/>
        <v>0.1176470588</v>
      </c>
    </row>
    <row r="46" ht="15.75" customHeight="1">
      <c r="A46" s="60"/>
      <c r="B46" s="40">
        <v>35.0</v>
      </c>
      <c r="C46" s="24">
        <v>1.0</v>
      </c>
      <c r="D46" s="27">
        <f t="shared" si="3"/>
        <v>1.771428571</v>
      </c>
      <c r="E46" s="24">
        <f t="shared" si="17"/>
        <v>19</v>
      </c>
      <c r="F46" s="2">
        <f t="shared" si="18"/>
        <v>10</v>
      </c>
      <c r="G46" s="24">
        <f t="shared" si="19"/>
        <v>7</v>
      </c>
      <c r="H46" s="24">
        <f t="shared" si="20"/>
        <v>22</v>
      </c>
      <c r="I46" s="24">
        <f t="shared" si="21"/>
        <v>14</v>
      </c>
      <c r="J46" s="24">
        <f t="shared" si="22"/>
        <v>7</v>
      </c>
      <c r="K46" s="24">
        <f t="shared" si="23"/>
        <v>12</v>
      </c>
      <c r="L46" s="24">
        <f t="shared" si="24"/>
        <v>7</v>
      </c>
      <c r="M46" s="28">
        <f t="shared" si="25"/>
        <v>3</v>
      </c>
      <c r="N46" s="24">
        <v>0.0</v>
      </c>
      <c r="O46" s="27">
        <f t="shared" si="4"/>
        <v>1.6</v>
      </c>
      <c r="P46" s="24">
        <f t="shared" si="26"/>
        <v>21</v>
      </c>
      <c r="Q46" s="2">
        <f t="shared" si="27"/>
        <v>17</v>
      </c>
      <c r="R46" s="24">
        <f t="shared" si="28"/>
        <v>5</v>
      </c>
      <c r="S46" s="24">
        <f t="shared" si="29"/>
        <v>26</v>
      </c>
      <c r="T46" s="24">
        <f t="shared" si="30"/>
        <v>17</v>
      </c>
      <c r="U46" s="24">
        <f t="shared" si="31"/>
        <v>8</v>
      </c>
      <c r="V46" s="24">
        <f t="shared" si="32"/>
        <v>9</v>
      </c>
      <c r="W46" s="24">
        <f t="shared" si="33"/>
        <v>12</v>
      </c>
      <c r="X46" s="28">
        <f t="shared" si="34"/>
        <v>5</v>
      </c>
      <c r="Y46" s="24">
        <v>2.0</v>
      </c>
      <c r="Z46" s="27">
        <f t="shared" si="5"/>
        <v>1.857142857</v>
      </c>
      <c r="AA46" s="24">
        <f t="shared" si="35"/>
        <v>22</v>
      </c>
      <c r="AB46" s="2">
        <f t="shared" si="36"/>
        <v>18</v>
      </c>
      <c r="AC46" s="24">
        <f t="shared" si="37"/>
        <v>8</v>
      </c>
      <c r="AD46" s="24">
        <f t="shared" si="38"/>
        <v>28</v>
      </c>
      <c r="AE46" s="24">
        <f t="shared" si="39"/>
        <v>20</v>
      </c>
      <c r="AF46" s="24">
        <f t="shared" si="40"/>
        <v>4</v>
      </c>
      <c r="AG46" s="24">
        <f t="shared" si="41"/>
        <v>10</v>
      </c>
      <c r="AH46" s="24">
        <f t="shared" si="42"/>
        <v>12</v>
      </c>
      <c r="AI46" s="28">
        <f t="shared" si="43"/>
        <v>6</v>
      </c>
      <c r="AJ46" s="24">
        <v>4.0</v>
      </c>
      <c r="AK46" s="27">
        <f t="shared" si="6"/>
        <v>2.028571429</v>
      </c>
      <c r="AL46" s="24">
        <f t="shared" si="44"/>
        <v>17</v>
      </c>
      <c r="AM46" s="2">
        <f t="shared" si="45"/>
        <v>13</v>
      </c>
      <c r="AN46" s="24">
        <f t="shared" si="46"/>
        <v>7</v>
      </c>
      <c r="AO46" s="24">
        <f t="shared" si="47"/>
        <v>21</v>
      </c>
      <c r="AP46" s="24">
        <f t="shared" si="48"/>
        <v>16</v>
      </c>
      <c r="AQ46" s="24">
        <f t="shared" si="49"/>
        <v>7</v>
      </c>
      <c r="AR46" s="24">
        <f t="shared" si="50"/>
        <v>8</v>
      </c>
      <c r="AS46" s="24">
        <f t="shared" si="51"/>
        <v>9</v>
      </c>
      <c r="AT46" s="28">
        <f t="shared" si="52"/>
        <v>4</v>
      </c>
      <c r="AU46" s="24"/>
      <c r="AV46" s="27">
        <f t="shared" si="7"/>
        <v>1.166666667</v>
      </c>
      <c r="AW46" s="24">
        <f t="shared" si="53"/>
        <v>12</v>
      </c>
      <c r="AX46" s="2">
        <f t="shared" si="54"/>
        <v>3</v>
      </c>
      <c r="AY46" s="24">
        <f t="shared" si="55"/>
        <v>2</v>
      </c>
      <c r="AZ46" s="24">
        <f t="shared" si="56"/>
        <v>13</v>
      </c>
      <c r="BA46" s="24">
        <f t="shared" si="57"/>
        <v>4</v>
      </c>
      <c r="BB46" s="24">
        <f t="shared" si="58"/>
        <v>21</v>
      </c>
      <c r="BC46" s="24">
        <f t="shared" si="59"/>
        <v>10</v>
      </c>
      <c r="BD46" s="24">
        <f t="shared" si="60"/>
        <v>2</v>
      </c>
      <c r="BE46" s="28">
        <f t="shared" si="61"/>
        <v>1</v>
      </c>
      <c r="BF46" s="29">
        <f t="shared" ref="BF46:BO46" si="126">+(AK46+Z46+O46+D46)/4</f>
        <v>1.814285714</v>
      </c>
      <c r="BG46" s="24">
        <f t="shared" si="126"/>
        <v>19.75</v>
      </c>
      <c r="BH46" s="24">
        <f t="shared" si="126"/>
        <v>14.5</v>
      </c>
      <c r="BI46" s="24">
        <f t="shared" si="126"/>
        <v>6.75</v>
      </c>
      <c r="BJ46" s="24">
        <f t="shared" si="126"/>
        <v>24.25</v>
      </c>
      <c r="BK46" s="24">
        <f t="shared" si="126"/>
        <v>16.75</v>
      </c>
      <c r="BL46" s="24">
        <f t="shared" si="126"/>
        <v>6.5</v>
      </c>
      <c r="BM46" s="24">
        <f t="shared" si="126"/>
        <v>9.75</v>
      </c>
      <c r="BN46" s="24">
        <f t="shared" si="126"/>
        <v>10</v>
      </c>
      <c r="BO46" s="61">
        <f t="shared" si="126"/>
        <v>4.5</v>
      </c>
      <c r="BP46" s="30">
        <f t="shared" si="9"/>
        <v>-0.6476190476</v>
      </c>
      <c r="BQ46" s="31">
        <f t="shared" si="10"/>
        <v>0.1142857143</v>
      </c>
      <c r="BR46" s="31">
        <f t="shared" si="11"/>
        <v>0.2857142857</v>
      </c>
      <c r="BS46" s="31">
        <f t="shared" si="12"/>
        <v>0.05714285714</v>
      </c>
      <c r="BT46" s="31">
        <f t="shared" si="13"/>
        <v>0.02857142857</v>
      </c>
      <c r="BU46" s="31">
        <f t="shared" si="14"/>
        <v>0.02857142857</v>
      </c>
      <c r="BV46" s="31">
        <f t="shared" si="15"/>
        <v>0.8857142857</v>
      </c>
      <c r="BW46" s="31">
        <f t="shared" ref="BW46:BX46" si="127">+BR46+BS46+BT46</f>
        <v>0.3714285714</v>
      </c>
      <c r="BX46" s="32">
        <f t="shared" si="127"/>
        <v>0.1142857143</v>
      </c>
    </row>
    <row r="47" ht="15.75" customHeight="1">
      <c r="B47" s="33">
        <v>36.0</v>
      </c>
      <c r="C47" s="2">
        <v>3.0</v>
      </c>
      <c r="D47" s="3">
        <f t="shared" si="3"/>
        <v>1.805555556</v>
      </c>
      <c r="E47" s="2">
        <f t="shared" si="17"/>
        <v>19</v>
      </c>
      <c r="F47" s="2">
        <f t="shared" si="18"/>
        <v>11</v>
      </c>
      <c r="G47" s="2">
        <f t="shared" si="19"/>
        <v>8</v>
      </c>
      <c r="H47" s="2">
        <f t="shared" si="20"/>
        <v>23</v>
      </c>
      <c r="I47" s="2">
        <f t="shared" si="21"/>
        <v>15</v>
      </c>
      <c r="J47" s="2">
        <f t="shared" si="22"/>
        <v>7</v>
      </c>
      <c r="K47" s="2">
        <f t="shared" si="23"/>
        <v>12</v>
      </c>
      <c r="L47" s="2">
        <f t="shared" si="24"/>
        <v>7</v>
      </c>
      <c r="M47" s="34">
        <f t="shared" si="25"/>
        <v>4</v>
      </c>
      <c r="N47" s="2">
        <v>3.0</v>
      </c>
      <c r="O47" s="3">
        <f t="shared" si="4"/>
        <v>1.638888889</v>
      </c>
      <c r="P47" s="2">
        <f t="shared" si="26"/>
        <v>21</v>
      </c>
      <c r="Q47" s="2">
        <f t="shared" si="27"/>
        <v>18</v>
      </c>
      <c r="R47" s="2">
        <f t="shared" si="28"/>
        <v>6</v>
      </c>
      <c r="S47" s="2">
        <f t="shared" si="29"/>
        <v>27</v>
      </c>
      <c r="T47" s="2">
        <f t="shared" si="30"/>
        <v>18</v>
      </c>
      <c r="U47" s="2">
        <f t="shared" si="31"/>
        <v>8</v>
      </c>
      <c r="V47" s="2">
        <f t="shared" si="32"/>
        <v>9</v>
      </c>
      <c r="W47" s="2">
        <f t="shared" si="33"/>
        <v>12</v>
      </c>
      <c r="X47" s="34">
        <f t="shared" si="34"/>
        <v>6</v>
      </c>
      <c r="Y47" s="2">
        <v>2.0</v>
      </c>
      <c r="Z47" s="3">
        <f t="shared" si="5"/>
        <v>1.861111111</v>
      </c>
      <c r="AA47" s="2">
        <f t="shared" si="35"/>
        <v>23</v>
      </c>
      <c r="AB47" s="2">
        <f t="shared" si="36"/>
        <v>19</v>
      </c>
      <c r="AC47" s="2">
        <f t="shared" si="37"/>
        <v>8</v>
      </c>
      <c r="AD47" s="2">
        <f t="shared" si="38"/>
        <v>29</v>
      </c>
      <c r="AE47" s="2">
        <f t="shared" si="39"/>
        <v>21</v>
      </c>
      <c r="AF47" s="2">
        <f t="shared" si="40"/>
        <v>4</v>
      </c>
      <c r="AG47" s="2">
        <f t="shared" si="41"/>
        <v>10</v>
      </c>
      <c r="AH47" s="2">
        <f t="shared" si="42"/>
        <v>13</v>
      </c>
      <c r="AI47" s="34">
        <f t="shared" si="43"/>
        <v>6</v>
      </c>
      <c r="AJ47" s="2">
        <v>2.0</v>
      </c>
      <c r="AK47" s="3">
        <f t="shared" si="6"/>
        <v>2.027777778</v>
      </c>
      <c r="AL47" s="2">
        <f t="shared" si="44"/>
        <v>18</v>
      </c>
      <c r="AM47" s="2">
        <f t="shared" si="45"/>
        <v>14</v>
      </c>
      <c r="AN47" s="2">
        <f t="shared" si="46"/>
        <v>7</v>
      </c>
      <c r="AO47" s="2">
        <f t="shared" si="47"/>
        <v>22</v>
      </c>
      <c r="AP47" s="2">
        <f t="shared" si="48"/>
        <v>17</v>
      </c>
      <c r="AQ47" s="2">
        <f t="shared" si="49"/>
        <v>7</v>
      </c>
      <c r="AR47" s="2">
        <f t="shared" si="50"/>
        <v>8</v>
      </c>
      <c r="AS47" s="2">
        <f t="shared" si="51"/>
        <v>10</v>
      </c>
      <c r="AT47" s="34">
        <f t="shared" si="52"/>
        <v>4</v>
      </c>
      <c r="AU47" s="2"/>
      <c r="AV47" s="3">
        <f t="shared" si="7"/>
        <v>1.166666667</v>
      </c>
      <c r="AW47" s="2">
        <f t="shared" si="53"/>
        <v>12</v>
      </c>
      <c r="AX47" s="2">
        <f t="shared" si="54"/>
        <v>3</v>
      </c>
      <c r="AY47" s="2">
        <f t="shared" si="55"/>
        <v>2</v>
      </c>
      <c r="AZ47" s="2">
        <f t="shared" si="56"/>
        <v>13</v>
      </c>
      <c r="BA47" s="2">
        <f t="shared" si="57"/>
        <v>4</v>
      </c>
      <c r="BB47" s="2">
        <f t="shared" si="58"/>
        <v>22</v>
      </c>
      <c r="BC47" s="2">
        <f t="shared" si="59"/>
        <v>10</v>
      </c>
      <c r="BD47" s="2">
        <f t="shared" si="60"/>
        <v>2</v>
      </c>
      <c r="BE47" s="34">
        <f t="shared" si="61"/>
        <v>1</v>
      </c>
      <c r="BF47" s="36">
        <f t="shared" ref="BF47:BO47" si="128">+(AK47+Z47+O47+D47)/4</f>
        <v>1.833333333</v>
      </c>
      <c r="BG47" s="2">
        <f t="shared" si="128"/>
        <v>20.25</v>
      </c>
      <c r="BH47" s="2">
        <f t="shared" si="128"/>
        <v>15.5</v>
      </c>
      <c r="BI47" s="2">
        <f t="shared" si="128"/>
        <v>7.25</v>
      </c>
      <c r="BJ47" s="2">
        <f t="shared" si="128"/>
        <v>25.25</v>
      </c>
      <c r="BK47" s="2">
        <f t="shared" si="128"/>
        <v>17.75</v>
      </c>
      <c r="BL47" s="2">
        <f t="shared" si="128"/>
        <v>6.5</v>
      </c>
      <c r="BM47" s="2">
        <f t="shared" si="128"/>
        <v>9.75</v>
      </c>
      <c r="BN47" s="2">
        <f t="shared" si="128"/>
        <v>10.5</v>
      </c>
      <c r="BO47" s="62">
        <f t="shared" si="128"/>
        <v>5</v>
      </c>
      <c r="BP47" s="37">
        <f t="shared" si="9"/>
        <v>-0.6666666667</v>
      </c>
      <c r="BQ47" s="38">
        <f t="shared" si="10"/>
        <v>0.1111111111</v>
      </c>
      <c r="BR47" s="38">
        <f t="shared" si="11"/>
        <v>0.2777777778</v>
      </c>
      <c r="BS47" s="38">
        <f t="shared" si="12"/>
        <v>0.05555555556</v>
      </c>
      <c r="BT47" s="38">
        <f t="shared" si="13"/>
        <v>0.02777777778</v>
      </c>
      <c r="BU47" s="38">
        <f t="shared" si="14"/>
        <v>0.02777777778</v>
      </c>
      <c r="BV47" s="38">
        <f t="shared" si="15"/>
        <v>0.8888888889</v>
      </c>
      <c r="BW47" s="38">
        <f t="shared" ref="BW47:BX47" si="129">+BR47+BS47+BT47</f>
        <v>0.3611111111</v>
      </c>
      <c r="BX47" s="39">
        <f t="shared" si="129"/>
        <v>0.1111111111</v>
      </c>
    </row>
    <row r="48" ht="15.75" customHeight="1">
      <c r="A48" s="60"/>
      <c r="B48" s="40">
        <v>37.0</v>
      </c>
      <c r="C48" s="24">
        <v>0.0</v>
      </c>
      <c r="D48" s="27">
        <f t="shared" si="3"/>
        <v>1.756756757</v>
      </c>
      <c r="E48" s="24">
        <f t="shared" si="17"/>
        <v>19</v>
      </c>
      <c r="F48" s="2">
        <f t="shared" si="18"/>
        <v>11</v>
      </c>
      <c r="G48" s="24">
        <f t="shared" si="19"/>
        <v>8</v>
      </c>
      <c r="H48" s="24">
        <f t="shared" si="20"/>
        <v>23</v>
      </c>
      <c r="I48" s="24">
        <f t="shared" si="21"/>
        <v>15</v>
      </c>
      <c r="J48" s="24">
        <f t="shared" si="22"/>
        <v>8</v>
      </c>
      <c r="K48" s="24">
        <f t="shared" si="23"/>
        <v>12</v>
      </c>
      <c r="L48" s="24">
        <f t="shared" si="24"/>
        <v>7</v>
      </c>
      <c r="M48" s="28">
        <f t="shared" si="25"/>
        <v>4</v>
      </c>
      <c r="N48" s="24">
        <v>2.0</v>
      </c>
      <c r="O48" s="27">
        <f t="shared" si="4"/>
        <v>1.648648649</v>
      </c>
      <c r="P48" s="24">
        <f t="shared" si="26"/>
        <v>22</v>
      </c>
      <c r="Q48" s="2">
        <f t="shared" si="27"/>
        <v>19</v>
      </c>
      <c r="R48" s="24">
        <f t="shared" si="28"/>
        <v>6</v>
      </c>
      <c r="S48" s="24">
        <f t="shared" si="29"/>
        <v>28</v>
      </c>
      <c r="T48" s="24">
        <f t="shared" si="30"/>
        <v>19</v>
      </c>
      <c r="U48" s="24">
        <f t="shared" si="31"/>
        <v>8</v>
      </c>
      <c r="V48" s="24">
        <f t="shared" si="32"/>
        <v>9</v>
      </c>
      <c r="W48" s="24">
        <f t="shared" si="33"/>
        <v>13</v>
      </c>
      <c r="X48" s="28">
        <f t="shared" si="34"/>
        <v>6</v>
      </c>
      <c r="Y48" s="24">
        <v>2.0</v>
      </c>
      <c r="Z48" s="27">
        <f t="shared" si="5"/>
        <v>1.864864865</v>
      </c>
      <c r="AA48" s="24">
        <f t="shared" si="35"/>
        <v>24</v>
      </c>
      <c r="AB48" s="2">
        <f t="shared" si="36"/>
        <v>20</v>
      </c>
      <c r="AC48" s="24">
        <f t="shared" si="37"/>
        <v>8</v>
      </c>
      <c r="AD48" s="24">
        <f t="shared" si="38"/>
        <v>30</v>
      </c>
      <c r="AE48" s="24">
        <f t="shared" si="39"/>
        <v>22</v>
      </c>
      <c r="AF48" s="24">
        <f t="shared" si="40"/>
        <v>4</v>
      </c>
      <c r="AG48" s="24">
        <f t="shared" si="41"/>
        <v>10</v>
      </c>
      <c r="AH48" s="24">
        <f t="shared" si="42"/>
        <v>14</v>
      </c>
      <c r="AI48" s="28">
        <f t="shared" si="43"/>
        <v>6</v>
      </c>
      <c r="AJ48" s="24">
        <v>3.0</v>
      </c>
      <c r="AK48" s="27">
        <f t="shared" si="6"/>
        <v>2.054054054</v>
      </c>
      <c r="AL48" s="24">
        <f t="shared" si="44"/>
        <v>18</v>
      </c>
      <c r="AM48" s="2">
        <f t="shared" si="45"/>
        <v>15</v>
      </c>
      <c r="AN48" s="24">
        <f t="shared" si="46"/>
        <v>8</v>
      </c>
      <c r="AO48" s="24">
        <f t="shared" si="47"/>
        <v>23</v>
      </c>
      <c r="AP48" s="24">
        <f t="shared" si="48"/>
        <v>18</v>
      </c>
      <c r="AQ48" s="24">
        <f t="shared" si="49"/>
        <v>7</v>
      </c>
      <c r="AR48" s="24">
        <f t="shared" si="50"/>
        <v>8</v>
      </c>
      <c r="AS48" s="24">
        <f t="shared" si="51"/>
        <v>10</v>
      </c>
      <c r="AT48" s="28">
        <f t="shared" si="52"/>
        <v>5</v>
      </c>
      <c r="AU48" s="24"/>
      <c r="AV48" s="27">
        <f t="shared" si="7"/>
        <v>1.166666667</v>
      </c>
      <c r="AW48" s="24">
        <f t="shared" si="53"/>
        <v>12</v>
      </c>
      <c r="AX48" s="2">
        <f t="shared" si="54"/>
        <v>3</v>
      </c>
      <c r="AY48" s="24">
        <f t="shared" si="55"/>
        <v>2</v>
      </c>
      <c r="AZ48" s="24">
        <f t="shared" si="56"/>
        <v>13</v>
      </c>
      <c r="BA48" s="24">
        <f t="shared" si="57"/>
        <v>4</v>
      </c>
      <c r="BB48" s="24">
        <f t="shared" si="58"/>
        <v>23</v>
      </c>
      <c r="BC48" s="24">
        <f t="shared" si="59"/>
        <v>10</v>
      </c>
      <c r="BD48" s="24">
        <f t="shared" si="60"/>
        <v>2</v>
      </c>
      <c r="BE48" s="28">
        <f t="shared" si="61"/>
        <v>1</v>
      </c>
      <c r="BF48" s="29">
        <f t="shared" ref="BF48:BO48" si="130">+(AK48+Z48+O48+D48)/4</f>
        <v>1.831081081</v>
      </c>
      <c r="BG48" s="24">
        <f t="shared" si="130"/>
        <v>20.75</v>
      </c>
      <c r="BH48" s="24">
        <f t="shared" si="130"/>
        <v>16.25</v>
      </c>
      <c r="BI48" s="24">
        <f t="shared" si="130"/>
        <v>7.5</v>
      </c>
      <c r="BJ48" s="24">
        <f t="shared" si="130"/>
        <v>26</v>
      </c>
      <c r="BK48" s="24">
        <f t="shared" si="130"/>
        <v>18.5</v>
      </c>
      <c r="BL48" s="24">
        <f t="shared" si="130"/>
        <v>6.75</v>
      </c>
      <c r="BM48" s="24">
        <f t="shared" si="130"/>
        <v>9.75</v>
      </c>
      <c r="BN48" s="24">
        <f t="shared" si="130"/>
        <v>11</v>
      </c>
      <c r="BO48" s="61">
        <f t="shared" si="130"/>
        <v>5.25</v>
      </c>
      <c r="BP48" s="30">
        <f t="shared" si="9"/>
        <v>-0.6644144144</v>
      </c>
      <c r="BQ48" s="31">
        <f t="shared" si="10"/>
        <v>0.1081081081</v>
      </c>
      <c r="BR48" s="31">
        <f t="shared" si="11"/>
        <v>0.2702702703</v>
      </c>
      <c r="BS48" s="31">
        <f t="shared" si="12"/>
        <v>0.05405405405</v>
      </c>
      <c r="BT48" s="31">
        <f t="shared" si="13"/>
        <v>0.02702702703</v>
      </c>
      <c r="BU48" s="31">
        <f t="shared" si="14"/>
        <v>0.02702702703</v>
      </c>
      <c r="BV48" s="31">
        <f t="shared" si="15"/>
        <v>0.8918918919</v>
      </c>
      <c r="BW48" s="31">
        <f t="shared" ref="BW48:BX48" si="131">+BR48+BS48+BT48</f>
        <v>0.3513513514</v>
      </c>
      <c r="BX48" s="32">
        <f t="shared" si="131"/>
        <v>0.1081081081</v>
      </c>
    </row>
    <row r="49" ht="15.75" customHeight="1">
      <c r="B49" s="42">
        <v>38.0</v>
      </c>
      <c r="C49" s="43">
        <v>0.0</v>
      </c>
      <c r="D49" s="3">
        <f t="shared" si="3"/>
        <v>1.710526316</v>
      </c>
      <c r="E49" s="43">
        <f t="shared" si="17"/>
        <v>19</v>
      </c>
      <c r="F49" s="2">
        <f t="shared" si="18"/>
        <v>11</v>
      </c>
      <c r="G49" s="43">
        <f t="shared" si="19"/>
        <v>8</v>
      </c>
      <c r="H49" s="43">
        <f t="shared" si="20"/>
        <v>23</v>
      </c>
      <c r="I49" s="43">
        <f t="shared" si="21"/>
        <v>15</v>
      </c>
      <c r="J49" s="43">
        <f t="shared" si="22"/>
        <v>9</v>
      </c>
      <c r="K49" s="43">
        <f t="shared" si="23"/>
        <v>12</v>
      </c>
      <c r="L49" s="43">
        <f t="shared" si="24"/>
        <v>7</v>
      </c>
      <c r="M49" s="44">
        <f t="shared" si="25"/>
        <v>4</v>
      </c>
      <c r="N49" s="43">
        <v>5.0</v>
      </c>
      <c r="O49" s="3">
        <f t="shared" si="4"/>
        <v>1.736842105</v>
      </c>
      <c r="P49" s="43">
        <f t="shared" si="26"/>
        <v>22</v>
      </c>
      <c r="Q49" s="2">
        <f t="shared" si="27"/>
        <v>19</v>
      </c>
      <c r="R49" s="43">
        <f t="shared" si="28"/>
        <v>6</v>
      </c>
      <c r="S49" s="43">
        <f t="shared" si="29"/>
        <v>28</v>
      </c>
      <c r="T49" s="43">
        <f t="shared" si="30"/>
        <v>19</v>
      </c>
      <c r="U49" s="43">
        <f t="shared" si="31"/>
        <v>8</v>
      </c>
      <c r="V49" s="43">
        <f t="shared" si="32"/>
        <v>9</v>
      </c>
      <c r="W49" s="43">
        <f t="shared" si="33"/>
        <v>13</v>
      </c>
      <c r="X49" s="44">
        <f t="shared" si="34"/>
        <v>6</v>
      </c>
      <c r="Y49" s="43">
        <v>3.0</v>
      </c>
      <c r="Z49" s="3">
        <f t="shared" si="5"/>
        <v>1.894736842</v>
      </c>
      <c r="AA49" s="43">
        <f t="shared" si="35"/>
        <v>24</v>
      </c>
      <c r="AB49" s="2">
        <f t="shared" si="36"/>
        <v>21</v>
      </c>
      <c r="AC49" s="43">
        <f t="shared" si="37"/>
        <v>9</v>
      </c>
      <c r="AD49" s="43">
        <f t="shared" si="38"/>
        <v>31</v>
      </c>
      <c r="AE49" s="43">
        <f t="shared" si="39"/>
        <v>23</v>
      </c>
      <c r="AF49" s="43">
        <f t="shared" si="40"/>
        <v>4</v>
      </c>
      <c r="AG49" s="43">
        <f t="shared" si="41"/>
        <v>10</v>
      </c>
      <c r="AH49" s="43">
        <f t="shared" si="42"/>
        <v>14</v>
      </c>
      <c r="AI49" s="44">
        <f t="shared" si="43"/>
        <v>7</v>
      </c>
      <c r="AJ49" s="43">
        <v>2.0</v>
      </c>
      <c r="AK49" s="3">
        <f t="shared" si="6"/>
        <v>2.052631579</v>
      </c>
      <c r="AL49" s="43">
        <f t="shared" si="44"/>
        <v>19</v>
      </c>
      <c r="AM49" s="2">
        <f t="shared" si="45"/>
        <v>16</v>
      </c>
      <c r="AN49" s="43">
        <f t="shared" si="46"/>
        <v>8</v>
      </c>
      <c r="AO49" s="43">
        <f t="shared" si="47"/>
        <v>24</v>
      </c>
      <c r="AP49" s="43">
        <f t="shared" si="48"/>
        <v>19</v>
      </c>
      <c r="AQ49" s="43">
        <f t="shared" si="49"/>
        <v>7</v>
      </c>
      <c r="AR49" s="43">
        <f t="shared" si="50"/>
        <v>8</v>
      </c>
      <c r="AS49" s="43">
        <f t="shared" si="51"/>
        <v>11</v>
      </c>
      <c r="AT49" s="44">
        <f t="shared" si="52"/>
        <v>5</v>
      </c>
      <c r="AU49" s="43"/>
      <c r="AV49" s="3">
        <f t="shared" si="7"/>
        <v>1.166666667</v>
      </c>
      <c r="AW49" s="43">
        <f t="shared" si="53"/>
        <v>12</v>
      </c>
      <c r="AX49" s="2">
        <f t="shared" si="54"/>
        <v>3</v>
      </c>
      <c r="AY49" s="43">
        <f t="shared" si="55"/>
        <v>2</v>
      </c>
      <c r="AZ49" s="43">
        <f t="shared" si="56"/>
        <v>13</v>
      </c>
      <c r="BA49" s="43">
        <f t="shared" si="57"/>
        <v>4</v>
      </c>
      <c r="BB49" s="43">
        <f t="shared" si="58"/>
        <v>24</v>
      </c>
      <c r="BC49" s="43">
        <f t="shared" si="59"/>
        <v>10</v>
      </c>
      <c r="BD49" s="43">
        <f t="shared" si="60"/>
        <v>2</v>
      </c>
      <c r="BE49" s="44">
        <f t="shared" si="61"/>
        <v>1</v>
      </c>
      <c r="BF49" s="46">
        <f t="shared" ref="BF49:BO49" si="132">+(AK49+Z49+O49+D49)/4</f>
        <v>1.848684211</v>
      </c>
      <c r="BG49" s="43">
        <f t="shared" si="132"/>
        <v>21</v>
      </c>
      <c r="BH49" s="43">
        <f t="shared" si="132"/>
        <v>16.75</v>
      </c>
      <c r="BI49" s="43">
        <f t="shared" si="132"/>
        <v>7.75</v>
      </c>
      <c r="BJ49" s="43">
        <f t="shared" si="132"/>
        <v>26.5</v>
      </c>
      <c r="BK49" s="43">
        <f t="shared" si="132"/>
        <v>19</v>
      </c>
      <c r="BL49" s="43">
        <f t="shared" si="132"/>
        <v>7</v>
      </c>
      <c r="BM49" s="43">
        <f t="shared" si="132"/>
        <v>9.75</v>
      </c>
      <c r="BN49" s="43">
        <f t="shared" si="132"/>
        <v>11.25</v>
      </c>
      <c r="BO49" s="63">
        <f t="shared" si="132"/>
        <v>5.5</v>
      </c>
      <c r="BP49" s="48">
        <f t="shared" si="9"/>
        <v>-0.6820175439</v>
      </c>
      <c r="BQ49" s="49">
        <f t="shared" si="10"/>
        <v>0.1052631579</v>
      </c>
      <c r="BR49" s="49">
        <f t="shared" si="11"/>
        <v>0.2631578947</v>
      </c>
      <c r="BS49" s="49">
        <f t="shared" si="12"/>
        <v>0.05263157895</v>
      </c>
      <c r="BT49" s="49">
        <f t="shared" si="13"/>
        <v>0.02631578947</v>
      </c>
      <c r="BU49" s="49">
        <f t="shared" si="14"/>
        <v>0.02631578947</v>
      </c>
      <c r="BV49" s="49">
        <f t="shared" si="15"/>
        <v>0.8947368421</v>
      </c>
      <c r="BW49" s="49">
        <f t="shared" ref="BW49:BX49" si="133">+BR49+BS49+BT49</f>
        <v>0.3421052632</v>
      </c>
      <c r="BX49" s="50">
        <f t="shared" si="133"/>
        <v>0.1052631579</v>
      </c>
    </row>
    <row r="50" ht="15.7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17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7">
    <mergeCell ref="B10:M10"/>
    <mergeCell ref="N10:X10"/>
    <mergeCell ref="Y10:AI10"/>
    <mergeCell ref="AJ10:AT10"/>
    <mergeCell ref="AU10:BE10"/>
    <mergeCell ref="BF10:BO10"/>
    <mergeCell ref="BP10:BX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4" width="9.14"/>
    <col customWidth="1" min="5" max="6" width="9.43"/>
    <col customWidth="1" min="7" max="7" width="12.0"/>
    <col customWidth="1" min="8" max="8" width="9.43"/>
    <col customWidth="1" min="9" max="15" width="9.14"/>
    <col customWidth="1" min="16" max="17" width="9.43"/>
    <col customWidth="1" min="18" max="18" width="12.0"/>
    <col customWidth="1" min="19" max="19" width="9.43"/>
    <col customWidth="1" min="20" max="26" width="9.14"/>
    <col customWidth="1" min="27" max="28" width="9.43"/>
    <col customWidth="1" min="29" max="29" width="12.0"/>
    <col customWidth="1" min="30" max="30" width="9.43"/>
    <col customWidth="1" min="31" max="37" width="9.14"/>
    <col customWidth="1" min="38" max="39" width="9.43"/>
    <col customWidth="1" min="40" max="40" width="12.0"/>
    <col customWidth="1" min="41" max="41" width="9.43"/>
    <col customWidth="1" min="42" max="48" width="9.14"/>
    <col customWidth="1" min="49" max="50" width="8.86"/>
    <col customWidth="1" min="51" max="51" width="7.71"/>
    <col customWidth="1" min="52" max="54" width="9.14"/>
    <col customWidth="1" min="55" max="55" width="6.57"/>
    <col customWidth="1" min="56" max="56" width="8.29"/>
    <col customWidth="1" min="57" max="57" width="7.14"/>
    <col customWidth="1" min="58" max="67" width="9.14"/>
    <col customWidth="1" min="68" max="69" width="8.71"/>
    <col customWidth="1" min="70" max="70" width="9.14"/>
    <col customWidth="1" min="71" max="71" width="9.43"/>
    <col customWidth="1" min="72" max="72" width="7.43"/>
    <col customWidth="1" min="73" max="73" width="8.14"/>
    <col customWidth="1" min="74" max="74" width="8.86"/>
    <col customWidth="1" min="75" max="75" width="10.43"/>
    <col customWidth="1" min="76" max="76" width="11.43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</row>
    <row r="9" ht="15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3"/>
      <c r="BE9" s="3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>
      <c r="B10" s="4" t="s">
        <v>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7" t="s">
        <v>1</v>
      </c>
      <c r="O10" s="5"/>
      <c r="P10" s="5"/>
      <c r="Q10" s="5"/>
      <c r="R10" s="5"/>
      <c r="S10" s="5"/>
      <c r="T10" s="5"/>
      <c r="U10" s="5"/>
      <c r="V10" s="5"/>
      <c r="W10" s="5"/>
      <c r="X10" s="6"/>
      <c r="Y10" s="8" t="s">
        <v>2</v>
      </c>
      <c r="Z10" s="5"/>
      <c r="AA10" s="5"/>
      <c r="AB10" s="5"/>
      <c r="AC10" s="5"/>
      <c r="AD10" s="5"/>
      <c r="AE10" s="5"/>
      <c r="AF10" s="5"/>
      <c r="AG10" s="5"/>
      <c r="AH10" s="5"/>
      <c r="AI10" s="6"/>
      <c r="AJ10" s="7" t="s">
        <v>3</v>
      </c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7" t="s">
        <v>4</v>
      </c>
      <c r="AV10" s="5"/>
      <c r="AW10" s="5"/>
      <c r="AX10" s="5"/>
      <c r="AY10" s="5"/>
      <c r="AZ10" s="5"/>
      <c r="BA10" s="5"/>
      <c r="BB10" s="5"/>
      <c r="BC10" s="5"/>
      <c r="BD10" s="5"/>
      <c r="BE10" s="6"/>
      <c r="BF10" s="8" t="s">
        <v>5</v>
      </c>
      <c r="BG10" s="5"/>
      <c r="BH10" s="5"/>
      <c r="BI10" s="5"/>
      <c r="BJ10" s="5"/>
      <c r="BK10" s="5"/>
      <c r="BL10" s="5"/>
      <c r="BM10" s="5"/>
      <c r="BN10" s="5"/>
      <c r="BO10" s="51"/>
      <c r="BP10" s="13" t="s">
        <v>6</v>
      </c>
      <c r="BQ10" s="14"/>
      <c r="BR10" s="14"/>
      <c r="BS10" s="14"/>
      <c r="BT10" s="14"/>
      <c r="BU10" s="14"/>
      <c r="BV10" s="14"/>
      <c r="BW10" s="14"/>
      <c r="BX10" s="15"/>
    </row>
    <row r="11">
      <c r="B11" s="16"/>
      <c r="C11" s="17"/>
      <c r="D11" s="18" t="s">
        <v>7</v>
      </c>
      <c r="E11" s="19" t="s">
        <v>8</v>
      </c>
      <c r="F11" s="19" t="s">
        <v>9</v>
      </c>
      <c r="G11" s="19" t="s">
        <v>10</v>
      </c>
      <c r="H11" s="19" t="s">
        <v>11</v>
      </c>
      <c r="I11" s="19" t="s">
        <v>12</v>
      </c>
      <c r="J11" s="19" t="s">
        <v>13</v>
      </c>
      <c r="K11" s="19" t="s">
        <v>14</v>
      </c>
      <c r="L11" s="19" t="s">
        <v>15</v>
      </c>
      <c r="M11" s="20" t="s">
        <v>16</v>
      </c>
      <c r="N11" s="17"/>
      <c r="O11" s="18" t="s">
        <v>7</v>
      </c>
      <c r="P11" s="19" t="s">
        <v>8</v>
      </c>
      <c r="Q11" s="19" t="s">
        <v>9</v>
      </c>
      <c r="R11" s="19" t="s">
        <v>10</v>
      </c>
      <c r="S11" s="19" t="s">
        <v>11</v>
      </c>
      <c r="T11" s="19" t="s">
        <v>12</v>
      </c>
      <c r="U11" s="19" t="s">
        <v>13</v>
      </c>
      <c r="V11" s="19" t="s">
        <v>14</v>
      </c>
      <c r="W11" s="19" t="s">
        <v>15</v>
      </c>
      <c r="X11" s="20" t="s">
        <v>16</v>
      </c>
      <c r="Y11" s="17"/>
      <c r="Z11" s="18" t="s">
        <v>7</v>
      </c>
      <c r="AA11" s="19" t="s">
        <v>8</v>
      </c>
      <c r="AB11" s="19" t="s">
        <v>9</v>
      </c>
      <c r="AC11" s="19" t="s">
        <v>10</v>
      </c>
      <c r="AD11" s="19" t="s">
        <v>11</v>
      </c>
      <c r="AE11" s="19" t="s">
        <v>12</v>
      </c>
      <c r="AF11" s="19" t="s">
        <v>13</v>
      </c>
      <c r="AG11" s="19" t="s">
        <v>14</v>
      </c>
      <c r="AH11" s="19" t="s">
        <v>15</v>
      </c>
      <c r="AI11" s="20" t="s">
        <v>16</v>
      </c>
      <c r="AJ11" s="17"/>
      <c r="AK11" s="18" t="s">
        <v>7</v>
      </c>
      <c r="AL11" s="19" t="s">
        <v>8</v>
      </c>
      <c r="AM11" s="19" t="s">
        <v>9</v>
      </c>
      <c r="AN11" s="19" t="s">
        <v>10</v>
      </c>
      <c r="AO11" s="19" t="s">
        <v>11</v>
      </c>
      <c r="AP11" s="19" t="s">
        <v>12</v>
      </c>
      <c r="AQ11" s="19" t="s">
        <v>13</v>
      </c>
      <c r="AR11" s="19" t="s">
        <v>14</v>
      </c>
      <c r="AS11" s="19" t="s">
        <v>15</v>
      </c>
      <c r="AT11" s="20" t="s">
        <v>16</v>
      </c>
      <c r="AU11" s="17"/>
      <c r="AV11" s="18" t="s">
        <v>7</v>
      </c>
      <c r="AW11" s="19" t="s">
        <v>8</v>
      </c>
      <c r="AX11" s="19" t="s">
        <v>9</v>
      </c>
      <c r="AY11" s="19" t="s">
        <v>10</v>
      </c>
      <c r="AZ11" s="19" t="s">
        <v>11</v>
      </c>
      <c r="BA11" s="19" t="s">
        <v>12</v>
      </c>
      <c r="BB11" s="19" t="s">
        <v>13</v>
      </c>
      <c r="BC11" s="19" t="s">
        <v>14</v>
      </c>
      <c r="BD11" s="19" t="s">
        <v>15</v>
      </c>
      <c r="BE11" s="20" t="s">
        <v>16</v>
      </c>
      <c r="BF11" s="18" t="s">
        <v>7</v>
      </c>
      <c r="BG11" s="19" t="s">
        <v>8</v>
      </c>
      <c r="BH11" s="19" t="s">
        <v>9</v>
      </c>
      <c r="BI11" s="19" t="s">
        <v>10</v>
      </c>
      <c r="BJ11" s="19" t="s">
        <v>11</v>
      </c>
      <c r="BK11" s="19" t="s">
        <v>12</v>
      </c>
      <c r="BL11" s="19" t="s">
        <v>13</v>
      </c>
      <c r="BM11" s="19" t="s">
        <v>14</v>
      </c>
      <c r="BN11" s="19" t="s">
        <v>15</v>
      </c>
      <c r="BO11" s="59" t="s">
        <v>16</v>
      </c>
      <c r="BP11" s="21" t="s">
        <v>17</v>
      </c>
      <c r="BQ11" s="18" t="s">
        <v>18</v>
      </c>
      <c r="BR11" s="18" t="s">
        <v>19</v>
      </c>
      <c r="BS11" s="18" t="s">
        <v>20</v>
      </c>
      <c r="BT11" s="18" t="s">
        <v>21</v>
      </c>
      <c r="BU11" s="18" t="s">
        <v>22</v>
      </c>
      <c r="BV11" s="22" t="s">
        <v>23</v>
      </c>
      <c r="BW11" s="18" t="s">
        <v>24</v>
      </c>
      <c r="BX11" s="52" t="s">
        <v>25</v>
      </c>
    </row>
    <row r="12">
      <c r="A12" s="60"/>
      <c r="B12" s="25">
        <v>1.0</v>
      </c>
      <c r="C12" s="24">
        <v>2.0</v>
      </c>
      <c r="D12" s="27">
        <f t="shared" ref="D12:D49" si="3">AVERAGE($C$12:C12)</f>
        <v>2</v>
      </c>
      <c r="E12" s="24">
        <f>IF(AND(C12&gt;=1,C12&lt;=2),1,0)</f>
        <v>1</v>
      </c>
      <c r="F12" s="24">
        <f>IF(AND(C12&gt;=2,C12&lt;=3),1,0)</f>
        <v>1</v>
      </c>
      <c r="G12" s="24">
        <f>IF(AND(C12&gt;=3,C12&lt;=4),1,0)</f>
        <v>0</v>
      </c>
      <c r="H12" s="24">
        <f>IF(AND(C12&gt;=1,C12&lt;=3),1,0)</f>
        <v>1</v>
      </c>
      <c r="I12" s="24">
        <f>IF(AND(C12&gt;=2,C12&lt;=4),1,0)</f>
        <v>1</v>
      </c>
      <c r="J12" s="24">
        <f>IF((C12=0),1,0)</f>
        <v>0</v>
      </c>
      <c r="K12" s="24">
        <f>IF((C12=1),1,0)</f>
        <v>0</v>
      </c>
      <c r="L12" s="24">
        <f>IF((C12=2),1,0)</f>
        <v>1</v>
      </c>
      <c r="M12" s="28">
        <f>IF((C12=3),1,0)</f>
        <v>0</v>
      </c>
      <c r="N12" s="24">
        <v>5.0</v>
      </c>
      <c r="O12" s="27">
        <f t="shared" ref="O12:O49" si="4">AVERAGE($N$12:N12)</f>
        <v>5</v>
      </c>
      <c r="P12" s="24">
        <f>IF(AND(N12&gt;=1,N12&lt;=2),1,0)</f>
        <v>0</v>
      </c>
      <c r="Q12" s="24">
        <f>IF(AND(N12&gt;=2,N12&lt;=3),1,0)</f>
        <v>0</v>
      </c>
      <c r="R12" s="24">
        <f>IF(AND(N12&gt;=3,N12&lt;=4),1,0)</f>
        <v>0</v>
      </c>
      <c r="S12" s="24">
        <f>IF(AND(N12&gt;=1,N12&lt;=3),1,0)</f>
        <v>0</v>
      </c>
      <c r="T12" s="24">
        <f>IF(AND(N12&gt;=2,N12&lt;=4),1,0)</f>
        <v>0</v>
      </c>
      <c r="U12" s="24">
        <f>IF((N12=0),1,0)</f>
        <v>0</v>
      </c>
      <c r="V12" s="24">
        <f>IF((N12=1),1,0)</f>
        <v>0</v>
      </c>
      <c r="W12" s="24">
        <f>IF((N12=2),1,0)</f>
        <v>0</v>
      </c>
      <c r="X12" s="28">
        <f>IF((N12=3),1,0)</f>
        <v>0</v>
      </c>
      <c r="Y12" s="24">
        <v>3.0</v>
      </c>
      <c r="Z12" s="27">
        <f t="shared" ref="Z12:Z49" si="5">AVERAGE($Y$12:Y12)</f>
        <v>3</v>
      </c>
      <c r="AA12" s="24">
        <f>IF(AND(Y12&gt;=1,Y12&lt;=2),1,0)</f>
        <v>0</v>
      </c>
      <c r="AB12" s="24">
        <f>IF(AND(Y12&gt;=2,Y12&lt;=3),1,0)</f>
        <v>1</v>
      </c>
      <c r="AC12" s="24">
        <f>IF(AND(Y12&gt;=3,Y12&lt;=4),1,0)</f>
        <v>1</v>
      </c>
      <c r="AD12" s="24">
        <f>IF(AND(Y12&gt;=1,Y12&lt;=3),1,0)</f>
        <v>1</v>
      </c>
      <c r="AE12" s="24">
        <f>IF(AND(Y12&gt;=2,Y12&lt;=4),1,0)</f>
        <v>1</v>
      </c>
      <c r="AF12" s="24">
        <f>IF((Y12=0),1,0)</f>
        <v>0</v>
      </c>
      <c r="AG12" s="24">
        <f>IF((Y12=1),1,0)</f>
        <v>0</v>
      </c>
      <c r="AH12" s="24">
        <f>IF((Y12=2),1,0)</f>
        <v>0</v>
      </c>
      <c r="AI12" s="28">
        <f>IF((Y12=3),1,0)</f>
        <v>1</v>
      </c>
      <c r="AJ12" s="24">
        <v>0.0</v>
      </c>
      <c r="AK12" s="27">
        <f t="shared" ref="AK12:AK49" si="6">AVERAGE($AJ$12:AJ12)</f>
        <v>0</v>
      </c>
      <c r="AL12" s="24">
        <f>IF(AND(AJ12&gt;=1,AJ12&lt;=2),1,0)</f>
        <v>0</v>
      </c>
      <c r="AM12" s="24">
        <f>IF(AND(AJ12&gt;=2,AJ12&lt;=3),1,0)</f>
        <v>0</v>
      </c>
      <c r="AN12" s="24">
        <f>IF(AND(AJ12&gt;=3,AJ12&lt;=4),1,0)</f>
        <v>0</v>
      </c>
      <c r="AO12" s="24">
        <f>IF(AND(AJ12&gt;=1,AJ12&lt;=3),1,0)</f>
        <v>0</v>
      </c>
      <c r="AP12" s="24">
        <f>IF(AND(AJ12&gt;=2,AJ12&lt;=4),1,0)</f>
        <v>0</v>
      </c>
      <c r="AQ12" s="24">
        <f>IF((AJ12=0),1,0)</f>
        <v>1</v>
      </c>
      <c r="AR12" s="24">
        <f>IF((AJ12=1),1,0)</f>
        <v>0</v>
      </c>
      <c r="AS12" s="24">
        <f>IF((AJ12=2),1,0)</f>
        <v>0</v>
      </c>
      <c r="AT12" s="28">
        <f>IF((AJ12=3),1,0)</f>
        <v>0</v>
      </c>
      <c r="AU12" s="24">
        <v>2.0</v>
      </c>
      <c r="AV12" s="27">
        <f t="shared" ref="AV12:AV49" si="7">AVERAGE($AU$12:AU12)</f>
        <v>2</v>
      </c>
      <c r="AW12" s="24">
        <f>IF(AND(AU12&gt;=1,AU12&lt;=2),1,0)</f>
        <v>1</v>
      </c>
      <c r="AX12" s="24">
        <f>IF(AND(AU12&gt;=2,AU12&lt;=3),1,0)</f>
        <v>1</v>
      </c>
      <c r="AY12" s="24">
        <f>IF(AND(AU12&gt;=3,AU12&lt;=4),1,0)</f>
        <v>0</v>
      </c>
      <c r="AZ12" s="24">
        <f>IF(AND(AU12&gt;=1,AU12&lt;=3),1,0)</f>
        <v>1</v>
      </c>
      <c r="BA12" s="24">
        <f>IF(AND(AU12&gt;=2,AU12&lt;=4),1,0)</f>
        <v>1</v>
      </c>
      <c r="BB12" s="24">
        <f>IF((AU12=0),1,0)</f>
        <v>0</v>
      </c>
      <c r="BC12" s="24">
        <f>IF((AU12=1),1,0)</f>
        <v>0</v>
      </c>
      <c r="BD12" s="24">
        <f>IF((AU12=2),1,0)</f>
        <v>1</v>
      </c>
      <c r="BE12" s="28">
        <f>IF((AU12=3),1,0)</f>
        <v>0</v>
      </c>
      <c r="BF12" s="29">
        <f t="shared" ref="BF12:BO12" si="1">+(AK12+Z12+O12+D12)/4</f>
        <v>2.5</v>
      </c>
      <c r="BG12" s="24">
        <f t="shared" si="1"/>
        <v>0.25</v>
      </c>
      <c r="BH12" s="24">
        <f t="shared" si="1"/>
        <v>0.5</v>
      </c>
      <c r="BI12" s="24">
        <f t="shared" si="1"/>
        <v>0.25</v>
      </c>
      <c r="BJ12" s="24">
        <f t="shared" si="1"/>
        <v>0.5</v>
      </c>
      <c r="BK12" s="24">
        <f t="shared" si="1"/>
        <v>0.5</v>
      </c>
      <c r="BL12" s="24">
        <f t="shared" si="1"/>
        <v>0.25</v>
      </c>
      <c r="BM12" s="24">
        <f t="shared" si="1"/>
        <v>0</v>
      </c>
      <c r="BN12" s="24">
        <f t="shared" si="1"/>
        <v>0.25</v>
      </c>
      <c r="BO12" s="61">
        <f t="shared" si="1"/>
        <v>0.25</v>
      </c>
      <c r="BP12" s="30">
        <f t="shared" ref="BP12:BP49" si="9">+AV12-BF12</f>
        <v>-0.5</v>
      </c>
      <c r="BQ12" s="31">
        <f t="shared" ref="BQ12:BQ49" si="10">COUNTIF($AU$12:AU12,0)/B12</f>
        <v>0</v>
      </c>
      <c r="BR12" s="31">
        <f t="shared" ref="BR12:BR49" si="11">(COUNTIF($AU$12:AU12,1))/B12</f>
        <v>0</v>
      </c>
      <c r="BS12" s="31">
        <f t="shared" ref="BS12:BS49" si="12">(COUNTIF($AU$12:AU12,2))/B12</f>
        <v>1</v>
      </c>
      <c r="BT12" s="31">
        <f t="shared" ref="BT12:BT49" si="13">(COUNTIF($AU$12:AU12,3))/B12</f>
        <v>0</v>
      </c>
      <c r="BU12" s="31">
        <f t="shared" ref="BU12:BU49" si="14">(COUNTIF($AU$12:AU12,"&gt;=4"))/B12</f>
        <v>0</v>
      </c>
      <c r="BV12" s="31">
        <f t="shared" ref="BV12:BV49" si="15">1-BQ12</f>
        <v>1</v>
      </c>
      <c r="BW12" s="31">
        <f t="shared" ref="BW12:BX12" si="2">+BR12+BS12+BT12</f>
        <v>1</v>
      </c>
      <c r="BX12" s="32">
        <f t="shared" si="2"/>
        <v>1</v>
      </c>
    </row>
    <row r="13">
      <c r="B13" s="33">
        <v>2.0</v>
      </c>
      <c r="C13" s="2">
        <v>2.0</v>
      </c>
      <c r="D13" s="3">
        <f t="shared" si="3"/>
        <v>2</v>
      </c>
      <c r="E13" s="2">
        <f t="shared" ref="E13:E49" si="17">IF(AND(C13&gt;=1,C13&lt;=2),(E12+1),E12)</f>
        <v>2</v>
      </c>
      <c r="F13" s="2">
        <f t="shared" ref="F13:F49" si="18">IF(AND(C13&gt;=2,C13&lt;=3),(F12+1),F12)</f>
        <v>2</v>
      </c>
      <c r="G13" s="2">
        <f t="shared" ref="G13:G49" si="19">IF(AND(C13&gt;=3,C13&lt;=4),(G12+1),G12)</f>
        <v>0</v>
      </c>
      <c r="H13" s="2">
        <f t="shared" ref="H13:H49" si="20">IF(AND(C13&gt;=1,C13&lt;=3),(H12+1),H12)</f>
        <v>2</v>
      </c>
      <c r="I13" s="2">
        <f t="shared" ref="I13:I49" si="21">IF(AND(C13&gt;=2,C13&lt;=4),(I12+1),I12)</f>
        <v>2</v>
      </c>
      <c r="J13" s="2">
        <f t="shared" ref="J13:J49" si="22">IF((C13=0),(J12+1),J12)</f>
        <v>0</v>
      </c>
      <c r="K13" s="2">
        <f t="shared" ref="K13:K49" si="23">IF((C13=1),(K12+1),K12)</f>
        <v>0</v>
      </c>
      <c r="L13" s="2">
        <f t="shared" ref="L13:L49" si="24">IF((C13=2),(L12+1),L12)</f>
        <v>2</v>
      </c>
      <c r="M13" s="34">
        <f t="shared" ref="M13:M49" si="25">IF((C13=3),(M12+1),M12)</f>
        <v>0</v>
      </c>
      <c r="N13" s="2">
        <v>4.0</v>
      </c>
      <c r="O13" s="3">
        <f t="shared" si="4"/>
        <v>4.5</v>
      </c>
      <c r="P13" s="2">
        <f t="shared" ref="P13:P49" si="26">IF(AND(N13&gt;=1,N13&lt;=2),(P12+1),P12)</f>
        <v>0</v>
      </c>
      <c r="Q13" s="2">
        <f t="shared" ref="Q13:Q49" si="27">IF(AND(N13&gt;=2,N13&lt;=3),(Q12+1),Q12)</f>
        <v>0</v>
      </c>
      <c r="R13" s="2">
        <f t="shared" ref="R13:R49" si="28">IF(AND(N13&gt;=3,N13&lt;=4),(R12+1),R12)</f>
        <v>1</v>
      </c>
      <c r="S13" s="2">
        <f t="shared" ref="S13:S49" si="29">IF(AND(N13&gt;=1,N13&lt;=3),(S12+1),S12)</f>
        <v>0</v>
      </c>
      <c r="T13" s="2">
        <f t="shared" ref="T13:T49" si="30">IF(AND(N13&gt;=2,N13&lt;=4),(T12+1),T12)</f>
        <v>1</v>
      </c>
      <c r="U13" s="2">
        <f t="shared" ref="U13:U49" si="31">IF((N13=0),(U12+1),U12)</f>
        <v>0</v>
      </c>
      <c r="V13" s="2">
        <f t="shared" ref="V13:V49" si="32">IF((N13=1),(V12+1),V12)</f>
        <v>0</v>
      </c>
      <c r="W13" s="2">
        <f t="shared" ref="W13:W49" si="33">IF((N13=2),(W12+1),W12)</f>
        <v>0</v>
      </c>
      <c r="X13" s="34">
        <f t="shared" ref="X13:X49" si="34">IF((N13=3),(X12+1),X12)</f>
        <v>0</v>
      </c>
      <c r="Y13" s="2">
        <v>2.0</v>
      </c>
      <c r="Z13" s="3">
        <f t="shared" si="5"/>
        <v>2.5</v>
      </c>
      <c r="AA13" s="2">
        <f t="shared" ref="AA13:AA49" si="35">IF(AND(Y13&gt;=1,Y13&lt;=2),(AA12+1),AA12)</f>
        <v>1</v>
      </c>
      <c r="AB13" s="2">
        <f t="shared" ref="AB13:AB49" si="36">IF(AND(Y13&gt;=2,Y13&lt;=3),(AB12+1),AB12)</f>
        <v>2</v>
      </c>
      <c r="AC13" s="2">
        <f t="shared" ref="AC13:AC49" si="37">IF(AND(Y13&gt;=3,Y13&lt;=4),(AC12+1),AC12)</f>
        <v>1</v>
      </c>
      <c r="AD13" s="2">
        <f t="shared" ref="AD13:AD49" si="38">IF(AND(Y13&gt;=1,Y13&lt;=3),(AD12+1),AD12)</f>
        <v>2</v>
      </c>
      <c r="AE13" s="2">
        <f t="shared" ref="AE13:AE49" si="39">IF(AND(Y13&gt;=2,Y13&lt;=4),(AE12+1),AE12)</f>
        <v>2</v>
      </c>
      <c r="AF13" s="2">
        <f t="shared" ref="AF13:AF49" si="40">IF((Y13=0),(AF12+1),AF12)</f>
        <v>0</v>
      </c>
      <c r="AG13" s="2">
        <f t="shared" ref="AG13:AG49" si="41">IF((Y13=1),(AG12+1),AG12)</f>
        <v>0</v>
      </c>
      <c r="AH13" s="2">
        <f t="shared" ref="AH13:AH49" si="42">IF((Y13=2),(AH12+1),AH12)</f>
        <v>1</v>
      </c>
      <c r="AI13" s="34">
        <f t="shared" ref="AI13:AI49" si="43">IF((Y13=3),(AI12+1),AI12)</f>
        <v>1</v>
      </c>
      <c r="AJ13" s="2">
        <v>3.0</v>
      </c>
      <c r="AK13" s="3">
        <f t="shared" si="6"/>
        <v>1.5</v>
      </c>
      <c r="AL13" s="2">
        <f t="shared" ref="AL13:AL49" si="44">IF(AND(AJ13&gt;=1,AJ13&lt;=2),(AL12+1),AL12)</f>
        <v>0</v>
      </c>
      <c r="AM13" s="2">
        <f t="shared" ref="AM13:AM49" si="45">IF(AND(AJ13&gt;=2,AJ13&lt;=3),(AM12+1),AM12)</f>
        <v>1</v>
      </c>
      <c r="AN13" s="2">
        <f t="shared" ref="AN13:AN49" si="46">IF(AND(AJ13&gt;=3,AJ13&lt;=4),(AN12+1),AN12)</f>
        <v>1</v>
      </c>
      <c r="AO13" s="2">
        <f t="shared" ref="AO13:AO49" si="47">IF(AND(AJ13&gt;=1,AJ13&lt;=3),(AO12+1),AO12)</f>
        <v>1</v>
      </c>
      <c r="AP13" s="2">
        <f t="shared" ref="AP13:AP49" si="48">IF(AND(AJ13&gt;=2,AJ13&lt;=4),(AP12+1),AP12)</f>
        <v>1</v>
      </c>
      <c r="AQ13" s="2">
        <f t="shared" ref="AQ13:AQ49" si="49">IF((AJ13=0),(AQ12+1),AQ12)</f>
        <v>1</v>
      </c>
      <c r="AR13" s="2">
        <f t="shared" ref="AR13:AR49" si="50">IF((AJ13=1),(AR12+1),AR12)</f>
        <v>0</v>
      </c>
      <c r="AS13" s="2">
        <f t="shared" ref="AS13:AS49" si="51">IF((AJ13=2),(AS12+1),AS12)</f>
        <v>0</v>
      </c>
      <c r="AT13" s="34">
        <f t="shared" ref="AT13:AT49" si="52">IF((AJ13=3),(AT12+1),AT12)</f>
        <v>1</v>
      </c>
      <c r="AU13" s="2">
        <v>1.0</v>
      </c>
      <c r="AV13" s="3">
        <f t="shared" si="7"/>
        <v>1.5</v>
      </c>
      <c r="AW13" s="2">
        <f t="shared" ref="AW13:AW49" si="53">IF(AND(AU13&gt;=1,AU13&lt;=2),(AW12+1),AW12)</f>
        <v>2</v>
      </c>
      <c r="AX13" s="2">
        <f t="shared" ref="AX13:AX49" si="54">IF(AND(AU13&gt;=2,AU13&lt;=3),(AX12+1),AX12)</f>
        <v>1</v>
      </c>
      <c r="AY13" s="2">
        <f t="shared" ref="AY13:AY49" si="55">IF(AND(AU13&gt;=3,AU13&lt;=4),(AY12+1),AY12)</f>
        <v>0</v>
      </c>
      <c r="AZ13" s="2">
        <f t="shared" ref="AZ13:AZ49" si="56">IF(AND(AU13&gt;=1,AU13&lt;=3),(AZ12+1),AZ12)</f>
        <v>2</v>
      </c>
      <c r="BA13" s="2">
        <f t="shared" ref="BA13:BA49" si="57">IF(AND(AU13&gt;=2,AU13&lt;=4),(BA12+1),BA12)</f>
        <v>1</v>
      </c>
      <c r="BB13" s="2">
        <f t="shared" ref="BB13:BB49" si="58">IF((AU13=0),(BB12+1),BB12)</f>
        <v>0</v>
      </c>
      <c r="BC13" s="2">
        <f t="shared" ref="BC13:BC49" si="59">IF((AU13=1),(BC12+1),BC12)</f>
        <v>1</v>
      </c>
      <c r="BD13" s="2">
        <f t="shared" ref="BD13:BD49" si="60">IF((AU13=2),(BD12+1),BD12)</f>
        <v>1</v>
      </c>
      <c r="BE13" s="34">
        <f t="shared" ref="BE13:BE49" si="61">IF((AU13=3),(BE12+1),BE12)</f>
        <v>0</v>
      </c>
      <c r="BF13" s="36">
        <f t="shared" ref="BF13:BO13" si="8">+(AK13+Z13+O13+D13)/4</f>
        <v>2.625</v>
      </c>
      <c r="BG13" s="2">
        <f t="shared" si="8"/>
        <v>0.75</v>
      </c>
      <c r="BH13" s="2">
        <f t="shared" si="8"/>
        <v>1.25</v>
      </c>
      <c r="BI13" s="2">
        <f t="shared" si="8"/>
        <v>0.75</v>
      </c>
      <c r="BJ13" s="2">
        <f t="shared" si="8"/>
        <v>1.25</v>
      </c>
      <c r="BK13" s="2">
        <f t="shared" si="8"/>
        <v>1.5</v>
      </c>
      <c r="BL13" s="2">
        <f t="shared" si="8"/>
        <v>0.25</v>
      </c>
      <c r="BM13" s="2">
        <f t="shared" si="8"/>
        <v>0</v>
      </c>
      <c r="BN13" s="2">
        <f t="shared" si="8"/>
        <v>0.75</v>
      </c>
      <c r="BO13" s="62">
        <f t="shared" si="8"/>
        <v>0.5</v>
      </c>
      <c r="BP13" s="37">
        <f t="shared" si="9"/>
        <v>-1.125</v>
      </c>
      <c r="BQ13" s="38">
        <f t="shared" si="10"/>
        <v>0</v>
      </c>
      <c r="BR13" s="38">
        <f t="shared" si="11"/>
        <v>0.5</v>
      </c>
      <c r="BS13" s="38">
        <f t="shared" si="12"/>
        <v>0.5</v>
      </c>
      <c r="BT13" s="38">
        <f t="shared" si="13"/>
        <v>0</v>
      </c>
      <c r="BU13" s="38">
        <f t="shared" si="14"/>
        <v>0</v>
      </c>
      <c r="BV13" s="38">
        <f t="shared" si="15"/>
        <v>1</v>
      </c>
      <c r="BW13" s="38">
        <f t="shared" ref="BW13:BX13" si="16">+BR13+BS13+BT13</f>
        <v>1</v>
      </c>
      <c r="BX13" s="39">
        <f t="shared" si="16"/>
        <v>0.5</v>
      </c>
    </row>
    <row r="14">
      <c r="A14" s="60"/>
      <c r="B14" s="40">
        <v>3.0</v>
      </c>
      <c r="C14" s="24">
        <v>2.0</v>
      </c>
      <c r="D14" s="27">
        <f t="shared" si="3"/>
        <v>2</v>
      </c>
      <c r="E14" s="24">
        <f t="shared" si="17"/>
        <v>3</v>
      </c>
      <c r="F14" s="2">
        <f t="shared" si="18"/>
        <v>3</v>
      </c>
      <c r="G14" s="24">
        <f t="shared" si="19"/>
        <v>0</v>
      </c>
      <c r="H14" s="24">
        <f t="shared" si="20"/>
        <v>3</v>
      </c>
      <c r="I14" s="24">
        <f t="shared" si="21"/>
        <v>3</v>
      </c>
      <c r="J14" s="24">
        <f t="shared" si="22"/>
        <v>0</v>
      </c>
      <c r="K14" s="24">
        <f t="shared" si="23"/>
        <v>0</v>
      </c>
      <c r="L14" s="24">
        <f t="shared" si="24"/>
        <v>3</v>
      </c>
      <c r="M14" s="28">
        <f t="shared" si="25"/>
        <v>0</v>
      </c>
      <c r="N14" s="24">
        <v>0.0</v>
      </c>
      <c r="O14" s="27">
        <f t="shared" si="4"/>
        <v>3</v>
      </c>
      <c r="P14" s="24">
        <f t="shared" si="26"/>
        <v>0</v>
      </c>
      <c r="Q14" s="2">
        <f t="shared" si="27"/>
        <v>0</v>
      </c>
      <c r="R14" s="24">
        <f t="shared" si="28"/>
        <v>1</v>
      </c>
      <c r="S14" s="24">
        <f t="shared" si="29"/>
        <v>0</v>
      </c>
      <c r="T14" s="24">
        <f t="shared" si="30"/>
        <v>1</v>
      </c>
      <c r="U14" s="24">
        <f t="shared" si="31"/>
        <v>1</v>
      </c>
      <c r="V14" s="24">
        <f t="shared" si="32"/>
        <v>0</v>
      </c>
      <c r="W14" s="24">
        <f t="shared" si="33"/>
        <v>0</v>
      </c>
      <c r="X14" s="28">
        <f t="shared" si="34"/>
        <v>0</v>
      </c>
      <c r="Y14" s="24">
        <v>1.0</v>
      </c>
      <c r="Z14" s="27">
        <f t="shared" si="5"/>
        <v>2</v>
      </c>
      <c r="AA14" s="24">
        <f t="shared" si="35"/>
        <v>2</v>
      </c>
      <c r="AB14" s="2">
        <f t="shared" si="36"/>
        <v>2</v>
      </c>
      <c r="AC14" s="24">
        <f t="shared" si="37"/>
        <v>1</v>
      </c>
      <c r="AD14" s="24">
        <f t="shared" si="38"/>
        <v>3</v>
      </c>
      <c r="AE14" s="24">
        <f t="shared" si="39"/>
        <v>2</v>
      </c>
      <c r="AF14" s="24">
        <f t="shared" si="40"/>
        <v>0</v>
      </c>
      <c r="AG14" s="24">
        <f t="shared" si="41"/>
        <v>1</v>
      </c>
      <c r="AH14" s="24">
        <f t="shared" si="42"/>
        <v>1</v>
      </c>
      <c r="AI14" s="28">
        <f t="shared" si="43"/>
        <v>1</v>
      </c>
      <c r="AJ14" s="24">
        <v>2.0</v>
      </c>
      <c r="AK14" s="27">
        <f t="shared" si="6"/>
        <v>1.666666667</v>
      </c>
      <c r="AL14" s="24">
        <f t="shared" si="44"/>
        <v>1</v>
      </c>
      <c r="AM14" s="2">
        <f t="shared" si="45"/>
        <v>2</v>
      </c>
      <c r="AN14" s="24">
        <f t="shared" si="46"/>
        <v>1</v>
      </c>
      <c r="AO14" s="24">
        <f t="shared" si="47"/>
        <v>2</v>
      </c>
      <c r="AP14" s="24">
        <f t="shared" si="48"/>
        <v>2</v>
      </c>
      <c r="AQ14" s="24">
        <f t="shared" si="49"/>
        <v>1</v>
      </c>
      <c r="AR14" s="24">
        <f t="shared" si="50"/>
        <v>0</v>
      </c>
      <c r="AS14" s="24">
        <f t="shared" si="51"/>
        <v>1</v>
      </c>
      <c r="AT14" s="28">
        <f t="shared" si="52"/>
        <v>1</v>
      </c>
      <c r="AU14" s="24">
        <v>3.0</v>
      </c>
      <c r="AV14" s="27">
        <f t="shared" si="7"/>
        <v>2</v>
      </c>
      <c r="AW14" s="24">
        <f t="shared" si="53"/>
        <v>2</v>
      </c>
      <c r="AX14" s="2">
        <f t="shared" si="54"/>
        <v>2</v>
      </c>
      <c r="AY14" s="24">
        <f t="shared" si="55"/>
        <v>1</v>
      </c>
      <c r="AZ14" s="24">
        <f t="shared" si="56"/>
        <v>3</v>
      </c>
      <c r="BA14" s="24">
        <f t="shared" si="57"/>
        <v>2</v>
      </c>
      <c r="BB14" s="24">
        <f t="shared" si="58"/>
        <v>0</v>
      </c>
      <c r="BC14" s="24">
        <f t="shared" si="59"/>
        <v>1</v>
      </c>
      <c r="BD14" s="24">
        <f t="shared" si="60"/>
        <v>1</v>
      </c>
      <c r="BE14" s="28">
        <f t="shared" si="61"/>
        <v>1</v>
      </c>
      <c r="BF14" s="29">
        <f t="shared" ref="BF14:BO14" si="62">+(AK14+Z14+O14+D14)/4</f>
        <v>2.166666667</v>
      </c>
      <c r="BG14" s="24">
        <f t="shared" si="62"/>
        <v>1.5</v>
      </c>
      <c r="BH14" s="24">
        <f t="shared" si="62"/>
        <v>1.75</v>
      </c>
      <c r="BI14" s="24">
        <f t="shared" si="62"/>
        <v>0.75</v>
      </c>
      <c r="BJ14" s="24">
        <f t="shared" si="62"/>
        <v>2</v>
      </c>
      <c r="BK14" s="24">
        <f t="shared" si="62"/>
        <v>2</v>
      </c>
      <c r="BL14" s="24">
        <f t="shared" si="62"/>
        <v>0.5</v>
      </c>
      <c r="BM14" s="24">
        <f t="shared" si="62"/>
        <v>0.25</v>
      </c>
      <c r="BN14" s="24">
        <f t="shared" si="62"/>
        <v>1.25</v>
      </c>
      <c r="BO14" s="61">
        <f t="shared" si="62"/>
        <v>0.5</v>
      </c>
      <c r="BP14" s="30">
        <f t="shared" si="9"/>
        <v>-0.1666666667</v>
      </c>
      <c r="BQ14" s="31">
        <f t="shared" si="10"/>
        <v>0</v>
      </c>
      <c r="BR14" s="31">
        <f t="shared" si="11"/>
        <v>0.3333333333</v>
      </c>
      <c r="BS14" s="31">
        <f t="shared" si="12"/>
        <v>0.3333333333</v>
      </c>
      <c r="BT14" s="31">
        <f t="shared" si="13"/>
        <v>0.3333333333</v>
      </c>
      <c r="BU14" s="31">
        <f t="shared" si="14"/>
        <v>0</v>
      </c>
      <c r="BV14" s="31">
        <f t="shared" si="15"/>
        <v>1</v>
      </c>
      <c r="BW14" s="31">
        <f t="shared" ref="BW14:BX14" si="63">+BR14+BS14+BT14</f>
        <v>1</v>
      </c>
      <c r="BX14" s="32">
        <f t="shared" si="63"/>
        <v>0.6666666667</v>
      </c>
    </row>
    <row r="15">
      <c r="B15" s="33">
        <v>4.0</v>
      </c>
      <c r="C15" s="2">
        <v>4.0</v>
      </c>
      <c r="D15" s="3">
        <f t="shared" si="3"/>
        <v>2.5</v>
      </c>
      <c r="E15" s="2">
        <f t="shared" si="17"/>
        <v>3</v>
      </c>
      <c r="F15" s="2">
        <f t="shared" si="18"/>
        <v>3</v>
      </c>
      <c r="G15" s="2">
        <f t="shared" si="19"/>
        <v>1</v>
      </c>
      <c r="H15" s="2">
        <f t="shared" si="20"/>
        <v>3</v>
      </c>
      <c r="I15" s="2">
        <f t="shared" si="21"/>
        <v>4</v>
      </c>
      <c r="J15" s="2">
        <f t="shared" si="22"/>
        <v>0</v>
      </c>
      <c r="K15" s="2">
        <f t="shared" si="23"/>
        <v>0</v>
      </c>
      <c r="L15" s="2">
        <f t="shared" si="24"/>
        <v>3</v>
      </c>
      <c r="M15" s="34">
        <f t="shared" si="25"/>
        <v>0</v>
      </c>
      <c r="N15" s="2">
        <v>1.0</v>
      </c>
      <c r="O15" s="3">
        <f t="shared" si="4"/>
        <v>2.5</v>
      </c>
      <c r="P15" s="2">
        <f t="shared" si="26"/>
        <v>1</v>
      </c>
      <c r="Q15" s="2">
        <f t="shared" si="27"/>
        <v>0</v>
      </c>
      <c r="R15" s="2">
        <f t="shared" si="28"/>
        <v>1</v>
      </c>
      <c r="S15" s="2">
        <f t="shared" si="29"/>
        <v>1</v>
      </c>
      <c r="T15" s="2">
        <f t="shared" si="30"/>
        <v>1</v>
      </c>
      <c r="U15" s="2">
        <f t="shared" si="31"/>
        <v>1</v>
      </c>
      <c r="V15" s="2">
        <f t="shared" si="32"/>
        <v>1</v>
      </c>
      <c r="W15" s="2">
        <f t="shared" si="33"/>
        <v>0</v>
      </c>
      <c r="X15" s="34">
        <f t="shared" si="34"/>
        <v>0</v>
      </c>
      <c r="Y15" s="2">
        <v>2.0</v>
      </c>
      <c r="Z15" s="3">
        <f t="shared" si="5"/>
        <v>2</v>
      </c>
      <c r="AA15" s="2">
        <f t="shared" si="35"/>
        <v>3</v>
      </c>
      <c r="AB15" s="2">
        <f t="shared" si="36"/>
        <v>3</v>
      </c>
      <c r="AC15" s="2">
        <f t="shared" si="37"/>
        <v>1</v>
      </c>
      <c r="AD15" s="2">
        <f t="shared" si="38"/>
        <v>4</v>
      </c>
      <c r="AE15" s="2">
        <f t="shared" si="39"/>
        <v>3</v>
      </c>
      <c r="AF15" s="2">
        <f t="shared" si="40"/>
        <v>0</v>
      </c>
      <c r="AG15" s="2">
        <f t="shared" si="41"/>
        <v>1</v>
      </c>
      <c r="AH15" s="2">
        <f t="shared" si="42"/>
        <v>2</v>
      </c>
      <c r="AI15" s="34">
        <f t="shared" si="43"/>
        <v>1</v>
      </c>
      <c r="AJ15" s="2">
        <v>4.0</v>
      </c>
      <c r="AK15" s="3">
        <f t="shared" si="6"/>
        <v>2.25</v>
      </c>
      <c r="AL15" s="2">
        <f t="shared" si="44"/>
        <v>1</v>
      </c>
      <c r="AM15" s="2">
        <f t="shared" si="45"/>
        <v>2</v>
      </c>
      <c r="AN15" s="2">
        <f t="shared" si="46"/>
        <v>2</v>
      </c>
      <c r="AO15" s="2">
        <f t="shared" si="47"/>
        <v>2</v>
      </c>
      <c r="AP15" s="2">
        <f t="shared" si="48"/>
        <v>3</v>
      </c>
      <c r="AQ15" s="2">
        <f t="shared" si="49"/>
        <v>1</v>
      </c>
      <c r="AR15" s="2">
        <f t="shared" si="50"/>
        <v>0</v>
      </c>
      <c r="AS15" s="2">
        <f t="shared" si="51"/>
        <v>1</v>
      </c>
      <c r="AT15" s="34">
        <f t="shared" si="52"/>
        <v>1</v>
      </c>
      <c r="AU15" s="2">
        <v>3.0</v>
      </c>
      <c r="AV15" s="3">
        <f t="shared" si="7"/>
        <v>2.25</v>
      </c>
      <c r="AW15" s="2">
        <f t="shared" si="53"/>
        <v>2</v>
      </c>
      <c r="AX15" s="2">
        <f t="shared" si="54"/>
        <v>3</v>
      </c>
      <c r="AY15" s="2">
        <f t="shared" si="55"/>
        <v>2</v>
      </c>
      <c r="AZ15" s="2">
        <f t="shared" si="56"/>
        <v>4</v>
      </c>
      <c r="BA15" s="2">
        <f t="shared" si="57"/>
        <v>3</v>
      </c>
      <c r="BB15" s="2">
        <f t="shared" si="58"/>
        <v>0</v>
      </c>
      <c r="BC15" s="2">
        <f t="shared" si="59"/>
        <v>1</v>
      </c>
      <c r="BD15" s="2">
        <f t="shared" si="60"/>
        <v>1</v>
      </c>
      <c r="BE15" s="34">
        <f t="shared" si="61"/>
        <v>2</v>
      </c>
      <c r="BF15" s="36">
        <f t="shared" ref="BF15:BO15" si="64">+(AK15+Z15+O15+D15)/4</f>
        <v>2.3125</v>
      </c>
      <c r="BG15" s="2">
        <f t="shared" si="64"/>
        <v>2</v>
      </c>
      <c r="BH15" s="2">
        <f t="shared" si="64"/>
        <v>2</v>
      </c>
      <c r="BI15" s="2">
        <f t="shared" si="64"/>
        <v>1.25</v>
      </c>
      <c r="BJ15" s="2">
        <f t="shared" si="64"/>
        <v>2.5</v>
      </c>
      <c r="BK15" s="2">
        <f t="shared" si="64"/>
        <v>2.75</v>
      </c>
      <c r="BL15" s="2">
        <f t="shared" si="64"/>
        <v>0.5</v>
      </c>
      <c r="BM15" s="2">
        <f t="shared" si="64"/>
        <v>0.5</v>
      </c>
      <c r="BN15" s="2">
        <f t="shared" si="64"/>
        <v>1.5</v>
      </c>
      <c r="BO15" s="62">
        <f t="shared" si="64"/>
        <v>0.5</v>
      </c>
      <c r="BP15" s="37">
        <f t="shared" si="9"/>
        <v>-0.0625</v>
      </c>
      <c r="BQ15" s="38">
        <f t="shared" si="10"/>
        <v>0</v>
      </c>
      <c r="BR15" s="38">
        <f t="shared" si="11"/>
        <v>0.25</v>
      </c>
      <c r="BS15" s="38">
        <f t="shared" si="12"/>
        <v>0.25</v>
      </c>
      <c r="BT15" s="38">
        <f t="shared" si="13"/>
        <v>0.5</v>
      </c>
      <c r="BU15" s="38">
        <f t="shared" si="14"/>
        <v>0</v>
      </c>
      <c r="BV15" s="38">
        <f t="shared" si="15"/>
        <v>1</v>
      </c>
      <c r="BW15" s="38">
        <f t="shared" ref="BW15:BX15" si="65">+BR15+BS15+BT15</f>
        <v>1</v>
      </c>
      <c r="BX15" s="39">
        <f t="shared" si="65"/>
        <v>0.75</v>
      </c>
    </row>
    <row r="16">
      <c r="A16" s="60"/>
      <c r="B16" s="40">
        <v>5.0</v>
      </c>
      <c r="C16" s="24">
        <v>4.0</v>
      </c>
      <c r="D16" s="27">
        <f t="shared" si="3"/>
        <v>2.8</v>
      </c>
      <c r="E16" s="24">
        <f t="shared" si="17"/>
        <v>3</v>
      </c>
      <c r="F16" s="2">
        <f t="shared" si="18"/>
        <v>3</v>
      </c>
      <c r="G16" s="24">
        <f t="shared" si="19"/>
        <v>2</v>
      </c>
      <c r="H16" s="24">
        <f t="shared" si="20"/>
        <v>3</v>
      </c>
      <c r="I16" s="24">
        <f t="shared" si="21"/>
        <v>5</v>
      </c>
      <c r="J16" s="24">
        <f t="shared" si="22"/>
        <v>0</v>
      </c>
      <c r="K16" s="24">
        <f t="shared" si="23"/>
        <v>0</v>
      </c>
      <c r="L16" s="24">
        <f t="shared" si="24"/>
        <v>3</v>
      </c>
      <c r="M16" s="28">
        <f t="shared" si="25"/>
        <v>0</v>
      </c>
      <c r="N16" s="24">
        <v>2.0</v>
      </c>
      <c r="O16" s="27">
        <f t="shared" si="4"/>
        <v>2.4</v>
      </c>
      <c r="P16" s="24">
        <f t="shared" si="26"/>
        <v>2</v>
      </c>
      <c r="Q16" s="2">
        <f t="shared" si="27"/>
        <v>1</v>
      </c>
      <c r="R16" s="24">
        <f t="shared" si="28"/>
        <v>1</v>
      </c>
      <c r="S16" s="24">
        <f t="shared" si="29"/>
        <v>2</v>
      </c>
      <c r="T16" s="24">
        <f t="shared" si="30"/>
        <v>2</v>
      </c>
      <c r="U16" s="24">
        <f t="shared" si="31"/>
        <v>1</v>
      </c>
      <c r="V16" s="24">
        <f t="shared" si="32"/>
        <v>1</v>
      </c>
      <c r="W16" s="24">
        <f t="shared" si="33"/>
        <v>1</v>
      </c>
      <c r="X16" s="28">
        <f t="shared" si="34"/>
        <v>0</v>
      </c>
      <c r="Y16" s="24">
        <v>0.0</v>
      </c>
      <c r="Z16" s="27">
        <f t="shared" si="5"/>
        <v>1.6</v>
      </c>
      <c r="AA16" s="24">
        <f t="shared" si="35"/>
        <v>3</v>
      </c>
      <c r="AB16" s="2">
        <f t="shared" si="36"/>
        <v>3</v>
      </c>
      <c r="AC16" s="24">
        <f t="shared" si="37"/>
        <v>1</v>
      </c>
      <c r="AD16" s="24">
        <f t="shared" si="38"/>
        <v>4</v>
      </c>
      <c r="AE16" s="24">
        <f t="shared" si="39"/>
        <v>3</v>
      </c>
      <c r="AF16" s="24">
        <f t="shared" si="40"/>
        <v>1</v>
      </c>
      <c r="AG16" s="24">
        <f t="shared" si="41"/>
        <v>1</v>
      </c>
      <c r="AH16" s="24">
        <f t="shared" si="42"/>
        <v>2</v>
      </c>
      <c r="AI16" s="28">
        <f t="shared" si="43"/>
        <v>1</v>
      </c>
      <c r="AJ16" s="24">
        <v>0.0</v>
      </c>
      <c r="AK16" s="27">
        <f t="shared" si="6"/>
        <v>1.8</v>
      </c>
      <c r="AL16" s="24">
        <f t="shared" si="44"/>
        <v>1</v>
      </c>
      <c r="AM16" s="2">
        <f t="shared" si="45"/>
        <v>2</v>
      </c>
      <c r="AN16" s="24">
        <f t="shared" si="46"/>
        <v>2</v>
      </c>
      <c r="AO16" s="24">
        <f t="shared" si="47"/>
        <v>2</v>
      </c>
      <c r="AP16" s="24">
        <f t="shared" si="48"/>
        <v>3</v>
      </c>
      <c r="AQ16" s="24">
        <f t="shared" si="49"/>
        <v>2</v>
      </c>
      <c r="AR16" s="24">
        <f t="shared" si="50"/>
        <v>0</v>
      </c>
      <c r="AS16" s="24">
        <f t="shared" si="51"/>
        <v>1</v>
      </c>
      <c r="AT16" s="28">
        <f t="shared" si="52"/>
        <v>1</v>
      </c>
      <c r="AU16" s="24">
        <v>1.0</v>
      </c>
      <c r="AV16" s="27">
        <f t="shared" si="7"/>
        <v>2</v>
      </c>
      <c r="AW16" s="24">
        <f t="shared" si="53"/>
        <v>3</v>
      </c>
      <c r="AX16" s="2">
        <f t="shared" si="54"/>
        <v>3</v>
      </c>
      <c r="AY16" s="24">
        <f t="shared" si="55"/>
        <v>2</v>
      </c>
      <c r="AZ16" s="24">
        <f t="shared" si="56"/>
        <v>5</v>
      </c>
      <c r="BA16" s="24">
        <f t="shared" si="57"/>
        <v>3</v>
      </c>
      <c r="BB16" s="24">
        <f t="shared" si="58"/>
        <v>0</v>
      </c>
      <c r="BC16" s="24">
        <f t="shared" si="59"/>
        <v>2</v>
      </c>
      <c r="BD16" s="24">
        <f t="shared" si="60"/>
        <v>1</v>
      </c>
      <c r="BE16" s="28">
        <f t="shared" si="61"/>
        <v>2</v>
      </c>
      <c r="BF16" s="29">
        <f t="shared" ref="BF16:BO16" si="66">+(AK16+Z16+O16+D16)/4</f>
        <v>2.15</v>
      </c>
      <c r="BG16" s="24">
        <f t="shared" si="66"/>
        <v>2.25</v>
      </c>
      <c r="BH16" s="24">
        <f t="shared" si="66"/>
        <v>2.25</v>
      </c>
      <c r="BI16" s="24">
        <f t="shared" si="66"/>
        <v>1.5</v>
      </c>
      <c r="BJ16" s="24">
        <f t="shared" si="66"/>
        <v>2.75</v>
      </c>
      <c r="BK16" s="24">
        <f t="shared" si="66"/>
        <v>3.25</v>
      </c>
      <c r="BL16" s="24">
        <f t="shared" si="66"/>
        <v>1</v>
      </c>
      <c r="BM16" s="24">
        <f t="shared" si="66"/>
        <v>0.5</v>
      </c>
      <c r="BN16" s="24">
        <f t="shared" si="66"/>
        <v>1.75</v>
      </c>
      <c r="BO16" s="61">
        <f t="shared" si="66"/>
        <v>0.5</v>
      </c>
      <c r="BP16" s="30">
        <f t="shared" si="9"/>
        <v>-0.15</v>
      </c>
      <c r="BQ16" s="31">
        <f t="shared" si="10"/>
        <v>0</v>
      </c>
      <c r="BR16" s="31">
        <f t="shared" si="11"/>
        <v>0.4</v>
      </c>
      <c r="BS16" s="31">
        <f t="shared" si="12"/>
        <v>0.2</v>
      </c>
      <c r="BT16" s="31">
        <f t="shared" si="13"/>
        <v>0.4</v>
      </c>
      <c r="BU16" s="31">
        <f t="shared" si="14"/>
        <v>0</v>
      </c>
      <c r="BV16" s="31">
        <f t="shared" si="15"/>
        <v>1</v>
      </c>
      <c r="BW16" s="31">
        <f t="shared" ref="BW16:BX16" si="67">+BR16+BS16+BT16</f>
        <v>1</v>
      </c>
      <c r="BX16" s="32">
        <f t="shared" si="67"/>
        <v>0.6</v>
      </c>
    </row>
    <row r="17">
      <c r="B17" s="33">
        <v>6.0</v>
      </c>
      <c r="C17" s="2">
        <v>2.0</v>
      </c>
      <c r="D17" s="3">
        <f t="shared" si="3"/>
        <v>2.666666667</v>
      </c>
      <c r="E17" s="2">
        <f t="shared" si="17"/>
        <v>4</v>
      </c>
      <c r="F17" s="2">
        <f t="shared" si="18"/>
        <v>4</v>
      </c>
      <c r="G17" s="2">
        <f t="shared" si="19"/>
        <v>2</v>
      </c>
      <c r="H17" s="2">
        <f t="shared" si="20"/>
        <v>4</v>
      </c>
      <c r="I17" s="2">
        <f t="shared" si="21"/>
        <v>6</v>
      </c>
      <c r="J17" s="2">
        <f t="shared" si="22"/>
        <v>0</v>
      </c>
      <c r="K17" s="2">
        <f t="shared" si="23"/>
        <v>0</v>
      </c>
      <c r="L17" s="2">
        <f t="shared" si="24"/>
        <v>4</v>
      </c>
      <c r="M17" s="34">
        <f t="shared" si="25"/>
        <v>0</v>
      </c>
      <c r="N17" s="2">
        <v>1.0</v>
      </c>
      <c r="O17" s="3">
        <f t="shared" si="4"/>
        <v>2.166666667</v>
      </c>
      <c r="P17" s="2">
        <f t="shared" si="26"/>
        <v>3</v>
      </c>
      <c r="Q17" s="2">
        <f t="shared" si="27"/>
        <v>1</v>
      </c>
      <c r="R17" s="2">
        <f t="shared" si="28"/>
        <v>1</v>
      </c>
      <c r="S17" s="2">
        <f t="shared" si="29"/>
        <v>3</v>
      </c>
      <c r="T17" s="2">
        <f t="shared" si="30"/>
        <v>2</v>
      </c>
      <c r="U17" s="2">
        <f t="shared" si="31"/>
        <v>1</v>
      </c>
      <c r="V17" s="2">
        <f t="shared" si="32"/>
        <v>2</v>
      </c>
      <c r="W17" s="2">
        <f t="shared" si="33"/>
        <v>1</v>
      </c>
      <c r="X17" s="34">
        <f t="shared" si="34"/>
        <v>0</v>
      </c>
      <c r="Y17" s="2">
        <v>4.0</v>
      </c>
      <c r="Z17" s="3">
        <f t="shared" si="5"/>
        <v>2</v>
      </c>
      <c r="AA17" s="2">
        <f t="shared" si="35"/>
        <v>3</v>
      </c>
      <c r="AB17" s="2">
        <f t="shared" si="36"/>
        <v>3</v>
      </c>
      <c r="AC17" s="2">
        <f t="shared" si="37"/>
        <v>2</v>
      </c>
      <c r="AD17" s="2">
        <f t="shared" si="38"/>
        <v>4</v>
      </c>
      <c r="AE17" s="2">
        <f t="shared" si="39"/>
        <v>4</v>
      </c>
      <c r="AF17" s="2">
        <f t="shared" si="40"/>
        <v>1</v>
      </c>
      <c r="AG17" s="2">
        <f t="shared" si="41"/>
        <v>1</v>
      </c>
      <c r="AH17" s="2">
        <f t="shared" si="42"/>
        <v>2</v>
      </c>
      <c r="AI17" s="34">
        <f t="shared" si="43"/>
        <v>1</v>
      </c>
      <c r="AJ17" s="2">
        <v>2.0</v>
      </c>
      <c r="AK17" s="3">
        <f t="shared" si="6"/>
        <v>1.833333333</v>
      </c>
      <c r="AL17" s="2">
        <f t="shared" si="44"/>
        <v>2</v>
      </c>
      <c r="AM17" s="2">
        <f t="shared" si="45"/>
        <v>3</v>
      </c>
      <c r="AN17" s="2">
        <f t="shared" si="46"/>
        <v>2</v>
      </c>
      <c r="AO17" s="2">
        <f t="shared" si="47"/>
        <v>3</v>
      </c>
      <c r="AP17" s="2">
        <f t="shared" si="48"/>
        <v>4</v>
      </c>
      <c r="AQ17" s="2">
        <f t="shared" si="49"/>
        <v>2</v>
      </c>
      <c r="AR17" s="2">
        <f t="shared" si="50"/>
        <v>0</v>
      </c>
      <c r="AS17" s="2">
        <f t="shared" si="51"/>
        <v>2</v>
      </c>
      <c r="AT17" s="34">
        <f t="shared" si="52"/>
        <v>1</v>
      </c>
      <c r="AU17" s="2">
        <v>2.0</v>
      </c>
      <c r="AV17" s="3">
        <f t="shared" si="7"/>
        <v>2</v>
      </c>
      <c r="AW17" s="2">
        <f t="shared" si="53"/>
        <v>4</v>
      </c>
      <c r="AX17" s="2">
        <f t="shared" si="54"/>
        <v>4</v>
      </c>
      <c r="AY17" s="2">
        <f t="shared" si="55"/>
        <v>2</v>
      </c>
      <c r="AZ17" s="2">
        <f t="shared" si="56"/>
        <v>6</v>
      </c>
      <c r="BA17" s="2">
        <f t="shared" si="57"/>
        <v>4</v>
      </c>
      <c r="BB17" s="2">
        <f t="shared" si="58"/>
        <v>0</v>
      </c>
      <c r="BC17" s="2">
        <f t="shared" si="59"/>
        <v>2</v>
      </c>
      <c r="BD17" s="2">
        <f t="shared" si="60"/>
        <v>2</v>
      </c>
      <c r="BE17" s="34">
        <f t="shared" si="61"/>
        <v>2</v>
      </c>
      <c r="BF17" s="36">
        <f t="shared" ref="BF17:BO17" si="68">+(AK17+Z17+O17+D17)/4</f>
        <v>2.166666667</v>
      </c>
      <c r="BG17" s="2">
        <f t="shared" si="68"/>
        <v>3</v>
      </c>
      <c r="BH17" s="2">
        <f t="shared" si="68"/>
        <v>2.75</v>
      </c>
      <c r="BI17" s="2">
        <f t="shared" si="68"/>
        <v>1.75</v>
      </c>
      <c r="BJ17" s="2">
        <f t="shared" si="68"/>
        <v>3.5</v>
      </c>
      <c r="BK17" s="2">
        <f t="shared" si="68"/>
        <v>4</v>
      </c>
      <c r="BL17" s="2">
        <f t="shared" si="68"/>
        <v>1</v>
      </c>
      <c r="BM17" s="2">
        <f t="shared" si="68"/>
        <v>0.75</v>
      </c>
      <c r="BN17" s="2">
        <f t="shared" si="68"/>
        <v>2.25</v>
      </c>
      <c r="BO17" s="62">
        <f t="shared" si="68"/>
        <v>0.5</v>
      </c>
      <c r="BP17" s="37">
        <f t="shared" si="9"/>
        <v>-0.1666666667</v>
      </c>
      <c r="BQ17" s="38">
        <f t="shared" si="10"/>
        <v>0</v>
      </c>
      <c r="BR17" s="38">
        <f t="shared" si="11"/>
        <v>0.3333333333</v>
      </c>
      <c r="BS17" s="38">
        <f t="shared" si="12"/>
        <v>0.3333333333</v>
      </c>
      <c r="BT17" s="38">
        <f t="shared" si="13"/>
        <v>0.3333333333</v>
      </c>
      <c r="BU17" s="38">
        <f t="shared" si="14"/>
        <v>0</v>
      </c>
      <c r="BV17" s="38">
        <f t="shared" si="15"/>
        <v>1</v>
      </c>
      <c r="BW17" s="38">
        <f t="shared" ref="BW17:BX17" si="69">+BR17+BS17+BT17</f>
        <v>1</v>
      </c>
      <c r="BX17" s="39">
        <f t="shared" si="69"/>
        <v>0.6666666667</v>
      </c>
    </row>
    <row r="18">
      <c r="A18" s="60"/>
      <c r="B18" s="40">
        <v>7.0</v>
      </c>
      <c r="C18" s="24">
        <v>2.0</v>
      </c>
      <c r="D18" s="27">
        <f t="shared" si="3"/>
        <v>2.571428571</v>
      </c>
      <c r="E18" s="24">
        <f t="shared" si="17"/>
        <v>5</v>
      </c>
      <c r="F18" s="2">
        <f t="shared" si="18"/>
        <v>5</v>
      </c>
      <c r="G18" s="24">
        <f t="shared" si="19"/>
        <v>2</v>
      </c>
      <c r="H18" s="24">
        <f t="shared" si="20"/>
        <v>5</v>
      </c>
      <c r="I18" s="24">
        <f t="shared" si="21"/>
        <v>7</v>
      </c>
      <c r="J18" s="24">
        <f t="shared" si="22"/>
        <v>0</v>
      </c>
      <c r="K18" s="24">
        <f t="shared" si="23"/>
        <v>0</v>
      </c>
      <c r="L18" s="24">
        <f t="shared" si="24"/>
        <v>5</v>
      </c>
      <c r="M18" s="28">
        <f t="shared" si="25"/>
        <v>0</v>
      </c>
      <c r="N18" s="24">
        <v>2.0</v>
      </c>
      <c r="O18" s="27">
        <f t="shared" si="4"/>
        <v>2.142857143</v>
      </c>
      <c r="P18" s="24">
        <f t="shared" si="26"/>
        <v>4</v>
      </c>
      <c r="Q18" s="2">
        <f t="shared" si="27"/>
        <v>2</v>
      </c>
      <c r="R18" s="24">
        <f t="shared" si="28"/>
        <v>1</v>
      </c>
      <c r="S18" s="24">
        <f t="shared" si="29"/>
        <v>4</v>
      </c>
      <c r="T18" s="24">
        <f t="shared" si="30"/>
        <v>3</v>
      </c>
      <c r="U18" s="24">
        <f t="shared" si="31"/>
        <v>1</v>
      </c>
      <c r="V18" s="24">
        <f t="shared" si="32"/>
        <v>2</v>
      </c>
      <c r="W18" s="24">
        <f t="shared" si="33"/>
        <v>2</v>
      </c>
      <c r="X18" s="28">
        <f t="shared" si="34"/>
        <v>0</v>
      </c>
      <c r="Y18" s="24">
        <v>4.0</v>
      </c>
      <c r="Z18" s="27">
        <f t="shared" si="5"/>
        <v>2.285714286</v>
      </c>
      <c r="AA18" s="24">
        <f t="shared" si="35"/>
        <v>3</v>
      </c>
      <c r="AB18" s="2">
        <f t="shared" si="36"/>
        <v>3</v>
      </c>
      <c r="AC18" s="24">
        <f t="shared" si="37"/>
        <v>3</v>
      </c>
      <c r="AD18" s="24">
        <f t="shared" si="38"/>
        <v>4</v>
      </c>
      <c r="AE18" s="24">
        <f t="shared" si="39"/>
        <v>5</v>
      </c>
      <c r="AF18" s="24">
        <f t="shared" si="40"/>
        <v>1</v>
      </c>
      <c r="AG18" s="24">
        <f t="shared" si="41"/>
        <v>1</v>
      </c>
      <c r="AH18" s="24">
        <f t="shared" si="42"/>
        <v>2</v>
      </c>
      <c r="AI18" s="28">
        <f t="shared" si="43"/>
        <v>1</v>
      </c>
      <c r="AJ18" s="24">
        <v>3.0</v>
      </c>
      <c r="AK18" s="27">
        <f t="shared" si="6"/>
        <v>2</v>
      </c>
      <c r="AL18" s="24">
        <f t="shared" si="44"/>
        <v>2</v>
      </c>
      <c r="AM18" s="2">
        <f t="shared" si="45"/>
        <v>4</v>
      </c>
      <c r="AN18" s="24">
        <f t="shared" si="46"/>
        <v>3</v>
      </c>
      <c r="AO18" s="24">
        <f t="shared" si="47"/>
        <v>4</v>
      </c>
      <c r="AP18" s="24">
        <f t="shared" si="48"/>
        <v>5</v>
      </c>
      <c r="AQ18" s="24">
        <f t="shared" si="49"/>
        <v>2</v>
      </c>
      <c r="AR18" s="24">
        <f t="shared" si="50"/>
        <v>0</v>
      </c>
      <c r="AS18" s="24">
        <f t="shared" si="51"/>
        <v>2</v>
      </c>
      <c r="AT18" s="28">
        <f t="shared" si="52"/>
        <v>2</v>
      </c>
      <c r="AU18" s="24">
        <v>0.0</v>
      </c>
      <c r="AV18" s="27">
        <f t="shared" si="7"/>
        <v>1.714285714</v>
      </c>
      <c r="AW18" s="24">
        <f t="shared" si="53"/>
        <v>4</v>
      </c>
      <c r="AX18" s="2">
        <f t="shared" si="54"/>
        <v>4</v>
      </c>
      <c r="AY18" s="24">
        <f t="shared" si="55"/>
        <v>2</v>
      </c>
      <c r="AZ18" s="24">
        <f t="shared" si="56"/>
        <v>6</v>
      </c>
      <c r="BA18" s="24">
        <f t="shared" si="57"/>
        <v>4</v>
      </c>
      <c r="BB18" s="24">
        <f t="shared" si="58"/>
        <v>1</v>
      </c>
      <c r="BC18" s="24">
        <f t="shared" si="59"/>
        <v>2</v>
      </c>
      <c r="BD18" s="24">
        <f t="shared" si="60"/>
        <v>2</v>
      </c>
      <c r="BE18" s="28">
        <f t="shared" si="61"/>
        <v>2</v>
      </c>
      <c r="BF18" s="29">
        <f t="shared" ref="BF18:BO18" si="70">+(AK18+Z18+O18+D18)/4</f>
        <v>2.25</v>
      </c>
      <c r="BG18" s="24">
        <f t="shared" si="70"/>
        <v>3.5</v>
      </c>
      <c r="BH18" s="24">
        <f t="shared" si="70"/>
        <v>3.5</v>
      </c>
      <c r="BI18" s="24">
        <f t="shared" si="70"/>
        <v>2.25</v>
      </c>
      <c r="BJ18" s="24">
        <f t="shared" si="70"/>
        <v>4.25</v>
      </c>
      <c r="BK18" s="24">
        <f t="shared" si="70"/>
        <v>5</v>
      </c>
      <c r="BL18" s="24">
        <f t="shared" si="70"/>
        <v>1</v>
      </c>
      <c r="BM18" s="24">
        <f t="shared" si="70"/>
        <v>0.75</v>
      </c>
      <c r="BN18" s="24">
        <f t="shared" si="70"/>
        <v>2.75</v>
      </c>
      <c r="BO18" s="61">
        <f t="shared" si="70"/>
        <v>0.75</v>
      </c>
      <c r="BP18" s="30">
        <f t="shared" si="9"/>
        <v>-0.5357142857</v>
      </c>
      <c r="BQ18" s="31">
        <f t="shared" si="10"/>
        <v>0.1428571429</v>
      </c>
      <c r="BR18" s="31">
        <f t="shared" si="11"/>
        <v>0.2857142857</v>
      </c>
      <c r="BS18" s="31">
        <f t="shared" si="12"/>
        <v>0.2857142857</v>
      </c>
      <c r="BT18" s="31">
        <f t="shared" si="13"/>
        <v>0.2857142857</v>
      </c>
      <c r="BU18" s="31">
        <f t="shared" si="14"/>
        <v>0</v>
      </c>
      <c r="BV18" s="31">
        <f t="shared" si="15"/>
        <v>0.8571428571</v>
      </c>
      <c r="BW18" s="31">
        <f t="shared" ref="BW18:BX18" si="71">+BR18+BS18+BT18</f>
        <v>0.8571428571</v>
      </c>
      <c r="BX18" s="32">
        <f t="shared" si="71"/>
        <v>0.5714285714</v>
      </c>
    </row>
    <row r="19">
      <c r="B19" s="33">
        <v>8.0</v>
      </c>
      <c r="C19" s="2">
        <v>1.0</v>
      </c>
      <c r="D19" s="3">
        <f t="shared" si="3"/>
        <v>2.375</v>
      </c>
      <c r="E19" s="2">
        <f t="shared" si="17"/>
        <v>6</v>
      </c>
      <c r="F19" s="2">
        <f t="shared" si="18"/>
        <v>5</v>
      </c>
      <c r="G19" s="2">
        <f t="shared" si="19"/>
        <v>2</v>
      </c>
      <c r="H19" s="2">
        <f t="shared" si="20"/>
        <v>6</v>
      </c>
      <c r="I19" s="2">
        <f t="shared" si="21"/>
        <v>7</v>
      </c>
      <c r="J19" s="2">
        <f t="shared" si="22"/>
        <v>0</v>
      </c>
      <c r="K19" s="2">
        <f t="shared" si="23"/>
        <v>1</v>
      </c>
      <c r="L19" s="2">
        <f t="shared" si="24"/>
        <v>5</v>
      </c>
      <c r="M19" s="34">
        <f t="shared" si="25"/>
        <v>0</v>
      </c>
      <c r="N19" s="2">
        <v>3.0</v>
      </c>
      <c r="O19" s="3">
        <f t="shared" si="4"/>
        <v>2.25</v>
      </c>
      <c r="P19" s="2">
        <f t="shared" si="26"/>
        <v>4</v>
      </c>
      <c r="Q19" s="2">
        <f t="shared" si="27"/>
        <v>3</v>
      </c>
      <c r="R19" s="2">
        <f t="shared" si="28"/>
        <v>2</v>
      </c>
      <c r="S19" s="2">
        <f t="shared" si="29"/>
        <v>5</v>
      </c>
      <c r="T19" s="2">
        <f t="shared" si="30"/>
        <v>4</v>
      </c>
      <c r="U19" s="2">
        <f t="shared" si="31"/>
        <v>1</v>
      </c>
      <c r="V19" s="2">
        <f t="shared" si="32"/>
        <v>2</v>
      </c>
      <c r="W19" s="2">
        <f t="shared" si="33"/>
        <v>2</v>
      </c>
      <c r="X19" s="34">
        <f t="shared" si="34"/>
        <v>1</v>
      </c>
      <c r="Y19" s="2">
        <v>1.0</v>
      </c>
      <c r="Z19" s="3">
        <f t="shared" si="5"/>
        <v>2.125</v>
      </c>
      <c r="AA19" s="2">
        <f t="shared" si="35"/>
        <v>4</v>
      </c>
      <c r="AB19" s="2">
        <f t="shared" si="36"/>
        <v>3</v>
      </c>
      <c r="AC19" s="2">
        <f t="shared" si="37"/>
        <v>3</v>
      </c>
      <c r="AD19" s="2">
        <f t="shared" si="38"/>
        <v>5</v>
      </c>
      <c r="AE19" s="2">
        <f t="shared" si="39"/>
        <v>5</v>
      </c>
      <c r="AF19" s="2">
        <f t="shared" si="40"/>
        <v>1</v>
      </c>
      <c r="AG19" s="2">
        <f t="shared" si="41"/>
        <v>2</v>
      </c>
      <c r="AH19" s="2">
        <f t="shared" si="42"/>
        <v>2</v>
      </c>
      <c r="AI19" s="34">
        <f t="shared" si="43"/>
        <v>1</v>
      </c>
      <c r="AJ19" s="2">
        <v>1.0</v>
      </c>
      <c r="AK19" s="3">
        <f t="shared" si="6"/>
        <v>1.875</v>
      </c>
      <c r="AL19" s="2">
        <f t="shared" si="44"/>
        <v>3</v>
      </c>
      <c r="AM19" s="2">
        <f t="shared" si="45"/>
        <v>4</v>
      </c>
      <c r="AN19" s="2">
        <f t="shared" si="46"/>
        <v>3</v>
      </c>
      <c r="AO19" s="2">
        <f t="shared" si="47"/>
        <v>5</v>
      </c>
      <c r="AP19" s="2">
        <f t="shared" si="48"/>
        <v>5</v>
      </c>
      <c r="AQ19" s="2">
        <f t="shared" si="49"/>
        <v>2</v>
      </c>
      <c r="AR19" s="2">
        <f t="shared" si="50"/>
        <v>1</v>
      </c>
      <c r="AS19" s="2">
        <f t="shared" si="51"/>
        <v>2</v>
      </c>
      <c r="AT19" s="34">
        <f t="shared" si="52"/>
        <v>2</v>
      </c>
      <c r="AU19" s="2">
        <v>3.0</v>
      </c>
      <c r="AV19" s="3">
        <f t="shared" si="7"/>
        <v>1.875</v>
      </c>
      <c r="AW19" s="2">
        <f t="shared" si="53"/>
        <v>4</v>
      </c>
      <c r="AX19" s="2">
        <f t="shared" si="54"/>
        <v>5</v>
      </c>
      <c r="AY19" s="2">
        <f t="shared" si="55"/>
        <v>3</v>
      </c>
      <c r="AZ19" s="2">
        <f t="shared" si="56"/>
        <v>7</v>
      </c>
      <c r="BA19" s="2">
        <f t="shared" si="57"/>
        <v>5</v>
      </c>
      <c r="BB19" s="2">
        <f t="shared" si="58"/>
        <v>1</v>
      </c>
      <c r="BC19" s="2">
        <f t="shared" si="59"/>
        <v>2</v>
      </c>
      <c r="BD19" s="2">
        <f t="shared" si="60"/>
        <v>2</v>
      </c>
      <c r="BE19" s="34">
        <f t="shared" si="61"/>
        <v>3</v>
      </c>
      <c r="BF19" s="36">
        <f t="shared" ref="BF19:BO19" si="72">+(AK19+Z19+O19+D19)/4</f>
        <v>2.15625</v>
      </c>
      <c r="BG19" s="2">
        <f t="shared" si="72"/>
        <v>4.25</v>
      </c>
      <c r="BH19" s="2">
        <f t="shared" si="72"/>
        <v>3.75</v>
      </c>
      <c r="BI19" s="2">
        <f t="shared" si="72"/>
        <v>2.5</v>
      </c>
      <c r="BJ19" s="2">
        <f t="shared" si="72"/>
        <v>5.25</v>
      </c>
      <c r="BK19" s="2">
        <f t="shared" si="72"/>
        <v>5.25</v>
      </c>
      <c r="BL19" s="2">
        <f t="shared" si="72"/>
        <v>1</v>
      </c>
      <c r="BM19" s="2">
        <f t="shared" si="72"/>
        <v>1.5</v>
      </c>
      <c r="BN19" s="2">
        <f t="shared" si="72"/>
        <v>2.75</v>
      </c>
      <c r="BO19" s="62">
        <f t="shared" si="72"/>
        <v>1</v>
      </c>
      <c r="BP19" s="37">
        <f t="shared" si="9"/>
        <v>-0.28125</v>
      </c>
      <c r="BQ19" s="38">
        <f t="shared" si="10"/>
        <v>0.125</v>
      </c>
      <c r="BR19" s="38">
        <f t="shared" si="11"/>
        <v>0.25</v>
      </c>
      <c r="BS19" s="38">
        <f t="shared" si="12"/>
        <v>0.25</v>
      </c>
      <c r="BT19" s="38">
        <f t="shared" si="13"/>
        <v>0.375</v>
      </c>
      <c r="BU19" s="38">
        <f t="shared" si="14"/>
        <v>0</v>
      </c>
      <c r="BV19" s="38">
        <f t="shared" si="15"/>
        <v>0.875</v>
      </c>
      <c r="BW19" s="38">
        <f t="shared" ref="BW19:BX19" si="73">+BR19+BS19+BT19</f>
        <v>0.875</v>
      </c>
      <c r="BX19" s="39">
        <f t="shared" si="73"/>
        <v>0.625</v>
      </c>
    </row>
    <row r="20">
      <c r="A20" s="60"/>
      <c r="B20" s="40">
        <v>9.0</v>
      </c>
      <c r="C20" s="24">
        <v>0.0</v>
      </c>
      <c r="D20" s="27">
        <f t="shared" si="3"/>
        <v>2.111111111</v>
      </c>
      <c r="E20" s="24">
        <f t="shared" si="17"/>
        <v>6</v>
      </c>
      <c r="F20" s="2">
        <f t="shared" si="18"/>
        <v>5</v>
      </c>
      <c r="G20" s="24">
        <f t="shared" si="19"/>
        <v>2</v>
      </c>
      <c r="H20" s="24">
        <f t="shared" si="20"/>
        <v>6</v>
      </c>
      <c r="I20" s="24">
        <f t="shared" si="21"/>
        <v>7</v>
      </c>
      <c r="J20" s="24">
        <f t="shared" si="22"/>
        <v>1</v>
      </c>
      <c r="K20" s="24">
        <f t="shared" si="23"/>
        <v>1</v>
      </c>
      <c r="L20" s="24">
        <f t="shared" si="24"/>
        <v>5</v>
      </c>
      <c r="M20" s="28">
        <f t="shared" si="25"/>
        <v>0</v>
      </c>
      <c r="N20" s="24">
        <v>4.0</v>
      </c>
      <c r="O20" s="27">
        <f t="shared" si="4"/>
        <v>2.444444444</v>
      </c>
      <c r="P20" s="24">
        <f t="shared" si="26"/>
        <v>4</v>
      </c>
      <c r="Q20" s="2">
        <f t="shared" si="27"/>
        <v>3</v>
      </c>
      <c r="R20" s="24">
        <f t="shared" si="28"/>
        <v>3</v>
      </c>
      <c r="S20" s="24">
        <f t="shared" si="29"/>
        <v>5</v>
      </c>
      <c r="T20" s="24">
        <f t="shared" si="30"/>
        <v>5</v>
      </c>
      <c r="U20" s="24">
        <f t="shared" si="31"/>
        <v>1</v>
      </c>
      <c r="V20" s="24">
        <f t="shared" si="32"/>
        <v>2</v>
      </c>
      <c r="W20" s="24">
        <f t="shared" si="33"/>
        <v>2</v>
      </c>
      <c r="X20" s="28">
        <f t="shared" si="34"/>
        <v>1</v>
      </c>
      <c r="Y20" s="24">
        <v>3.0</v>
      </c>
      <c r="Z20" s="27">
        <f t="shared" si="5"/>
        <v>2.222222222</v>
      </c>
      <c r="AA20" s="24">
        <f t="shared" si="35"/>
        <v>4</v>
      </c>
      <c r="AB20" s="2">
        <f t="shared" si="36"/>
        <v>4</v>
      </c>
      <c r="AC20" s="24">
        <f t="shared" si="37"/>
        <v>4</v>
      </c>
      <c r="AD20" s="24">
        <f t="shared" si="38"/>
        <v>6</v>
      </c>
      <c r="AE20" s="24">
        <f t="shared" si="39"/>
        <v>6</v>
      </c>
      <c r="AF20" s="24">
        <f t="shared" si="40"/>
        <v>1</v>
      </c>
      <c r="AG20" s="24">
        <f t="shared" si="41"/>
        <v>2</v>
      </c>
      <c r="AH20" s="24">
        <f t="shared" si="42"/>
        <v>2</v>
      </c>
      <c r="AI20" s="28">
        <f t="shared" si="43"/>
        <v>2</v>
      </c>
      <c r="AJ20" s="24">
        <v>1.0</v>
      </c>
      <c r="AK20" s="27">
        <f t="shared" si="6"/>
        <v>1.777777778</v>
      </c>
      <c r="AL20" s="24">
        <f t="shared" si="44"/>
        <v>4</v>
      </c>
      <c r="AM20" s="2">
        <f t="shared" si="45"/>
        <v>4</v>
      </c>
      <c r="AN20" s="24">
        <f t="shared" si="46"/>
        <v>3</v>
      </c>
      <c r="AO20" s="24">
        <f t="shared" si="47"/>
        <v>6</v>
      </c>
      <c r="AP20" s="24">
        <f t="shared" si="48"/>
        <v>5</v>
      </c>
      <c r="AQ20" s="24">
        <f t="shared" si="49"/>
        <v>2</v>
      </c>
      <c r="AR20" s="24">
        <f t="shared" si="50"/>
        <v>2</v>
      </c>
      <c r="AS20" s="24">
        <f t="shared" si="51"/>
        <v>2</v>
      </c>
      <c r="AT20" s="28">
        <f t="shared" si="52"/>
        <v>2</v>
      </c>
      <c r="AU20" s="24">
        <v>1.0</v>
      </c>
      <c r="AV20" s="27">
        <f t="shared" si="7"/>
        <v>1.777777778</v>
      </c>
      <c r="AW20" s="24">
        <f t="shared" si="53"/>
        <v>5</v>
      </c>
      <c r="AX20" s="2">
        <f t="shared" si="54"/>
        <v>5</v>
      </c>
      <c r="AY20" s="24">
        <f t="shared" si="55"/>
        <v>3</v>
      </c>
      <c r="AZ20" s="24">
        <f t="shared" si="56"/>
        <v>8</v>
      </c>
      <c r="BA20" s="24">
        <f t="shared" si="57"/>
        <v>5</v>
      </c>
      <c r="BB20" s="24">
        <f t="shared" si="58"/>
        <v>1</v>
      </c>
      <c r="BC20" s="24">
        <f t="shared" si="59"/>
        <v>3</v>
      </c>
      <c r="BD20" s="24">
        <f t="shared" si="60"/>
        <v>2</v>
      </c>
      <c r="BE20" s="28">
        <f t="shared" si="61"/>
        <v>3</v>
      </c>
      <c r="BF20" s="29">
        <f t="shared" ref="BF20:BO20" si="74">+(AK20+Z20+O20+D20)/4</f>
        <v>2.138888889</v>
      </c>
      <c r="BG20" s="24">
        <f t="shared" si="74"/>
        <v>4.5</v>
      </c>
      <c r="BH20" s="24">
        <f t="shared" si="74"/>
        <v>4</v>
      </c>
      <c r="BI20" s="24">
        <f t="shared" si="74"/>
        <v>3</v>
      </c>
      <c r="BJ20" s="24">
        <f t="shared" si="74"/>
        <v>5.75</v>
      </c>
      <c r="BK20" s="24">
        <f t="shared" si="74"/>
        <v>5.75</v>
      </c>
      <c r="BL20" s="24">
        <f t="shared" si="74"/>
        <v>1.25</v>
      </c>
      <c r="BM20" s="24">
        <f t="shared" si="74"/>
        <v>1.75</v>
      </c>
      <c r="BN20" s="24">
        <f t="shared" si="74"/>
        <v>2.75</v>
      </c>
      <c r="BO20" s="61">
        <f t="shared" si="74"/>
        <v>1.25</v>
      </c>
      <c r="BP20" s="30">
        <f t="shared" si="9"/>
        <v>-0.3611111111</v>
      </c>
      <c r="BQ20" s="31">
        <f t="shared" si="10"/>
        <v>0.1111111111</v>
      </c>
      <c r="BR20" s="31">
        <f t="shared" si="11"/>
        <v>0.3333333333</v>
      </c>
      <c r="BS20" s="31">
        <f t="shared" si="12"/>
        <v>0.2222222222</v>
      </c>
      <c r="BT20" s="31">
        <f t="shared" si="13"/>
        <v>0.3333333333</v>
      </c>
      <c r="BU20" s="31">
        <f t="shared" si="14"/>
        <v>0</v>
      </c>
      <c r="BV20" s="31">
        <f t="shared" si="15"/>
        <v>0.8888888889</v>
      </c>
      <c r="BW20" s="31">
        <f t="shared" ref="BW20:BX20" si="75">+BR20+BS20+BT20</f>
        <v>0.8888888889</v>
      </c>
      <c r="BX20" s="32">
        <f t="shared" si="75"/>
        <v>0.5555555556</v>
      </c>
    </row>
    <row r="21">
      <c r="B21" s="42">
        <v>10.0</v>
      </c>
      <c r="C21" s="43">
        <v>3.0</v>
      </c>
      <c r="D21" s="3">
        <f t="shared" si="3"/>
        <v>2.2</v>
      </c>
      <c r="E21" s="43">
        <f t="shared" si="17"/>
        <v>6</v>
      </c>
      <c r="F21" s="2">
        <f t="shared" si="18"/>
        <v>6</v>
      </c>
      <c r="G21" s="43">
        <f t="shared" si="19"/>
        <v>3</v>
      </c>
      <c r="H21" s="43">
        <f t="shared" si="20"/>
        <v>7</v>
      </c>
      <c r="I21" s="43">
        <f t="shared" si="21"/>
        <v>8</v>
      </c>
      <c r="J21" s="43">
        <f t="shared" si="22"/>
        <v>1</v>
      </c>
      <c r="K21" s="43">
        <f t="shared" si="23"/>
        <v>1</v>
      </c>
      <c r="L21" s="43">
        <f t="shared" si="24"/>
        <v>5</v>
      </c>
      <c r="M21" s="44">
        <f t="shared" si="25"/>
        <v>1</v>
      </c>
      <c r="N21" s="43">
        <v>3.0</v>
      </c>
      <c r="O21" s="3">
        <f t="shared" si="4"/>
        <v>2.5</v>
      </c>
      <c r="P21" s="43">
        <f t="shared" si="26"/>
        <v>4</v>
      </c>
      <c r="Q21" s="2">
        <f t="shared" si="27"/>
        <v>4</v>
      </c>
      <c r="R21" s="43">
        <f t="shared" si="28"/>
        <v>4</v>
      </c>
      <c r="S21" s="43">
        <f t="shared" si="29"/>
        <v>6</v>
      </c>
      <c r="T21" s="43">
        <f t="shared" si="30"/>
        <v>6</v>
      </c>
      <c r="U21" s="43">
        <f t="shared" si="31"/>
        <v>1</v>
      </c>
      <c r="V21" s="43">
        <f t="shared" si="32"/>
        <v>2</v>
      </c>
      <c r="W21" s="43">
        <f t="shared" si="33"/>
        <v>2</v>
      </c>
      <c r="X21" s="44">
        <f t="shared" si="34"/>
        <v>2</v>
      </c>
      <c r="Y21" s="43">
        <v>2.0</v>
      </c>
      <c r="Z21" s="3">
        <f t="shared" si="5"/>
        <v>2.2</v>
      </c>
      <c r="AA21" s="43">
        <f t="shared" si="35"/>
        <v>5</v>
      </c>
      <c r="AB21" s="2">
        <f t="shared" si="36"/>
        <v>5</v>
      </c>
      <c r="AC21" s="43">
        <f t="shared" si="37"/>
        <v>4</v>
      </c>
      <c r="AD21" s="43">
        <f t="shared" si="38"/>
        <v>7</v>
      </c>
      <c r="AE21" s="43">
        <f t="shared" si="39"/>
        <v>7</v>
      </c>
      <c r="AF21" s="43">
        <f t="shared" si="40"/>
        <v>1</v>
      </c>
      <c r="AG21" s="43">
        <f t="shared" si="41"/>
        <v>2</v>
      </c>
      <c r="AH21" s="43">
        <f t="shared" si="42"/>
        <v>3</v>
      </c>
      <c r="AI21" s="44">
        <f t="shared" si="43"/>
        <v>2</v>
      </c>
      <c r="AJ21" s="43">
        <v>2.0</v>
      </c>
      <c r="AK21" s="3">
        <f t="shared" si="6"/>
        <v>1.8</v>
      </c>
      <c r="AL21" s="43">
        <f t="shared" si="44"/>
        <v>5</v>
      </c>
      <c r="AM21" s="2">
        <f t="shared" si="45"/>
        <v>5</v>
      </c>
      <c r="AN21" s="43">
        <f t="shared" si="46"/>
        <v>3</v>
      </c>
      <c r="AO21" s="43">
        <f t="shared" si="47"/>
        <v>7</v>
      </c>
      <c r="AP21" s="43">
        <f t="shared" si="48"/>
        <v>6</v>
      </c>
      <c r="AQ21" s="43">
        <f t="shared" si="49"/>
        <v>2</v>
      </c>
      <c r="AR21" s="43">
        <f t="shared" si="50"/>
        <v>2</v>
      </c>
      <c r="AS21" s="43">
        <f t="shared" si="51"/>
        <v>3</v>
      </c>
      <c r="AT21" s="44">
        <f t="shared" si="52"/>
        <v>2</v>
      </c>
      <c r="AU21" s="43">
        <v>0.0</v>
      </c>
      <c r="AV21" s="3">
        <f t="shared" si="7"/>
        <v>1.6</v>
      </c>
      <c r="AW21" s="43">
        <f t="shared" si="53"/>
        <v>5</v>
      </c>
      <c r="AX21" s="2">
        <f t="shared" si="54"/>
        <v>5</v>
      </c>
      <c r="AY21" s="43">
        <f t="shared" si="55"/>
        <v>3</v>
      </c>
      <c r="AZ21" s="43">
        <f t="shared" si="56"/>
        <v>8</v>
      </c>
      <c r="BA21" s="43">
        <f t="shared" si="57"/>
        <v>5</v>
      </c>
      <c r="BB21" s="43">
        <f t="shared" si="58"/>
        <v>2</v>
      </c>
      <c r="BC21" s="43">
        <f t="shared" si="59"/>
        <v>3</v>
      </c>
      <c r="BD21" s="43">
        <f t="shared" si="60"/>
        <v>2</v>
      </c>
      <c r="BE21" s="44">
        <f t="shared" si="61"/>
        <v>3</v>
      </c>
      <c r="BF21" s="46">
        <f t="shared" ref="BF21:BO21" si="76">+(AK21+Z21+O21+D21)/4</f>
        <v>2.175</v>
      </c>
      <c r="BG21" s="43">
        <f t="shared" si="76"/>
        <v>5</v>
      </c>
      <c r="BH21" s="43">
        <f t="shared" si="76"/>
        <v>5</v>
      </c>
      <c r="BI21" s="43">
        <f t="shared" si="76"/>
        <v>3.5</v>
      </c>
      <c r="BJ21" s="43">
        <f t="shared" si="76"/>
        <v>6.75</v>
      </c>
      <c r="BK21" s="43">
        <f t="shared" si="76"/>
        <v>6.75</v>
      </c>
      <c r="BL21" s="43">
        <f t="shared" si="76"/>
        <v>1.25</v>
      </c>
      <c r="BM21" s="43">
        <f t="shared" si="76"/>
        <v>1.75</v>
      </c>
      <c r="BN21" s="43">
        <f t="shared" si="76"/>
        <v>3.25</v>
      </c>
      <c r="BO21" s="63">
        <f t="shared" si="76"/>
        <v>1.75</v>
      </c>
      <c r="BP21" s="37">
        <f t="shared" si="9"/>
        <v>-0.575</v>
      </c>
      <c r="BQ21" s="38">
        <f t="shared" si="10"/>
        <v>0.2</v>
      </c>
      <c r="BR21" s="38">
        <f t="shared" si="11"/>
        <v>0.3</v>
      </c>
      <c r="BS21" s="38">
        <f t="shared" si="12"/>
        <v>0.2</v>
      </c>
      <c r="BT21" s="38">
        <f t="shared" si="13"/>
        <v>0.3</v>
      </c>
      <c r="BU21" s="38">
        <f t="shared" si="14"/>
        <v>0</v>
      </c>
      <c r="BV21" s="38">
        <f t="shared" si="15"/>
        <v>0.8</v>
      </c>
      <c r="BW21" s="38">
        <f t="shared" ref="BW21:BX21" si="77">+BR21+BS21+BT21</f>
        <v>0.8</v>
      </c>
      <c r="BX21" s="39">
        <f t="shared" si="77"/>
        <v>0.5</v>
      </c>
    </row>
    <row r="22">
      <c r="A22" s="60"/>
      <c r="B22" s="40">
        <v>11.0</v>
      </c>
      <c r="C22" s="24">
        <v>1.0</v>
      </c>
      <c r="D22" s="27">
        <f t="shared" si="3"/>
        <v>2.090909091</v>
      </c>
      <c r="E22" s="24">
        <f t="shared" si="17"/>
        <v>7</v>
      </c>
      <c r="F22" s="2">
        <f t="shared" si="18"/>
        <v>6</v>
      </c>
      <c r="G22" s="24">
        <f t="shared" si="19"/>
        <v>3</v>
      </c>
      <c r="H22" s="24">
        <f t="shared" si="20"/>
        <v>8</v>
      </c>
      <c r="I22" s="24">
        <f t="shared" si="21"/>
        <v>8</v>
      </c>
      <c r="J22" s="24">
        <f t="shared" si="22"/>
        <v>1</v>
      </c>
      <c r="K22" s="24">
        <f t="shared" si="23"/>
        <v>2</v>
      </c>
      <c r="L22" s="24">
        <f t="shared" si="24"/>
        <v>5</v>
      </c>
      <c r="M22" s="28">
        <f t="shared" si="25"/>
        <v>1</v>
      </c>
      <c r="N22" s="24">
        <v>1.0</v>
      </c>
      <c r="O22" s="27">
        <f t="shared" si="4"/>
        <v>2.363636364</v>
      </c>
      <c r="P22" s="24">
        <f t="shared" si="26"/>
        <v>5</v>
      </c>
      <c r="Q22" s="2">
        <f t="shared" si="27"/>
        <v>4</v>
      </c>
      <c r="R22" s="24">
        <f t="shared" si="28"/>
        <v>4</v>
      </c>
      <c r="S22" s="24">
        <f t="shared" si="29"/>
        <v>7</v>
      </c>
      <c r="T22" s="24">
        <f t="shared" si="30"/>
        <v>6</v>
      </c>
      <c r="U22" s="24">
        <f t="shared" si="31"/>
        <v>1</v>
      </c>
      <c r="V22" s="24">
        <f t="shared" si="32"/>
        <v>3</v>
      </c>
      <c r="W22" s="24">
        <f t="shared" si="33"/>
        <v>2</v>
      </c>
      <c r="X22" s="28">
        <f t="shared" si="34"/>
        <v>2</v>
      </c>
      <c r="Y22" s="24">
        <v>2.0</v>
      </c>
      <c r="Z22" s="27">
        <f t="shared" si="5"/>
        <v>2.181818182</v>
      </c>
      <c r="AA22" s="24">
        <f t="shared" si="35"/>
        <v>6</v>
      </c>
      <c r="AB22" s="2">
        <f t="shared" si="36"/>
        <v>6</v>
      </c>
      <c r="AC22" s="24">
        <f t="shared" si="37"/>
        <v>4</v>
      </c>
      <c r="AD22" s="24">
        <f t="shared" si="38"/>
        <v>8</v>
      </c>
      <c r="AE22" s="24">
        <f t="shared" si="39"/>
        <v>8</v>
      </c>
      <c r="AF22" s="24">
        <f t="shared" si="40"/>
        <v>1</v>
      </c>
      <c r="AG22" s="24">
        <f t="shared" si="41"/>
        <v>2</v>
      </c>
      <c r="AH22" s="24">
        <f t="shared" si="42"/>
        <v>4</v>
      </c>
      <c r="AI22" s="28">
        <f t="shared" si="43"/>
        <v>2</v>
      </c>
      <c r="AJ22" s="24">
        <v>0.0</v>
      </c>
      <c r="AK22" s="27">
        <f t="shared" si="6"/>
        <v>1.636363636</v>
      </c>
      <c r="AL22" s="24">
        <f t="shared" si="44"/>
        <v>5</v>
      </c>
      <c r="AM22" s="2">
        <f t="shared" si="45"/>
        <v>5</v>
      </c>
      <c r="AN22" s="24">
        <f t="shared" si="46"/>
        <v>3</v>
      </c>
      <c r="AO22" s="24">
        <f t="shared" si="47"/>
        <v>7</v>
      </c>
      <c r="AP22" s="24">
        <f t="shared" si="48"/>
        <v>6</v>
      </c>
      <c r="AQ22" s="24">
        <f t="shared" si="49"/>
        <v>3</v>
      </c>
      <c r="AR22" s="24">
        <f t="shared" si="50"/>
        <v>2</v>
      </c>
      <c r="AS22" s="24">
        <f t="shared" si="51"/>
        <v>3</v>
      </c>
      <c r="AT22" s="28">
        <f t="shared" si="52"/>
        <v>2</v>
      </c>
      <c r="AU22" s="24">
        <v>0.0</v>
      </c>
      <c r="AV22" s="27">
        <f t="shared" si="7"/>
        <v>1.454545455</v>
      </c>
      <c r="AW22" s="24">
        <f t="shared" si="53"/>
        <v>5</v>
      </c>
      <c r="AX22" s="2">
        <f t="shared" si="54"/>
        <v>5</v>
      </c>
      <c r="AY22" s="24">
        <f t="shared" si="55"/>
        <v>3</v>
      </c>
      <c r="AZ22" s="24">
        <f t="shared" si="56"/>
        <v>8</v>
      </c>
      <c r="BA22" s="24">
        <f t="shared" si="57"/>
        <v>5</v>
      </c>
      <c r="BB22" s="24">
        <f t="shared" si="58"/>
        <v>3</v>
      </c>
      <c r="BC22" s="24">
        <f t="shared" si="59"/>
        <v>3</v>
      </c>
      <c r="BD22" s="24">
        <f t="shared" si="60"/>
        <v>2</v>
      </c>
      <c r="BE22" s="28">
        <f t="shared" si="61"/>
        <v>3</v>
      </c>
      <c r="BF22" s="29">
        <f t="shared" ref="BF22:BO22" si="78">+(AK22+Z22+O22+D22)/4</f>
        <v>2.068181818</v>
      </c>
      <c r="BG22" s="24">
        <f t="shared" si="78"/>
        <v>5.75</v>
      </c>
      <c r="BH22" s="24">
        <f t="shared" si="78"/>
        <v>5.25</v>
      </c>
      <c r="BI22" s="24">
        <f t="shared" si="78"/>
        <v>3.5</v>
      </c>
      <c r="BJ22" s="24">
        <f t="shared" si="78"/>
        <v>7.5</v>
      </c>
      <c r="BK22" s="24">
        <f t="shared" si="78"/>
        <v>7</v>
      </c>
      <c r="BL22" s="24">
        <f t="shared" si="78"/>
        <v>1.5</v>
      </c>
      <c r="BM22" s="24">
        <f t="shared" si="78"/>
        <v>2.25</v>
      </c>
      <c r="BN22" s="24">
        <f t="shared" si="78"/>
        <v>3.5</v>
      </c>
      <c r="BO22" s="61">
        <f t="shared" si="78"/>
        <v>1.75</v>
      </c>
      <c r="BP22" s="30">
        <f t="shared" si="9"/>
        <v>-0.6136363636</v>
      </c>
      <c r="BQ22" s="31">
        <f t="shared" si="10"/>
        <v>0.2727272727</v>
      </c>
      <c r="BR22" s="31">
        <f t="shared" si="11"/>
        <v>0.2727272727</v>
      </c>
      <c r="BS22" s="31">
        <f t="shared" si="12"/>
        <v>0.1818181818</v>
      </c>
      <c r="BT22" s="31">
        <f t="shared" si="13"/>
        <v>0.2727272727</v>
      </c>
      <c r="BU22" s="31">
        <f t="shared" si="14"/>
        <v>0</v>
      </c>
      <c r="BV22" s="31">
        <f t="shared" si="15"/>
        <v>0.7272727273</v>
      </c>
      <c r="BW22" s="31">
        <f t="shared" ref="BW22:BX22" si="79">+BR22+BS22+BT22</f>
        <v>0.7272727273</v>
      </c>
      <c r="BX22" s="32">
        <f t="shared" si="79"/>
        <v>0.4545454545</v>
      </c>
    </row>
    <row r="23">
      <c r="B23" s="33">
        <v>12.0</v>
      </c>
      <c r="C23" s="2">
        <v>1.0</v>
      </c>
      <c r="D23" s="3">
        <f t="shared" si="3"/>
        <v>2</v>
      </c>
      <c r="E23" s="2">
        <f t="shared" si="17"/>
        <v>8</v>
      </c>
      <c r="F23" s="2">
        <f t="shared" si="18"/>
        <v>6</v>
      </c>
      <c r="G23" s="2">
        <f t="shared" si="19"/>
        <v>3</v>
      </c>
      <c r="H23" s="2">
        <f t="shared" si="20"/>
        <v>9</v>
      </c>
      <c r="I23" s="2">
        <f t="shared" si="21"/>
        <v>8</v>
      </c>
      <c r="J23" s="2">
        <f t="shared" si="22"/>
        <v>1</v>
      </c>
      <c r="K23" s="2">
        <f t="shared" si="23"/>
        <v>3</v>
      </c>
      <c r="L23" s="2">
        <f t="shared" si="24"/>
        <v>5</v>
      </c>
      <c r="M23" s="34">
        <f t="shared" si="25"/>
        <v>1</v>
      </c>
      <c r="N23" s="2">
        <v>4.0</v>
      </c>
      <c r="O23" s="3">
        <f t="shared" si="4"/>
        <v>2.5</v>
      </c>
      <c r="P23" s="2">
        <f t="shared" si="26"/>
        <v>5</v>
      </c>
      <c r="Q23" s="2">
        <f t="shared" si="27"/>
        <v>4</v>
      </c>
      <c r="R23" s="2">
        <f t="shared" si="28"/>
        <v>5</v>
      </c>
      <c r="S23" s="2">
        <f t="shared" si="29"/>
        <v>7</v>
      </c>
      <c r="T23" s="2">
        <f t="shared" si="30"/>
        <v>7</v>
      </c>
      <c r="U23" s="2">
        <f t="shared" si="31"/>
        <v>1</v>
      </c>
      <c r="V23" s="2">
        <f t="shared" si="32"/>
        <v>3</v>
      </c>
      <c r="W23" s="2">
        <f t="shared" si="33"/>
        <v>2</v>
      </c>
      <c r="X23" s="34">
        <f t="shared" si="34"/>
        <v>2</v>
      </c>
      <c r="Y23" s="2">
        <v>0.0</v>
      </c>
      <c r="Z23" s="3">
        <f t="shared" si="5"/>
        <v>2</v>
      </c>
      <c r="AA23" s="2">
        <f t="shared" si="35"/>
        <v>6</v>
      </c>
      <c r="AB23" s="2">
        <f t="shared" si="36"/>
        <v>6</v>
      </c>
      <c r="AC23" s="2">
        <f t="shared" si="37"/>
        <v>4</v>
      </c>
      <c r="AD23" s="2">
        <f t="shared" si="38"/>
        <v>8</v>
      </c>
      <c r="AE23" s="2">
        <f t="shared" si="39"/>
        <v>8</v>
      </c>
      <c r="AF23" s="2">
        <f t="shared" si="40"/>
        <v>2</v>
      </c>
      <c r="AG23" s="2">
        <f t="shared" si="41"/>
        <v>2</v>
      </c>
      <c r="AH23" s="2">
        <f t="shared" si="42"/>
        <v>4</v>
      </c>
      <c r="AI23" s="34">
        <f t="shared" si="43"/>
        <v>2</v>
      </c>
      <c r="AJ23" s="2">
        <v>1.0</v>
      </c>
      <c r="AK23" s="3">
        <f t="shared" si="6"/>
        <v>1.583333333</v>
      </c>
      <c r="AL23" s="2">
        <f t="shared" si="44"/>
        <v>6</v>
      </c>
      <c r="AM23" s="2">
        <f t="shared" si="45"/>
        <v>5</v>
      </c>
      <c r="AN23" s="2">
        <f t="shared" si="46"/>
        <v>3</v>
      </c>
      <c r="AO23" s="2">
        <f t="shared" si="47"/>
        <v>8</v>
      </c>
      <c r="AP23" s="2">
        <f t="shared" si="48"/>
        <v>6</v>
      </c>
      <c r="AQ23" s="2">
        <f t="shared" si="49"/>
        <v>3</v>
      </c>
      <c r="AR23" s="2">
        <f t="shared" si="50"/>
        <v>3</v>
      </c>
      <c r="AS23" s="2">
        <f t="shared" si="51"/>
        <v>3</v>
      </c>
      <c r="AT23" s="34">
        <f t="shared" si="52"/>
        <v>2</v>
      </c>
      <c r="AU23" s="2">
        <v>3.0</v>
      </c>
      <c r="AV23" s="3">
        <f t="shared" si="7"/>
        <v>1.583333333</v>
      </c>
      <c r="AW23" s="2">
        <f t="shared" si="53"/>
        <v>5</v>
      </c>
      <c r="AX23" s="2">
        <f t="shared" si="54"/>
        <v>6</v>
      </c>
      <c r="AY23" s="2">
        <f t="shared" si="55"/>
        <v>4</v>
      </c>
      <c r="AZ23" s="2">
        <f t="shared" si="56"/>
        <v>9</v>
      </c>
      <c r="BA23" s="2">
        <f t="shared" si="57"/>
        <v>6</v>
      </c>
      <c r="BB23" s="2">
        <f t="shared" si="58"/>
        <v>3</v>
      </c>
      <c r="BC23" s="2">
        <f t="shared" si="59"/>
        <v>3</v>
      </c>
      <c r="BD23" s="2">
        <f t="shared" si="60"/>
        <v>2</v>
      </c>
      <c r="BE23" s="34">
        <f t="shared" si="61"/>
        <v>4</v>
      </c>
      <c r="BF23" s="36">
        <f t="shared" ref="BF23:BO23" si="80">+(AK23+Z23+O23+D23)/4</f>
        <v>2.020833333</v>
      </c>
      <c r="BG23" s="2">
        <f t="shared" si="80"/>
        <v>6.25</v>
      </c>
      <c r="BH23" s="2">
        <f t="shared" si="80"/>
        <v>5.25</v>
      </c>
      <c r="BI23" s="2">
        <f t="shared" si="80"/>
        <v>3.75</v>
      </c>
      <c r="BJ23" s="2">
        <f t="shared" si="80"/>
        <v>8</v>
      </c>
      <c r="BK23" s="2">
        <f t="shared" si="80"/>
        <v>7.25</v>
      </c>
      <c r="BL23" s="2">
        <f t="shared" si="80"/>
        <v>1.75</v>
      </c>
      <c r="BM23" s="2">
        <f t="shared" si="80"/>
        <v>2.75</v>
      </c>
      <c r="BN23" s="2">
        <f t="shared" si="80"/>
        <v>3.5</v>
      </c>
      <c r="BO23" s="62">
        <f t="shared" si="80"/>
        <v>1.75</v>
      </c>
      <c r="BP23" s="37">
        <f t="shared" si="9"/>
        <v>-0.4375</v>
      </c>
      <c r="BQ23" s="38">
        <f t="shared" si="10"/>
        <v>0.25</v>
      </c>
      <c r="BR23" s="38">
        <f t="shared" si="11"/>
        <v>0.25</v>
      </c>
      <c r="BS23" s="38">
        <f t="shared" si="12"/>
        <v>0.1666666667</v>
      </c>
      <c r="BT23" s="38">
        <f t="shared" si="13"/>
        <v>0.3333333333</v>
      </c>
      <c r="BU23" s="38">
        <f t="shared" si="14"/>
        <v>0</v>
      </c>
      <c r="BV23" s="38">
        <f t="shared" si="15"/>
        <v>0.75</v>
      </c>
      <c r="BW23" s="38">
        <f t="shared" ref="BW23:BX23" si="81">+BR23+BS23+BT23</f>
        <v>0.75</v>
      </c>
      <c r="BX23" s="39">
        <f t="shared" si="81"/>
        <v>0.5</v>
      </c>
    </row>
    <row r="24">
      <c r="A24" s="60"/>
      <c r="B24" s="40">
        <v>13.0</v>
      </c>
      <c r="C24" s="24">
        <v>2.0</v>
      </c>
      <c r="D24" s="27">
        <f t="shared" si="3"/>
        <v>2</v>
      </c>
      <c r="E24" s="24">
        <f t="shared" si="17"/>
        <v>9</v>
      </c>
      <c r="F24" s="2">
        <f t="shared" si="18"/>
        <v>7</v>
      </c>
      <c r="G24" s="24">
        <f t="shared" si="19"/>
        <v>3</v>
      </c>
      <c r="H24" s="24">
        <f t="shared" si="20"/>
        <v>10</v>
      </c>
      <c r="I24" s="24">
        <f t="shared" si="21"/>
        <v>9</v>
      </c>
      <c r="J24" s="24">
        <f t="shared" si="22"/>
        <v>1</v>
      </c>
      <c r="K24" s="24">
        <f t="shared" si="23"/>
        <v>3</v>
      </c>
      <c r="L24" s="24">
        <f t="shared" si="24"/>
        <v>6</v>
      </c>
      <c r="M24" s="28">
        <f t="shared" si="25"/>
        <v>1</v>
      </c>
      <c r="N24" s="24">
        <v>2.0</v>
      </c>
      <c r="O24" s="27">
        <f t="shared" si="4"/>
        <v>2.461538462</v>
      </c>
      <c r="P24" s="24">
        <f t="shared" si="26"/>
        <v>6</v>
      </c>
      <c r="Q24" s="2">
        <f t="shared" si="27"/>
        <v>5</v>
      </c>
      <c r="R24" s="24">
        <f t="shared" si="28"/>
        <v>5</v>
      </c>
      <c r="S24" s="24">
        <f t="shared" si="29"/>
        <v>8</v>
      </c>
      <c r="T24" s="24">
        <f t="shared" si="30"/>
        <v>8</v>
      </c>
      <c r="U24" s="24">
        <f t="shared" si="31"/>
        <v>1</v>
      </c>
      <c r="V24" s="24">
        <f t="shared" si="32"/>
        <v>3</v>
      </c>
      <c r="W24" s="24">
        <f t="shared" si="33"/>
        <v>3</v>
      </c>
      <c r="X24" s="28">
        <f t="shared" si="34"/>
        <v>2</v>
      </c>
      <c r="Y24" s="24">
        <v>2.0</v>
      </c>
      <c r="Z24" s="27">
        <f t="shared" si="5"/>
        <v>2</v>
      </c>
      <c r="AA24" s="24">
        <f t="shared" si="35"/>
        <v>7</v>
      </c>
      <c r="AB24" s="2">
        <f t="shared" si="36"/>
        <v>7</v>
      </c>
      <c r="AC24" s="24">
        <f t="shared" si="37"/>
        <v>4</v>
      </c>
      <c r="AD24" s="24">
        <f t="shared" si="38"/>
        <v>9</v>
      </c>
      <c r="AE24" s="24">
        <f t="shared" si="39"/>
        <v>9</v>
      </c>
      <c r="AF24" s="24">
        <f t="shared" si="40"/>
        <v>2</v>
      </c>
      <c r="AG24" s="24">
        <f t="shared" si="41"/>
        <v>2</v>
      </c>
      <c r="AH24" s="24">
        <f t="shared" si="42"/>
        <v>5</v>
      </c>
      <c r="AI24" s="28">
        <f t="shared" si="43"/>
        <v>2</v>
      </c>
      <c r="AJ24" s="24">
        <v>1.0</v>
      </c>
      <c r="AK24" s="27">
        <f t="shared" si="6"/>
        <v>1.538461538</v>
      </c>
      <c r="AL24" s="24">
        <f t="shared" si="44"/>
        <v>7</v>
      </c>
      <c r="AM24" s="2">
        <f t="shared" si="45"/>
        <v>5</v>
      </c>
      <c r="AN24" s="24">
        <f t="shared" si="46"/>
        <v>3</v>
      </c>
      <c r="AO24" s="24">
        <f t="shared" si="47"/>
        <v>9</v>
      </c>
      <c r="AP24" s="24">
        <f t="shared" si="48"/>
        <v>6</v>
      </c>
      <c r="AQ24" s="24">
        <f t="shared" si="49"/>
        <v>3</v>
      </c>
      <c r="AR24" s="24">
        <f t="shared" si="50"/>
        <v>4</v>
      </c>
      <c r="AS24" s="24">
        <f t="shared" si="51"/>
        <v>3</v>
      </c>
      <c r="AT24" s="28">
        <f t="shared" si="52"/>
        <v>2</v>
      </c>
      <c r="AU24" s="24">
        <v>1.0</v>
      </c>
      <c r="AV24" s="27">
        <f t="shared" si="7"/>
        <v>1.538461538</v>
      </c>
      <c r="AW24" s="24">
        <f t="shared" si="53"/>
        <v>6</v>
      </c>
      <c r="AX24" s="2">
        <f t="shared" si="54"/>
        <v>6</v>
      </c>
      <c r="AY24" s="24">
        <f t="shared" si="55"/>
        <v>4</v>
      </c>
      <c r="AZ24" s="24">
        <f t="shared" si="56"/>
        <v>10</v>
      </c>
      <c r="BA24" s="24">
        <f t="shared" si="57"/>
        <v>6</v>
      </c>
      <c r="BB24" s="24">
        <f t="shared" si="58"/>
        <v>3</v>
      </c>
      <c r="BC24" s="24">
        <f t="shared" si="59"/>
        <v>4</v>
      </c>
      <c r="BD24" s="24">
        <f t="shared" si="60"/>
        <v>2</v>
      </c>
      <c r="BE24" s="28">
        <f t="shared" si="61"/>
        <v>4</v>
      </c>
      <c r="BF24" s="29">
        <f t="shared" ref="BF24:BO24" si="82">+(AK24+Z24+O24+D24)/4</f>
        <v>2</v>
      </c>
      <c r="BG24" s="24">
        <f t="shared" si="82"/>
        <v>7.25</v>
      </c>
      <c r="BH24" s="24">
        <f t="shared" si="82"/>
        <v>6</v>
      </c>
      <c r="BI24" s="24">
        <f t="shared" si="82"/>
        <v>3.75</v>
      </c>
      <c r="BJ24" s="24">
        <f t="shared" si="82"/>
        <v>9</v>
      </c>
      <c r="BK24" s="24">
        <f t="shared" si="82"/>
        <v>8</v>
      </c>
      <c r="BL24" s="24">
        <f t="shared" si="82"/>
        <v>1.75</v>
      </c>
      <c r="BM24" s="24">
        <f t="shared" si="82"/>
        <v>3</v>
      </c>
      <c r="BN24" s="24">
        <f t="shared" si="82"/>
        <v>4.25</v>
      </c>
      <c r="BO24" s="61">
        <f t="shared" si="82"/>
        <v>1.75</v>
      </c>
      <c r="BP24" s="30">
        <f t="shared" si="9"/>
        <v>-0.4615384615</v>
      </c>
      <c r="BQ24" s="31">
        <f t="shared" si="10"/>
        <v>0.2307692308</v>
      </c>
      <c r="BR24" s="31">
        <f t="shared" si="11"/>
        <v>0.3076923077</v>
      </c>
      <c r="BS24" s="31">
        <f t="shared" si="12"/>
        <v>0.1538461538</v>
      </c>
      <c r="BT24" s="31">
        <f t="shared" si="13"/>
        <v>0.3076923077</v>
      </c>
      <c r="BU24" s="31">
        <f t="shared" si="14"/>
        <v>0</v>
      </c>
      <c r="BV24" s="31">
        <f t="shared" si="15"/>
        <v>0.7692307692</v>
      </c>
      <c r="BW24" s="31">
        <f t="shared" ref="BW24:BX24" si="83">+BR24+BS24+BT24</f>
        <v>0.7692307692</v>
      </c>
      <c r="BX24" s="32">
        <f t="shared" si="83"/>
        <v>0.4615384615</v>
      </c>
    </row>
    <row r="25">
      <c r="B25" s="33">
        <v>14.0</v>
      </c>
      <c r="C25" s="2">
        <v>4.0</v>
      </c>
      <c r="D25" s="3">
        <f t="shared" si="3"/>
        <v>2.142857143</v>
      </c>
      <c r="E25" s="2">
        <f t="shared" si="17"/>
        <v>9</v>
      </c>
      <c r="F25" s="2">
        <f t="shared" si="18"/>
        <v>7</v>
      </c>
      <c r="G25" s="2">
        <f t="shared" si="19"/>
        <v>4</v>
      </c>
      <c r="H25" s="2">
        <f t="shared" si="20"/>
        <v>10</v>
      </c>
      <c r="I25" s="2">
        <f t="shared" si="21"/>
        <v>10</v>
      </c>
      <c r="J25" s="2">
        <f t="shared" si="22"/>
        <v>1</v>
      </c>
      <c r="K25" s="2">
        <f t="shared" si="23"/>
        <v>3</v>
      </c>
      <c r="L25" s="2">
        <f t="shared" si="24"/>
        <v>6</v>
      </c>
      <c r="M25" s="34">
        <f t="shared" si="25"/>
        <v>1</v>
      </c>
      <c r="N25" s="2">
        <v>2.0</v>
      </c>
      <c r="O25" s="3">
        <f t="shared" si="4"/>
        <v>2.428571429</v>
      </c>
      <c r="P25" s="2">
        <f t="shared" si="26"/>
        <v>7</v>
      </c>
      <c r="Q25" s="2">
        <f t="shared" si="27"/>
        <v>6</v>
      </c>
      <c r="R25" s="2">
        <f t="shared" si="28"/>
        <v>5</v>
      </c>
      <c r="S25" s="2">
        <f t="shared" si="29"/>
        <v>9</v>
      </c>
      <c r="T25" s="2">
        <f t="shared" si="30"/>
        <v>9</v>
      </c>
      <c r="U25" s="2">
        <f t="shared" si="31"/>
        <v>1</v>
      </c>
      <c r="V25" s="2">
        <f t="shared" si="32"/>
        <v>3</v>
      </c>
      <c r="W25" s="2">
        <f t="shared" si="33"/>
        <v>4</v>
      </c>
      <c r="X25" s="34">
        <f t="shared" si="34"/>
        <v>2</v>
      </c>
      <c r="Y25" s="2">
        <v>0.0</v>
      </c>
      <c r="Z25" s="3">
        <f t="shared" si="5"/>
        <v>1.857142857</v>
      </c>
      <c r="AA25" s="2">
        <f t="shared" si="35"/>
        <v>7</v>
      </c>
      <c r="AB25" s="2">
        <f t="shared" si="36"/>
        <v>7</v>
      </c>
      <c r="AC25" s="2">
        <f t="shared" si="37"/>
        <v>4</v>
      </c>
      <c r="AD25" s="2">
        <f t="shared" si="38"/>
        <v>9</v>
      </c>
      <c r="AE25" s="2">
        <f t="shared" si="39"/>
        <v>9</v>
      </c>
      <c r="AF25" s="2">
        <f t="shared" si="40"/>
        <v>3</v>
      </c>
      <c r="AG25" s="2">
        <f t="shared" si="41"/>
        <v>2</v>
      </c>
      <c r="AH25" s="2">
        <f t="shared" si="42"/>
        <v>5</v>
      </c>
      <c r="AI25" s="34">
        <f t="shared" si="43"/>
        <v>2</v>
      </c>
      <c r="AJ25" s="2">
        <v>1.0</v>
      </c>
      <c r="AK25" s="3">
        <f t="shared" si="6"/>
        <v>1.5</v>
      </c>
      <c r="AL25" s="2">
        <f t="shared" si="44"/>
        <v>8</v>
      </c>
      <c r="AM25" s="2">
        <f t="shared" si="45"/>
        <v>5</v>
      </c>
      <c r="AN25" s="2">
        <f t="shared" si="46"/>
        <v>3</v>
      </c>
      <c r="AO25" s="2">
        <f t="shared" si="47"/>
        <v>10</v>
      </c>
      <c r="AP25" s="2">
        <f t="shared" si="48"/>
        <v>6</v>
      </c>
      <c r="AQ25" s="2">
        <f t="shared" si="49"/>
        <v>3</v>
      </c>
      <c r="AR25" s="2">
        <f t="shared" si="50"/>
        <v>5</v>
      </c>
      <c r="AS25" s="2">
        <f t="shared" si="51"/>
        <v>3</v>
      </c>
      <c r="AT25" s="34">
        <f t="shared" si="52"/>
        <v>2</v>
      </c>
      <c r="AU25" s="2">
        <v>2.0</v>
      </c>
      <c r="AV25" s="3">
        <f t="shared" si="7"/>
        <v>1.571428571</v>
      </c>
      <c r="AW25" s="2">
        <f t="shared" si="53"/>
        <v>7</v>
      </c>
      <c r="AX25" s="2">
        <f t="shared" si="54"/>
        <v>7</v>
      </c>
      <c r="AY25" s="2">
        <f t="shared" si="55"/>
        <v>4</v>
      </c>
      <c r="AZ25" s="2">
        <f t="shared" si="56"/>
        <v>11</v>
      </c>
      <c r="BA25" s="2">
        <f t="shared" si="57"/>
        <v>7</v>
      </c>
      <c r="BB25" s="2">
        <f t="shared" si="58"/>
        <v>3</v>
      </c>
      <c r="BC25" s="2">
        <f t="shared" si="59"/>
        <v>4</v>
      </c>
      <c r="BD25" s="2">
        <f t="shared" si="60"/>
        <v>3</v>
      </c>
      <c r="BE25" s="34">
        <f t="shared" si="61"/>
        <v>4</v>
      </c>
      <c r="BF25" s="36">
        <f t="shared" ref="BF25:BO25" si="84">+(AK25+Z25+O25+D25)/4</f>
        <v>1.982142857</v>
      </c>
      <c r="BG25" s="2">
        <f t="shared" si="84"/>
        <v>7.75</v>
      </c>
      <c r="BH25" s="2">
        <f t="shared" si="84"/>
        <v>6.25</v>
      </c>
      <c r="BI25" s="2">
        <f t="shared" si="84"/>
        <v>4</v>
      </c>
      <c r="BJ25" s="2">
        <f t="shared" si="84"/>
        <v>9.5</v>
      </c>
      <c r="BK25" s="2">
        <f t="shared" si="84"/>
        <v>8.5</v>
      </c>
      <c r="BL25" s="2">
        <f t="shared" si="84"/>
        <v>2</v>
      </c>
      <c r="BM25" s="2">
        <f t="shared" si="84"/>
        <v>3.25</v>
      </c>
      <c r="BN25" s="2">
        <f t="shared" si="84"/>
        <v>4.5</v>
      </c>
      <c r="BO25" s="62">
        <f t="shared" si="84"/>
        <v>1.75</v>
      </c>
      <c r="BP25" s="37">
        <f t="shared" si="9"/>
        <v>-0.4107142857</v>
      </c>
      <c r="BQ25" s="38">
        <f t="shared" si="10"/>
        <v>0.2142857143</v>
      </c>
      <c r="BR25" s="38">
        <f t="shared" si="11"/>
        <v>0.2857142857</v>
      </c>
      <c r="BS25" s="38">
        <f t="shared" si="12"/>
        <v>0.2142857143</v>
      </c>
      <c r="BT25" s="38">
        <f t="shared" si="13"/>
        <v>0.2857142857</v>
      </c>
      <c r="BU25" s="38">
        <f t="shared" si="14"/>
        <v>0</v>
      </c>
      <c r="BV25" s="38">
        <f t="shared" si="15"/>
        <v>0.7857142857</v>
      </c>
      <c r="BW25" s="38">
        <f t="shared" ref="BW25:BX25" si="85">+BR25+BS25+BT25</f>
        <v>0.7857142857</v>
      </c>
      <c r="BX25" s="39">
        <f t="shared" si="85"/>
        <v>0.5</v>
      </c>
    </row>
    <row r="26">
      <c r="A26" s="60"/>
      <c r="B26" s="40">
        <v>15.0</v>
      </c>
      <c r="C26" s="24">
        <v>2.0</v>
      </c>
      <c r="D26" s="27">
        <f t="shared" si="3"/>
        <v>2.133333333</v>
      </c>
      <c r="E26" s="24">
        <f t="shared" si="17"/>
        <v>10</v>
      </c>
      <c r="F26" s="2">
        <f t="shared" si="18"/>
        <v>8</v>
      </c>
      <c r="G26" s="24">
        <f t="shared" si="19"/>
        <v>4</v>
      </c>
      <c r="H26" s="24">
        <f t="shared" si="20"/>
        <v>11</v>
      </c>
      <c r="I26" s="24">
        <f t="shared" si="21"/>
        <v>11</v>
      </c>
      <c r="J26" s="24">
        <f t="shared" si="22"/>
        <v>1</v>
      </c>
      <c r="K26" s="24">
        <f t="shared" si="23"/>
        <v>3</v>
      </c>
      <c r="L26" s="24">
        <f t="shared" si="24"/>
        <v>7</v>
      </c>
      <c r="M26" s="28">
        <f t="shared" si="25"/>
        <v>1</v>
      </c>
      <c r="N26" s="24">
        <v>3.0</v>
      </c>
      <c r="O26" s="27">
        <f t="shared" si="4"/>
        <v>2.466666667</v>
      </c>
      <c r="P26" s="24">
        <f t="shared" si="26"/>
        <v>7</v>
      </c>
      <c r="Q26" s="2">
        <f t="shared" si="27"/>
        <v>7</v>
      </c>
      <c r="R26" s="24">
        <f t="shared" si="28"/>
        <v>6</v>
      </c>
      <c r="S26" s="24">
        <f t="shared" si="29"/>
        <v>10</v>
      </c>
      <c r="T26" s="24">
        <f t="shared" si="30"/>
        <v>10</v>
      </c>
      <c r="U26" s="24">
        <f t="shared" si="31"/>
        <v>1</v>
      </c>
      <c r="V26" s="24">
        <f t="shared" si="32"/>
        <v>3</v>
      </c>
      <c r="W26" s="24">
        <f t="shared" si="33"/>
        <v>4</v>
      </c>
      <c r="X26" s="28">
        <f t="shared" si="34"/>
        <v>3</v>
      </c>
      <c r="Y26" s="24">
        <v>0.0</v>
      </c>
      <c r="Z26" s="27">
        <f t="shared" si="5"/>
        <v>1.733333333</v>
      </c>
      <c r="AA26" s="24">
        <f t="shared" si="35"/>
        <v>7</v>
      </c>
      <c r="AB26" s="2">
        <f t="shared" si="36"/>
        <v>7</v>
      </c>
      <c r="AC26" s="24">
        <f t="shared" si="37"/>
        <v>4</v>
      </c>
      <c r="AD26" s="24">
        <f t="shared" si="38"/>
        <v>9</v>
      </c>
      <c r="AE26" s="24">
        <f t="shared" si="39"/>
        <v>9</v>
      </c>
      <c r="AF26" s="24">
        <f t="shared" si="40"/>
        <v>4</v>
      </c>
      <c r="AG26" s="24">
        <f t="shared" si="41"/>
        <v>2</v>
      </c>
      <c r="AH26" s="24">
        <f t="shared" si="42"/>
        <v>5</v>
      </c>
      <c r="AI26" s="28">
        <f t="shared" si="43"/>
        <v>2</v>
      </c>
      <c r="AJ26" s="24">
        <v>0.0</v>
      </c>
      <c r="AK26" s="27">
        <f t="shared" si="6"/>
        <v>1.4</v>
      </c>
      <c r="AL26" s="24">
        <f t="shared" si="44"/>
        <v>8</v>
      </c>
      <c r="AM26" s="2">
        <f t="shared" si="45"/>
        <v>5</v>
      </c>
      <c r="AN26" s="24">
        <f t="shared" si="46"/>
        <v>3</v>
      </c>
      <c r="AO26" s="24">
        <f t="shared" si="47"/>
        <v>10</v>
      </c>
      <c r="AP26" s="24">
        <f t="shared" si="48"/>
        <v>6</v>
      </c>
      <c r="AQ26" s="24">
        <f t="shared" si="49"/>
        <v>4</v>
      </c>
      <c r="AR26" s="24">
        <f t="shared" si="50"/>
        <v>5</v>
      </c>
      <c r="AS26" s="24">
        <f t="shared" si="51"/>
        <v>3</v>
      </c>
      <c r="AT26" s="28">
        <f t="shared" si="52"/>
        <v>2</v>
      </c>
      <c r="AU26" s="24">
        <v>0.0</v>
      </c>
      <c r="AV26" s="27">
        <f t="shared" si="7"/>
        <v>1.466666667</v>
      </c>
      <c r="AW26" s="24">
        <f t="shared" si="53"/>
        <v>7</v>
      </c>
      <c r="AX26" s="2">
        <f t="shared" si="54"/>
        <v>7</v>
      </c>
      <c r="AY26" s="24">
        <f t="shared" si="55"/>
        <v>4</v>
      </c>
      <c r="AZ26" s="24">
        <f t="shared" si="56"/>
        <v>11</v>
      </c>
      <c r="BA26" s="24">
        <f t="shared" si="57"/>
        <v>7</v>
      </c>
      <c r="BB26" s="24">
        <f t="shared" si="58"/>
        <v>4</v>
      </c>
      <c r="BC26" s="24">
        <f t="shared" si="59"/>
        <v>4</v>
      </c>
      <c r="BD26" s="24">
        <f t="shared" si="60"/>
        <v>3</v>
      </c>
      <c r="BE26" s="28">
        <f t="shared" si="61"/>
        <v>4</v>
      </c>
      <c r="BF26" s="29">
        <f t="shared" ref="BF26:BO26" si="86">+(AK26+Z26+O26+D26)/4</f>
        <v>1.933333333</v>
      </c>
      <c r="BG26" s="24">
        <f t="shared" si="86"/>
        <v>8</v>
      </c>
      <c r="BH26" s="24">
        <f t="shared" si="86"/>
        <v>6.75</v>
      </c>
      <c r="BI26" s="24">
        <f t="shared" si="86"/>
        <v>4.25</v>
      </c>
      <c r="BJ26" s="24">
        <f t="shared" si="86"/>
        <v>10</v>
      </c>
      <c r="BK26" s="24">
        <f t="shared" si="86"/>
        <v>9</v>
      </c>
      <c r="BL26" s="24">
        <f t="shared" si="86"/>
        <v>2.5</v>
      </c>
      <c r="BM26" s="24">
        <f t="shared" si="86"/>
        <v>3.25</v>
      </c>
      <c r="BN26" s="24">
        <f t="shared" si="86"/>
        <v>4.75</v>
      </c>
      <c r="BO26" s="61">
        <f t="shared" si="86"/>
        <v>2</v>
      </c>
      <c r="BP26" s="30">
        <f t="shared" si="9"/>
        <v>-0.4666666667</v>
      </c>
      <c r="BQ26" s="31">
        <f t="shared" si="10"/>
        <v>0.2666666667</v>
      </c>
      <c r="BR26" s="31">
        <f t="shared" si="11"/>
        <v>0.2666666667</v>
      </c>
      <c r="BS26" s="31">
        <f t="shared" si="12"/>
        <v>0.2</v>
      </c>
      <c r="BT26" s="31">
        <f t="shared" si="13"/>
        <v>0.2666666667</v>
      </c>
      <c r="BU26" s="31">
        <f t="shared" si="14"/>
        <v>0</v>
      </c>
      <c r="BV26" s="31">
        <f t="shared" si="15"/>
        <v>0.7333333333</v>
      </c>
      <c r="BW26" s="31">
        <f t="shared" ref="BW26:BX26" si="87">+BR26+BS26+BT26</f>
        <v>0.7333333333</v>
      </c>
      <c r="BX26" s="32">
        <f t="shared" si="87"/>
        <v>0.4666666667</v>
      </c>
    </row>
    <row r="27" ht="15.75" customHeight="1">
      <c r="B27" s="33">
        <v>16.0</v>
      </c>
      <c r="C27" s="2">
        <v>2.0</v>
      </c>
      <c r="D27" s="3">
        <f t="shared" si="3"/>
        <v>2.125</v>
      </c>
      <c r="E27" s="2">
        <f t="shared" si="17"/>
        <v>11</v>
      </c>
      <c r="F27" s="2">
        <f t="shared" si="18"/>
        <v>9</v>
      </c>
      <c r="G27" s="2">
        <f t="shared" si="19"/>
        <v>4</v>
      </c>
      <c r="H27" s="2">
        <f t="shared" si="20"/>
        <v>12</v>
      </c>
      <c r="I27" s="2">
        <f t="shared" si="21"/>
        <v>12</v>
      </c>
      <c r="J27" s="2">
        <f t="shared" si="22"/>
        <v>1</v>
      </c>
      <c r="K27" s="2">
        <f t="shared" si="23"/>
        <v>3</v>
      </c>
      <c r="L27" s="2">
        <f t="shared" si="24"/>
        <v>8</v>
      </c>
      <c r="M27" s="34">
        <f t="shared" si="25"/>
        <v>1</v>
      </c>
      <c r="N27" s="2">
        <v>0.0</v>
      </c>
      <c r="O27" s="3">
        <f t="shared" si="4"/>
        <v>2.3125</v>
      </c>
      <c r="P27" s="2">
        <f t="shared" si="26"/>
        <v>7</v>
      </c>
      <c r="Q27" s="2">
        <f t="shared" si="27"/>
        <v>7</v>
      </c>
      <c r="R27" s="2">
        <f t="shared" si="28"/>
        <v>6</v>
      </c>
      <c r="S27" s="2">
        <f t="shared" si="29"/>
        <v>10</v>
      </c>
      <c r="T27" s="2">
        <f t="shared" si="30"/>
        <v>10</v>
      </c>
      <c r="U27" s="2">
        <f t="shared" si="31"/>
        <v>2</v>
      </c>
      <c r="V27" s="2">
        <f t="shared" si="32"/>
        <v>3</v>
      </c>
      <c r="W27" s="2">
        <f t="shared" si="33"/>
        <v>4</v>
      </c>
      <c r="X27" s="34">
        <f t="shared" si="34"/>
        <v>3</v>
      </c>
      <c r="Y27" s="2">
        <v>2.0</v>
      </c>
      <c r="Z27" s="3">
        <f t="shared" si="5"/>
        <v>1.75</v>
      </c>
      <c r="AA27" s="2">
        <f t="shared" si="35"/>
        <v>8</v>
      </c>
      <c r="AB27" s="2">
        <f t="shared" si="36"/>
        <v>8</v>
      </c>
      <c r="AC27" s="2">
        <f t="shared" si="37"/>
        <v>4</v>
      </c>
      <c r="AD27" s="2">
        <f t="shared" si="38"/>
        <v>10</v>
      </c>
      <c r="AE27" s="2">
        <f t="shared" si="39"/>
        <v>10</v>
      </c>
      <c r="AF27" s="2">
        <f t="shared" si="40"/>
        <v>4</v>
      </c>
      <c r="AG27" s="2">
        <f t="shared" si="41"/>
        <v>2</v>
      </c>
      <c r="AH27" s="2">
        <f t="shared" si="42"/>
        <v>6</v>
      </c>
      <c r="AI27" s="34">
        <f t="shared" si="43"/>
        <v>2</v>
      </c>
      <c r="AJ27" s="2">
        <v>3.0</v>
      </c>
      <c r="AK27" s="3">
        <f t="shared" si="6"/>
        <v>1.5</v>
      </c>
      <c r="AL27" s="2">
        <f t="shared" si="44"/>
        <v>8</v>
      </c>
      <c r="AM27" s="2">
        <f t="shared" si="45"/>
        <v>6</v>
      </c>
      <c r="AN27" s="2">
        <f t="shared" si="46"/>
        <v>4</v>
      </c>
      <c r="AO27" s="2">
        <f t="shared" si="47"/>
        <v>11</v>
      </c>
      <c r="AP27" s="2">
        <f t="shared" si="48"/>
        <v>7</v>
      </c>
      <c r="AQ27" s="2">
        <f t="shared" si="49"/>
        <v>4</v>
      </c>
      <c r="AR27" s="2">
        <f t="shared" si="50"/>
        <v>5</v>
      </c>
      <c r="AS27" s="2">
        <f t="shared" si="51"/>
        <v>3</v>
      </c>
      <c r="AT27" s="34">
        <f t="shared" si="52"/>
        <v>3</v>
      </c>
      <c r="AU27" s="47">
        <v>2.0</v>
      </c>
      <c r="AV27" s="3">
        <f t="shared" si="7"/>
        <v>1.5</v>
      </c>
      <c r="AW27" s="2">
        <f t="shared" si="53"/>
        <v>8</v>
      </c>
      <c r="AX27" s="2">
        <f t="shared" si="54"/>
        <v>8</v>
      </c>
      <c r="AY27" s="2">
        <f t="shared" si="55"/>
        <v>4</v>
      </c>
      <c r="AZ27" s="2">
        <f t="shared" si="56"/>
        <v>12</v>
      </c>
      <c r="BA27" s="2">
        <f t="shared" si="57"/>
        <v>8</v>
      </c>
      <c r="BB27" s="2">
        <f t="shared" si="58"/>
        <v>4</v>
      </c>
      <c r="BC27" s="2">
        <f t="shared" si="59"/>
        <v>4</v>
      </c>
      <c r="BD27" s="2">
        <f t="shared" si="60"/>
        <v>4</v>
      </c>
      <c r="BE27" s="34">
        <f t="shared" si="61"/>
        <v>4</v>
      </c>
      <c r="BF27" s="36">
        <f t="shared" ref="BF27:BO27" si="88">+(AK27+Z27+O27+D27)/4</f>
        <v>1.921875</v>
      </c>
      <c r="BG27" s="2">
        <f t="shared" si="88"/>
        <v>8.5</v>
      </c>
      <c r="BH27" s="2">
        <f t="shared" si="88"/>
        <v>7.5</v>
      </c>
      <c r="BI27" s="2">
        <f t="shared" si="88"/>
        <v>4.5</v>
      </c>
      <c r="BJ27" s="2">
        <f t="shared" si="88"/>
        <v>10.75</v>
      </c>
      <c r="BK27" s="2">
        <f t="shared" si="88"/>
        <v>9.75</v>
      </c>
      <c r="BL27" s="2">
        <f t="shared" si="88"/>
        <v>2.75</v>
      </c>
      <c r="BM27" s="2">
        <f t="shared" si="88"/>
        <v>3.25</v>
      </c>
      <c r="BN27" s="2">
        <f t="shared" si="88"/>
        <v>5.25</v>
      </c>
      <c r="BO27" s="62">
        <f t="shared" si="88"/>
        <v>2.25</v>
      </c>
      <c r="BP27" s="37">
        <f t="shared" si="9"/>
        <v>-0.421875</v>
      </c>
      <c r="BQ27" s="38">
        <f t="shared" si="10"/>
        <v>0.25</v>
      </c>
      <c r="BR27" s="38">
        <f t="shared" si="11"/>
        <v>0.25</v>
      </c>
      <c r="BS27" s="38">
        <f t="shared" si="12"/>
        <v>0.25</v>
      </c>
      <c r="BT27" s="38">
        <f t="shared" si="13"/>
        <v>0.25</v>
      </c>
      <c r="BU27" s="38">
        <f t="shared" si="14"/>
        <v>0</v>
      </c>
      <c r="BV27" s="38">
        <f t="shared" si="15"/>
        <v>0.75</v>
      </c>
      <c r="BW27" s="38">
        <f t="shared" ref="BW27:BX27" si="89">+BR27+BS27+BT27</f>
        <v>0.75</v>
      </c>
      <c r="BX27" s="39">
        <f t="shared" si="89"/>
        <v>0.5</v>
      </c>
    </row>
    <row r="28" ht="15.75" customHeight="1">
      <c r="A28" s="60"/>
      <c r="B28" s="40">
        <v>17.0</v>
      </c>
      <c r="C28" s="24">
        <v>0.0</v>
      </c>
      <c r="D28" s="27">
        <f t="shared" si="3"/>
        <v>2</v>
      </c>
      <c r="E28" s="24">
        <f t="shared" si="17"/>
        <v>11</v>
      </c>
      <c r="F28" s="2">
        <f t="shared" si="18"/>
        <v>9</v>
      </c>
      <c r="G28" s="24">
        <f t="shared" si="19"/>
        <v>4</v>
      </c>
      <c r="H28" s="24">
        <f t="shared" si="20"/>
        <v>12</v>
      </c>
      <c r="I28" s="24">
        <f t="shared" si="21"/>
        <v>12</v>
      </c>
      <c r="J28" s="24">
        <f t="shared" si="22"/>
        <v>2</v>
      </c>
      <c r="K28" s="24">
        <f t="shared" si="23"/>
        <v>3</v>
      </c>
      <c r="L28" s="24">
        <f t="shared" si="24"/>
        <v>8</v>
      </c>
      <c r="M28" s="28">
        <f t="shared" si="25"/>
        <v>1</v>
      </c>
      <c r="N28" s="24">
        <v>2.0</v>
      </c>
      <c r="O28" s="27">
        <f t="shared" si="4"/>
        <v>2.294117647</v>
      </c>
      <c r="P28" s="24">
        <f t="shared" si="26"/>
        <v>8</v>
      </c>
      <c r="Q28" s="2">
        <f t="shared" si="27"/>
        <v>8</v>
      </c>
      <c r="R28" s="24">
        <f t="shared" si="28"/>
        <v>6</v>
      </c>
      <c r="S28" s="24">
        <f t="shared" si="29"/>
        <v>11</v>
      </c>
      <c r="T28" s="24">
        <f t="shared" si="30"/>
        <v>11</v>
      </c>
      <c r="U28" s="24">
        <f t="shared" si="31"/>
        <v>2</v>
      </c>
      <c r="V28" s="24">
        <f t="shared" si="32"/>
        <v>3</v>
      </c>
      <c r="W28" s="24">
        <f t="shared" si="33"/>
        <v>5</v>
      </c>
      <c r="X28" s="28">
        <f t="shared" si="34"/>
        <v>3</v>
      </c>
      <c r="Y28" s="24">
        <v>0.0</v>
      </c>
      <c r="Z28" s="27">
        <f t="shared" si="5"/>
        <v>1.647058824</v>
      </c>
      <c r="AA28" s="24">
        <f t="shared" si="35"/>
        <v>8</v>
      </c>
      <c r="AB28" s="2">
        <f t="shared" si="36"/>
        <v>8</v>
      </c>
      <c r="AC28" s="24">
        <f t="shared" si="37"/>
        <v>4</v>
      </c>
      <c r="AD28" s="24">
        <f t="shared" si="38"/>
        <v>10</v>
      </c>
      <c r="AE28" s="24">
        <f t="shared" si="39"/>
        <v>10</v>
      </c>
      <c r="AF28" s="24">
        <f t="shared" si="40"/>
        <v>5</v>
      </c>
      <c r="AG28" s="24">
        <f t="shared" si="41"/>
        <v>2</v>
      </c>
      <c r="AH28" s="24">
        <f t="shared" si="42"/>
        <v>6</v>
      </c>
      <c r="AI28" s="28">
        <f t="shared" si="43"/>
        <v>2</v>
      </c>
      <c r="AJ28" s="24">
        <v>2.0</v>
      </c>
      <c r="AK28" s="27">
        <f t="shared" si="6"/>
        <v>1.529411765</v>
      </c>
      <c r="AL28" s="24">
        <f t="shared" si="44"/>
        <v>9</v>
      </c>
      <c r="AM28" s="2">
        <f t="shared" si="45"/>
        <v>7</v>
      </c>
      <c r="AN28" s="24">
        <f t="shared" si="46"/>
        <v>4</v>
      </c>
      <c r="AO28" s="24">
        <f t="shared" si="47"/>
        <v>12</v>
      </c>
      <c r="AP28" s="24">
        <f t="shared" si="48"/>
        <v>8</v>
      </c>
      <c r="AQ28" s="24">
        <f t="shared" si="49"/>
        <v>4</v>
      </c>
      <c r="AR28" s="24">
        <f t="shared" si="50"/>
        <v>5</v>
      </c>
      <c r="AS28" s="24">
        <f t="shared" si="51"/>
        <v>4</v>
      </c>
      <c r="AT28" s="28">
        <f t="shared" si="52"/>
        <v>3</v>
      </c>
      <c r="AU28" s="41">
        <v>2.0</v>
      </c>
      <c r="AV28" s="27">
        <f t="shared" si="7"/>
        <v>1.529411765</v>
      </c>
      <c r="AW28" s="24">
        <f t="shared" si="53"/>
        <v>9</v>
      </c>
      <c r="AX28" s="2">
        <f t="shared" si="54"/>
        <v>9</v>
      </c>
      <c r="AY28" s="24">
        <f t="shared" si="55"/>
        <v>4</v>
      </c>
      <c r="AZ28" s="24">
        <f t="shared" si="56"/>
        <v>13</v>
      </c>
      <c r="BA28" s="24">
        <f t="shared" si="57"/>
        <v>9</v>
      </c>
      <c r="BB28" s="24">
        <f t="shared" si="58"/>
        <v>4</v>
      </c>
      <c r="BC28" s="24">
        <f t="shared" si="59"/>
        <v>4</v>
      </c>
      <c r="BD28" s="24">
        <f t="shared" si="60"/>
        <v>5</v>
      </c>
      <c r="BE28" s="28">
        <f t="shared" si="61"/>
        <v>4</v>
      </c>
      <c r="BF28" s="29">
        <f t="shared" ref="BF28:BO28" si="90">+(AK28+Z28+O28+D28)/4</f>
        <v>1.867647059</v>
      </c>
      <c r="BG28" s="24">
        <f t="shared" si="90"/>
        <v>9</v>
      </c>
      <c r="BH28" s="24">
        <f t="shared" si="90"/>
        <v>8</v>
      </c>
      <c r="BI28" s="24">
        <f t="shared" si="90"/>
        <v>4.5</v>
      </c>
      <c r="BJ28" s="24">
        <f t="shared" si="90"/>
        <v>11.25</v>
      </c>
      <c r="BK28" s="24">
        <f t="shared" si="90"/>
        <v>10.25</v>
      </c>
      <c r="BL28" s="24">
        <f t="shared" si="90"/>
        <v>3.25</v>
      </c>
      <c r="BM28" s="24">
        <f t="shared" si="90"/>
        <v>3.25</v>
      </c>
      <c r="BN28" s="24">
        <f t="shared" si="90"/>
        <v>5.75</v>
      </c>
      <c r="BO28" s="61">
        <f t="shared" si="90"/>
        <v>2.25</v>
      </c>
      <c r="BP28" s="30">
        <f t="shared" si="9"/>
        <v>-0.3382352941</v>
      </c>
      <c r="BQ28" s="31">
        <f t="shared" si="10"/>
        <v>0.2352941176</v>
      </c>
      <c r="BR28" s="31">
        <f t="shared" si="11"/>
        <v>0.2352941176</v>
      </c>
      <c r="BS28" s="31">
        <f t="shared" si="12"/>
        <v>0.2941176471</v>
      </c>
      <c r="BT28" s="31">
        <f t="shared" si="13"/>
        <v>0.2352941176</v>
      </c>
      <c r="BU28" s="31">
        <f t="shared" si="14"/>
        <v>0</v>
      </c>
      <c r="BV28" s="31">
        <f t="shared" si="15"/>
        <v>0.7647058824</v>
      </c>
      <c r="BW28" s="31">
        <f t="shared" ref="BW28:BX28" si="91">+BR28+BS28+BT28</f>
        <v>0.7647058824</v>
      </c>
      <c r="BX28" s="32">
        <f t="shared" si="91"/>
        <v>0.5294117647</v>
      </c>
    </row>
    <row r="29" ht="15.75" customHeight="1">
      <c r="B29" s="33">
        <v>18.0</v>
      </c>
      <c r="C29" s="2">
        <v>1.0</v>
      </c>
      <c r="D29" s="3">
        <f t="shared" si="3"/>
        <v>1.944444444</v>
      </c>
      <c r="E29" s="2">
        <f t="shared" si="17"/>
        <v>12</v>
      </c>
      <c r="F29" s="2">
        <f t="shared" si="18"/>
        <v>9</v>
      </c>
      <c r="G29" s="2">
        <f t="shared" si="19"/>
        <v>4</v>
      </c>
      <c r="H29" s="2">
        <f t="shared" si="20"/>
        <v>13</v>
      </c>
      <c r="I29" s="2">
        <f t="shared" si="21"/>
        <v>12</v>
      </c>
      <c r="J29" s="2">
        <f t="shared" si="22"/>
        <v>2</v>
      </c>
      <c r="K29" s="2">
        <f t="shared" si="23"/>
        <v>4</v>
      </c>
      <c r="L29" s="2">
        <f t="shared" si="24"/>
        <v>8</v>
      </c>
      <c r="M29" s="34">
        <f t="shared" si="25"/>
        <v>1</v>
      </c>
      <c r="N29" s="2">
        <v>5.0</v>
      </c>
      <c r="O29" s="3">
        <f t="shared" si="4"/>
        <v>2.444444444</v>
      </c>
      <c r="P29" s="2">
        <f t="shared" si="26"/>
        <v>8</v>
      </c>
      <c r="Q29" s="2">
        <f t="shared" si="27"/>
        <v>8</v>
      </c>
      <c r="R29" s="2">
        <f t="shared" si="28"/>
        <v>6</v>
      </c>
      <c r="S29" s="2">
        <f t="shared" si="29"/>
        <v>11</v>
      </c>
      <c r="T29" s="2">
        <f t="shared" si="30"/>
        <v>11</v>
      </c>
      <c r="U29" s="2">
        <f t="shared" si="31"/>
        <v>2</v>
      </c>
      <c r="V29" s="2">
        <f t="shared" si="32"/>
        <v>3</v>
      </c>
      <c r="W29" s="2">
        <f t="shared" si="33"/>
        <v>5</v>
      </c>
      <c r="X29" s="34">
        <f t="shared" si="34"/>
        <v>3</v>
      </c>
      <c r="Y29" s="2">
        <v>0.0</v>
      </c>
      <c r="Z29" s="3">
        <f t="shared" si="5"/>
        <v>1.555555556</v>
      </c>
      <c r="AA29" s="2">
        <f t="shared" si="35"/>
        <v>8</v>
      </c>
      <c r="AB29" s="2">
        <f t="shared" si="36"/>
        <v>8</v>
      </c>
      <c r="AC29" s="2">
        <f t="shared" si="37"/>
        <v>4</v>
      </c>
      <c r="AD29" s="2">
        <f t="shared" si="38"/>
        <v>10</v>
      </c>
      <c r="AE29" s="2">
        <f t="shared" si="39"/>
        <v>10</v>
      </c>
      <c r="AF29" s="2">
        <f t="shared" si="40"/>
        <v>6</v>
      </c>
      <c r="AG29" s="2">
        <f t="shared" si="41"/>
        <v>2</v>
      </c>
      <c r="AH29" s="2">
        <f t="shared" si="42"/>
        <v>6</v>
      </c>
      <c r="AI29" s="34">
        <f t="shared" si="43"/>
        <v>2</v>
      </c>
      <c r="AJ29" s="2">
        <v>1.0</v>
      </c>
      <c r="AK29" s="3">
        <f t="shared" si="6"/>
        <v>1.5</v>
      </c>
      <c r="AL29" s="2">
        <f t="shared" si="44"/>
        <v>10</v>
      </c>
      <c r="AM29" s="2">
        <f t="shared" si="45"/>
        <v>7</v>
      </c>
      <c r="AN29" s="2">
        <f t="shared" si="46"/>
        <v>4</v>
      </c>
      <c r="AO29" s="2">
        <f t="shared" si="47"/>
        <v>13</v>
      </c>
      <c r="AP29" s="2">
        <f t="shared" si="48"/>
        <v>8</v>
      </c>
      <c r="AQ29" s="2">
        <f t="shared" si="49"/>
        <v>4</v>
      </c>
      <c r="AR29" s="2">
        <f t="shared" si="50"/>
        <v>6</v>
      </c>
      <c r="AS29" s="2">
        <f t="shared" si="51"/>
        <v>4</v>
      </c>
      <c r="AT29" s="34">
        <f t="shared" si="52"/>
        <v>3</v>
      </c>
      <c r="AU29" s="2"/>
      <c r="AV29" s="3">
        <f t="shared" si="7"/>
        <v>1.529411765</v>
      </c>
      <c r="AW29" s="2">
        <f t="shared" si="53"/>
        <v>9</v>
      </c>
      <c r="AX29" s="2">
        <f t="shared" si="54"/>
        <v>9</v>
      </c>
      <c r="AY29" s="2">
        <f t="shared" si="55"/>
        <v>4</v>
      </c>
      <c r="AZ29" s="2">
        <f t="shared" si="56"/>
        <v>13</v>
      </c>
      <c r="BA29" s="2">
        <f t="shared" si="57"/>
        <v>9</v>
      </c>
      <c r="BB29" s="2">
        <f t="shared" si="58"/>
        <v>5</v>
      </c>
      <c r="BC29" s="2">
        <f t="shared" si="59"/>
        <v>4</v>
      </c>
      <c r="BD29" s="2">
        <f t="shared" si="60"/>
        <v>5</v>
      </c>
      <c r="BE29" s="34">
        <f t="shared" si="61"/>
        <v>4</v>
      </c>
      <c r="BF29" s="36">
        <f t="shared" ref="BF29:BO29" si="92">+(AK29+Z29+O29+D29)/4</f>
        <v>1.861111111</v>
      </c>
      <c r="BG29" s="2">
        <f t="shared" si="92"/>
        <v>9.5</v>
      </c>
      <c r="BH29" s="2">
        <f t="shared" si="92"/>
        <v>8</v>
      </c>
      <c r="BI29" s="2">
        <f t="shared" si="92"/>
        <v>4.5</v>
      </c>
      <c r="BJ29" s="2">
        <f t="shared" si="92"/>
        <v>11.75</v>
      </c>
      <c r="BK29" s="2">
        <f t="shared" si="92"/>
        <v>10.25</v>
      </c>
      <c r="BL29" s="2">
        <f t="shared" si="92"/>
        <v>3.5</v>
      </c>
      <c r="BM29" s="2">
        <f t="shared" si="92"/>
        <v>3.75</v>
      </c>
      <c r="BN29" s="2">
        <f t="shared" si="92"/>
        <v>5.75</v>
      </c>
      <c r="BO29" s="62">
        <f t="shared" si="92"/>
        <v>2.25</v>
      </c>
      <c r="BP29" s="37">
        <f t="shared" si="9"/>
        <v>-0.3316993464</v>
      </c>
      <c r="BQ29" s="38">
        <f t="shared" si="10"/>
        <v>0.2222222222</v>
      </c>
      <c r="BR29" s="38">
        <f t="shared" si="11"/>
        <v>0.2222222222</v>
      </c>
      <c r="BS29" s="38">
        <f t="shared" si="12"/>
        <v>0.2777777778</v>
      </c>
      <c r="BT29" s="38">
        <f t="shared" si="13"/>
        <v>0.2222222222</v>
      </c>
      <c r="BU29" s="38">
        <f t="shared" si="14"/>
        <v>0</v>
      </c>
      <c r="BV29" s="38">
        <f t="shared" si="15"/>
        <v>0.7777777778</v>
      </c>
      <c r="BW29" s="38">
        <f t="shared" ref="BW29:BX29" si="93">+BR29+BS29+BT29</f>
        <v>0.7222222222</v>
      </c>
      <c r="BX29" s="39">
        <f t="shared" si="93"/>
        <v>0.5</v>
      </c>
    </row>
    <row r="30" ht="15.75" customHeight="1">
      <c r="A30" s="60"/>
      <c r="B30" s="40">
        <v>19.0</v>
      </c>
      <c r="C30" s="24">
        <v>0.0</v>
      </c>
      <c r="D30" s="27">
        <f t="shared" si="3"/>
        <v>1.842105263</v>
      </c>
      <c r="E30" s="24">
        <f t="shared" si="17"/>
        <v>12</v>
      </c>
      <c r="F30" s="2">
        <f t="shared" si="18"/>
        <v>9</v>
      </c>
      <c r="G30" s="24">
        <f t="shared" si="19"/>
        <v>4</v>
      </c>
      <c r="H30" s="24">
        <f t="shared" si="20"/>
        <v>13</v>
      </c>
      <c r="I30" s="24">
        <f t="shared" si="21"/>
        <v>12</v>
      </c>
      <c r="J30" s="24">
        <f t="shared" si="22"/>
        <v>3</v>
      </c>
      <c r="K30" s="24">
        <f t="shared" si="23"/>
        <v>4</v>
      </c>
      <c r="L30" s="24">
        <f t="shared" si="24"/>
        <v>8</v>
      </c>
      <c r="M30" s="28">
        <f t="shared" si="25"/>
        <v>1</v>
      </c>
      <c r="N30" s="24">
        <v>2.0</v>
      </c>
      <c r="O30" s="27">
        <f t="shared" si="4"/>
        <v>2.421052632</v>
      </c>
      <c r="P30" s="24">
        <f t="shared" si="26"/>
        <v>9</v>
      </c>
      <c r="Q30" s="2">
        <f t="shared" si="27"/>
        <v>9</v>
      </c>
      <c r="R30" s="24">
        <f t="shared" si="28"/>
        <v>6</v>
      </c>
      <c r="S30" s="24">
        <f t="shared" si="29"/>
        <v>12</v>
      </c>
      <c r="T30" s="24">
        <f t="shared" si="30"/>
        <v>12</v>
      </c>
      <c r="U30" s="24">
        <f t="shared" si="31"/>
        <v>2</v>
      </c>
      <c r="V30" s="24">
        <f t="shared" si="32"/>
        <v>3</v>
      </c>
      <c r="W30" s="24">
        <f t="shared" si="33"/>
        <v>6</v>
      </c>
      <c r="X30" s="28">
        <f t="shared" si="34"/>
        <v>3</v>
      </c>
      <c r="Y30" s="24">
        <v>0.0</v>
      </c>
      <c r="Z30" s="27">
        <f t="shared" si="5"/>
        <v>1.473684211</v>
      </c>
      <c r="AA30" s="24">
        <f t="shared" si="35"/>
        <v>8</v>
      </c>
      <c r="AB30" s="2">
        <f t="shared" si="36"/>
        <v>8</v>
      </c>
      <c r="AC30" s="24">
        <f t="shared" si="37"/>
        <v>4</v>
      </c>
      <c r="AD30" s="24">
        <f t="shared" si="38"/>
        <v>10</v>
      </c>
      <c r="AE30" s="24">
        <f t="shared" si="39"/>
        <v>10</v>
      </c>
      <c r="AF30" s="24">
        <f t="shared" si="40"/>
        <v>7</v>
      </c>
      <c r="AG30" s="24">
        <f t="shared" si="41"/>
        <v>2</v>
      </c>
      <c r="AH30" s="24">
        <f t="shared" si="42"/>
        <v>6</v>
      </c>
      <c r="AI30" s="28">
        <f t="shared" si="43"/>
        <v>2</v>
      </c>
      <c r="AJ30" s="24">
        <v>3.0</v>
      </c>
      <c r="AK30" s="27">
        <f t="shared" si="6"/>
        <v>1.578947368</v>
      </c>
      <c r="AL30" s="24">
        <f t="shared" si="44"/>
        <v>10</v>
      </c>
      <c r="AM30" s="2">
        <f t="shared" si="45"/>
        <v>8</v>
      </c>
      <c r="AN30" s="24">
        <f t="shared" si="46"/>
        <v>5</v>
      </c>
      <c r="AO30" s="24">
        <f t="shared" si="47"/>
        <v>14</v>
      </c>
      <c r="AP30" s="24">
        <f t="shared" si="48"/>
        <v>9</v>
      </c>
      <c r="AQ30" s="24">
        <f t="shared" si="49"/>
        <v>4</v>
      </c>
      <c r="AR30" s="24">
        <f t="shared" si="50"/>
        <v>6</v>
      </c>
      <c r="AS30" s="24">
        <f t="shared" si="51"/>
        <v>4</v>
      </c>
      <c r="AT30" s="28">
        <f t="shared" si="52"/>
        <v>4</v>
      </c>
      <c r="AU30" s="24"/>
      <c r="AV30" s="27">
        <f t="shared" si="7"/>
        <v>1.529411765</v>
      </c>
      <c r="AW30" s="24">
        <f t="shared" si="53"/>
        <v>9</v>
      </c>
      <c r="AX30" s="2">
        <f t="shared" si="54"/>
        <v>9</v>
      </c>
      <c r="AY30" s="24">
        <f t="shared" si="55"/>
        <v>4</v>
      </c>
      <c r="AZ30" s="24">
        <f t="shared" si="56"/>
        <v>13</v>
      </c>
      <c r="BA30" s="24">
        <f t="shared" si="57"/>
        <v>9</v>
      </c>
      <c r="BB30" s="24">
        <f t="shared" si="58"/>
        <v>6</v>
      </c>
      <c r="BC30" s="24">
        <f t="shared" si="59"/>
        <v>4</v>
      </c>
      <c r="BD30" s="24">
        <f t="shared" si="60"/>
        <v>5</v>
      </c>
      <c r="BE30" s="28">
        <f t="shared" si="61"/>
        <v>4</v>
      </c>
      <c r="BF30" s="29">
        <f t="shared" ref="BF30:BO30" si="94">+(AK30+Z30+O30+D30)/4</f>
        <v>1.828947368</v>
      </c>
      <c r="BG30" s="24">
        <f t="shared" si="94"/>
        <v>9.75</v>
      </c>
      <c r="BH30" s="24">
        <f t="shared" si="94"/>
        <v>8.5</v>
      </c>
      <c r="BI30" s="24">
        <f t="shared" si="94"/>
        <v>4.75</v>
      </c>
      <c r="BJ30" s="24">
        <f t="shared" si="94"/>
        <v>12.25</v>
      </c>
      <c r="BK30" s="24">
        <f t="shared" si="94"/>
        <v>10.75</v>
      </c>
      <c r="BL30" s="24">
        <f t="shared" si="94"/>
        <v>4</v>
      </c>
      <c r="BM30" s="24">
        <f t="shared" si="94"/>
        <v>3.75</v>
      </c>
      <c r="BN30" s="24">
        <f t="shared" si="94"/>
        <v>6</v>
      </c>
      <c r="BO30" s="61">
        <f t="shared" si="94"/>
        <v>2.5</v>
      </c>
      <c r="BP30" s="30">
        <f t="shared" si="9"/>
        <v>-0.2995356037</v>
      </c>
      <c r="BQ30" s="31">
        <f t="shared" si="10"/>
        <v>0.2105263158</v>
      </c>
      <c r="BR30" s="31">
        <f t="shared" si="11"/>
        <v>0.2105263158</v>
      </c>
      <c r="BS30" s="31">
        <f t="shared" si="12"/>
        <v>0.2631578947</v>
      </c>
      <c r="BT30" s="31">
        <f t="shared" si="13"/>
        <v>0.2105263158</v>
      </c>
      <c r="BU30" s="31">
        <f t="shared" si="14"/>
        <v>0</v>
      </c>
      <c r="BV30" s="31">
        <f t="shared" si="15"/>
        <v>0.7894736842</v>
      </c>
      <c r="BW30" s="31">
        <f t="shared" ref="BW30:BX30" si="95">+BR30+BS30+BT30</f>
        <v>0.6842105263</v>
      </c>
      <c r="BX30" s="32">
        <f t="shared" si="95"/>
        <v>0.4736842105</v>
      </c>
    </row>
    <row r="31" ht="15.75" customHeight="1">
      <c r="B31" s="33">
        <v>20.0</v>
      </c>
      <c r="C31" s="2">
        <v>1.0</v>
      </c>
      <c r="D31" s="3">
        <f t="shared" si="3"/>
        <v>1.8</v>
      </c>
      <c r="E31" s="2">
        <f t="shared" si="17"/>
        <v>13</v>
      </c>
      <c r="F31" s="2">
        <f t="shared" si="18"/>
        <v>9</v>
      </c>
      <c r="G31" s="2">
        <f t="shared" si="19"/>
        <v>4</v>
      </c>
      <c r="H31" s="2">
        <f t="shared" si="20"/>
        <v>14</v>
      </c>
      <c r="I31" s="2">
        <f t="shared" si="21"/>
        <v>12</v>
      </c>
      <c r="J31" s="2">
        <f t="shared" si="22"/>
        <v>3</v>
      </c>
      <c r="K31" s="2">
        <f t="shared" si="23"/>
        <v>5</v>
      </c>
      <c r="L31" s="2">
        <f t="shared" si="24"/>
        <v>8</v>
      </c>
      <c r="M31" s="34">
        <f t="shared" si="25"/>
        <v>1</v>
      </c>
      <c r="N31" s="2">
        <v>2.0</v>
      </c>
      <c r="O31" s="3">
        <f t="shared" si="4"/>
        <v>2.4</v>
      </c>
      <c r="P31" s="2">
        <f t="shared" si="26"/>
        <v>10</v>
      </c>
      <c r="Q31" s="2">
        <f t="shared" si="27"/>
        <v>10</v>
      </c>
      <c r="R31" s="2">
        <f t="shared" si="28"/>
        <v>6</v>
      </c>
      <c r="S31" s="2">
        <f t="shared" si="29"/>
        <v>13</v>
      </c>
      <c r="T31" s="2">
        <f t="shared" si="30"/>
        <v>13</v>
      </c>
      <c r="U31" s="2">
        <f t="shared" si="31"/>
        <v>2</v>
      </c>
      <c r="V31" s="2">
        <f t="shared" si="32"/>
        <v>3</v>
      </c>
      <c r="W31" s="2">
        <f t="shared" si="33"/>
        <v>7</v>
      </c>
      <c r="X31" s="34">
        <f t="shared" si="34"/>
        <v>3</v>
      </c>
      <c r="Y31" s="2">
        <v>2.0</v>
      </c>
      <c r="Z31" s="3">
        <f t="shared" si="5"/>
        <v>1.5</v>
      </c>
      <c r="AA31" s="2">
        <f t="shared" si="35"/>
        <v>9</v>
      </c>
      <c r="AB31" s="2">
        <f t="shared" si="36"/>
        <v>9</v>
      </c>
      <c r="AC31" s="2">
        <f t="shared" si="37"/>
        <v>4</v>
      </c>
      <c r="AD31" s="2">
        <f t="shared" si="38"/>
        <v>11</v>
      </c>
      <c r="AE31" s="2">
        <f t="shared" si="39"/>
        <v>11</v>
      </c>
      <c r="AF31" s="2">
        <f t="shared" si="40"/>
        <v>7</v>
      </c>
      <c r="AG31" s="2">
        <f t="shared" si="41"/>
        <v>2</v>
      </c>
      <c r="AH31" s="2">
        <f t="shared" si="42"/>
        <v>7</v>
      </c>
      <c r="AI31" s="34">
        <f t="shared" si="43"/>
        <v>2</v>
      </c>
      <c r="AJ31" s="2">
        <v>2.0</v>
      </c>
      <c r="AK31" s="3">
        <f t="shared" si="6"/>
        <v>1.6</v>
      </c>
      <c r="AL31" s="2">
        <f t="shared" si="44"/>
        <v>11</v>
      </c>
      <c r="AM31" s="2">
        <f t="shared" si="45"/>
        <v>9</v>
      </c>
      <c r="AN31" s="2">
        <f t="shared" si="46"/>
        <v>5</v>
      </c>
      <c r="AO31" s="2">
        <f t="shared" si="47"/>
        <v>15</v>
      </c>
      <c r="AP31" s="2">
        <f t="shared" si="48"/>
        <v>10</v>
      </c>
      <c r="AQ31" s="2">
        <f t="shared" si="49"/>
        <v>4</v>
      </c>
      <c r="AR31" s="2">
        <f t="shared" si="50"/>
        <v>6</v>
      </c>
      <c r="AS31" s="2">
        <f t="shared" si="51"/>
        <v>5</v>
      </c>
      <c r="AT31" s="34">
        <f t="shared" si="52"/>
        <v>4</v>
      </c>
      <c r="AU31" s="2"/>
      <c r="AV31" s="3">
        <f t="shared" si="7"/>
        <v>1.529411765</v>
      </c>
      <c r="AW31" s="2">
        <f t="shared" si="53"/>
        <v>9</v>
      </c>
      <c r="AX31" s="2">
        <f t="shared" si="54"/>
        <v>9</v>
      </c>
      <c r="AY31" s="2">
        <f t="shared" si="55"/>
        <v>4</v>
      </c>
      <c r="AZ31" s="2">
        <f t="shared" si="56"/>
        <v>13</v>
      </c>
      <c r="BA31" s="2">
        <f t="shared" si="57"/>
        <v>9</v>
      </c>
      <c r="BB31" s="2">
        <f t="shared" si="58"/>
        <v>7</v>
      </c>
      <c r="BC31" s="2">
        <f t="shared" si="59"/>
        <v>4</v>
      </c>
      <c r="BD31" s="2">
        <f t="shared" si="60"/>
        <v>5</v>
      </c>
      <c r="BE31" s="34">
        <f t="shared" si="61"/>
        <v>4</v>
      </c>
      <c r="BF31" s="36">
        <f t="shared" ref="BF31:BO31" si="96">+(AK31+Z31+O31+D31)/4</f>
        <v>1.825</v>
      </c>
      <c r="BG31" s="2">
        <f t="shared" si="96"/>
        <v>10.75</v>
      </c>
      <c r="BH31" s="2">
        <f t="shared" si="96"/>
        <v>9.25</v>
      </c>
      <c r="BI31" s="2">
        <f t="shared" si="96"/>
        <v>4.75</v>
      </c>
      <c r="BJ31" s="2">
        <f t="shared" si="96"/>
        <v>13.25</v>
      </c>
      <c r="BK31" s="2">
        <f t="shared" si="96"/>
        <v>11.5</v>
      </c>
      <c r="BL31" s="2">
        <f t="shared" si="96"/>
        <v>4</v>
      </c>
      <c r="BM31" s="2">
        <f t="shared" si="96"/>
        <v>4</v>
      </c>
      <c r="BN31" s="2">
        <f t="shared" si="96"/>
        <v>6.75</v>
      </c>
      <c r="BO31" s="62">
        <f t="shared" si="96"/>
        <v>2.5</v>
      </c>
      <c r="BP31" s="37">
        <f t="shared" si="9"/>
        <v>-0.2955882353</v>
      </c>
      <c r="BQ31" s="38">
        <f t="shared" si="10"/>
        <v>0.2</v>
      </c>
      <c r="BR31" s="38">
        <f t="shared" si="11"/>
        <v>0.2</v>
      </c>
      <c r="BS31" s="38">
        <f t="shared" si="12"/>
        <v>0.25</v>
      </c>
      <c r="BT31" s="38">
        <f t="shared" si="13"/>
        <v>0.2</v>
      </c>
      <c r="BU31" s="38">
        <f t="shared" si="14"/>
        <v>0</v>
      </c>
      <c r="BV31" s="38">
        <f t="shared" si="15"/>
        <v>0.8</v>
      </c>
      <c r="BW31" s="38">
        <f t="shared" ref="BW31:BX31" si="97">+BR31+BS31+BT31</f>
        <v>0.65</v>
      </c>
      <c r="BX31" s="39">
        <f t="shared" si="97"/>
        <v>0.45</v>
      </c>
    </row>
    <row r="32" ht="15.75" customHeight="1">
      <c r="A32" s="60"/>
      <c r="B32" s="40">
        <v>21.0</v>
      </c>
      <c r="C32" s="24">
        <v>1.0</v>
      </c>
      <c r="D32" s="27">
        <f t="shared" si="3"/>
        <v>1.761904762</v>
      </c>
      <c r="E32" s="24">
        <f t="shared" si="17"/>
        <v>14</v>
      </c>
      <c r="F32" s="2">
        <f t="shared" si="18"/>
        <v>9</v>
      </c>
      <c r="G32" s="24">
        <f t="shared" si="19"/>
        <v>4</v>
      </c>
      <c r="H32" s="24">
        <f t="shared" si="20"/>
        <v>15</v>
      </c>
      <c r="I32" s="24">
        <f t="shared" si="21"/>
        <v>12</v>
      </c>
      <c r="J32" s="24">
        <f t="shared" si="22"/>
        <v>3</v>
      </c>
      <c r="K32" s="24">
        <f t="shared" si="23"/>
        <v>6</v>
      </c>
      <c r="L32" s="24">
        <f t="shared" si="24"/>
        <v>8</v>
      </c>
      <c r="M32" s="28">
        <f t="shared" si="25"/>
        <v>1</v>
      </c>
      <c r="N32" s="24">
        <v>3.0</v>
      </c>
      <c r="O32" s="27">
        <f t="shared" si="4"/>
        <v>2.428571429</v>
      </c>
      <c r="P32" s="24">
        <f t="shared" si="26"/>
        <v>10</v>
      </c>
      <c r="Q32" s="2">
        <f t="shared" si="27"/>
        <v>11</v>
      </c>
      <c r="R32" s="24">
        <f t="shared" si="28"/>
        <v>7</v>
      </c>
      <c r="S32" s="24">
        <f t="shared" si="29"/>
        <v>14</v>
      </c>
      <c r="T32" s="24">
        <f t="shared" si="30"/>
        <v>14</v>
      </c>
      <c r="U32" s="24">
        <f t="shared" si="31"/>
        <v>2</v>
      </c>
      <c r="V32" s="24">
        <f t="shared" si="32"/>
        <v>3</v>
      </c>
      <c r="W32" s="24">
        <f t="shared" si="33"/>
        <v>7</v>
      </c>
      <c r="X32" s="28">
        <f t="shared" si="34"/>
        <v>4</v>
      </c>
      <c r="Y32" s="24">
        <v>6.0</v>
      </c>
      <c r="Z32" s="27">
        <f t="shared" si="5"/>
        <v>1.714285714</v>
      </c>
      <c r="AA32" s="24">
        <f t="shared" si="35"/>
        <v>9</v>
      </c>
      <c r="AB32" s="2">
        <f t="shared" si="36"/>
        <v>9</v>
      </c>
      <c r="AC32" s="24">
        <f t="shared" si="37"/>
        <v>4</v>
      </c>
      <c r="AD32" s="24">
        <f t="shared" si="38"/>
        <v>11</v>
      </c>
      <c r="AE32" s="24">
        <f t="shared" si="39"/>
        <v>11</v>
      </c>
      <c r="AF32" s="24">
        <f t="shared" si="40"/>
        <v>7</v>
      </c>
      <c r="AG32" s="24">
        <f t="shared" si="41"/>
        <v>2</v>
      </c>
      <c r="AH32" s="24">
        <f t="shared" si="42"/>
        <v>7</v>
      </c>
      <c r="AI32" s="28">
        <f t="shared" si="43"/>
        <v>2</v>
      </c>
      <c r="AJ32" s="24">
        <v>3.0</v>
      </c>
      <c r="AK32" s="27">
        <f t="shared" si="6"/>
        <v>1.666666667</v>
      </c>
      <c r="AL32" s="24">
        <f t="shared" si="44"/>
        <v>11</v>
      </c>
      <c r="AM32" s="2">
        <f t="shared" si="45"/>
        <v>10</v>
      </c>
      <c r="AN32" s="24">
        <f t="shared" si="46"/>
        <v>6</v>
      </c>
      <c r="AO32" s="24">
        <f t="shared" si="47"/>
        <v>16</v>
      </c>
      <c r="AP32" s="24">
        <f t="shared" si="48"/>
        <v>11</v>
      </c>
      <c r="AQ32" s="24">
        <f t="shared" si="49"/>
        <v>4</v>
      </c>
      <c r="AR32" s="24">
        <f t="shared" si="50"/>
        <v>6</v>
      </c>
      <c r="AS32" s="24">
        <f t="shared" si="51"/>
        <v>5</v>
      </c>
      <c r="AT32" s="28">
        <f t="shared" si="52"/>
        <v>5</v>
      </c>
      <c r="AU32" s="24"/>
      <c r="AV32" s="27">
        <f t="shared" si="7"/>
        <v>1.529411765</v>
      </c>
      <c r="AW32" s="24">
        <f t="shared" si="53"/>
        <v>9</v>
      </c>
      <c r="AX32" s="2">
        <f t="shared" si="54"/>
        <v>9</v>
      </c>
      <c r="AY32" s="24">
        <f t="shared" si="55"/>
        <v>4</v>
      </c>
      <c r="AZ32" s="24">
        <f t="shared" si="56"/>
        <v>13</v>
      </c>
      <c r="BA32" s="24">
        <f t="shared" si="57"/>
        <v>9</v>
      </c>
      <c r="BB32" s="24">
        <f t="shared" si="58"/>
        <v>8</v>
      </c>
      <c r="BC32" s="24">
        <f t="shared" si="59"/>
        <v>4</v>
      </c>
      <c r="BD32" s="24">
        <f t="shared" si="60"/>
        <v>5</v>
      </c>
      <c r="BE32" s="28">
        <f t="shared" si="61"/>
        <v>4</v>
      </c>
      <c r="BF32" s="29">
        <f t="shared" ref="BF32:BO32" si="98">+(AK32+Z32+O32+D32)/4</f>
        <v>1.892857143</v>
      </c>
      <c r="BG32" s="24">
        <f t="shared" si="98"/>
        <v>11</v>
      </c>
      <c r="BH32" s="24">
        <f t="shared" si="98"/>
        <v>9.75</v>
      </c>
      <c r="BI32" s="24">
        <f t="shared" si="98"/>
        <v>5.25</v>
      </c>
      <c r="BJ32" s="24">
        <f t="shared" si="98"/>
        <v>14</v>
      </c>
      <c r="BK32" s="24">
        <f t="shared" si="98"/>
        <v>12</v>
      </c>
      <c r="BL32" s="24">
        <f t="shared" si="98"/>
        <v>4</v>
      </c>
      <c r="BM32" s="24">
        <f t="shared" si="98"/>
        <v>4.25</v>
      </c>
      <c r="BN32" s="24">
        <f t="shared" si="98"/>
        <v>6.75</v>
      </c>
      <c r="BO32" s="61">
        <f t="shared" si="98"/>
        <v>3</v>
      </c>
      <c r="BP32" s="30">
        <f t="shared" si="9"/>
        <v>-0.3634453782</v>
      </c>
      <c r="BQ32" s="31">
        <f t="shared" si="10"/>
        <v>0.1904761905</v>
      </c>
      <c r="BR32" s="31">
        <f t="shared" si="11"/>
        <v>0.1904761905</v>
      </c>
      <c r="BS32" s="31">
        <f t="shared" si="12"/>
        <v>0.2380952381</v>
      </c>
      <c r="BT32" s="31">
        <f t="shared" si="13"/>
        <v>0.1904761905</v>
      </c>
      <c r="BU32" s="31">
        <f t="shared" si="14"/>
        <v>0</v>
      </c>
      <c r="BV32" s="31">
        <f t="shared" si="15"/>
        <v>0.8095238095</v>
      </c>
      <c r="BW32" s="31">
        <f t="shared" ref="BW32:BX32" si="99">+BR32+BS32+BT32</f>
        <v>0.619047619</v>
      </c>
      <c r="BX32" s="32">
        <f t="shared" si="99"/>
        <v>0.4285714286</v>
      </c>
    </row>
    <row r="33" ht="15.75" customHeight="1">
      <c r="B33" s="33">
        <v>22.0</v>
      </c>
      <c r="C33" s="2">
        <v>2.0</v>
      </c>
      <c r="D33" s="3">
        <f t="shared" si="3"/>
        <v>1.772727273</v>
      </c>
      <c r="E33" s="2">
        <f t="shared" si="17"/>
        <v>15</v>
      </c>
      <c r="F33" s="2">
        <f t="shared" si="18"/>
        <v>10</v>
      </c>
      <c r="G33" s="2">
        <f t="shared" si="19"/>
        <v>4</v>
      </c>
      <c r="H33" s="2">
        <f t="shared" si="20"/>
        <v>16</v>
      </c>
      <c r="I33" s="2">
        <f t="shared" si="21"/>
        <v>13</v>
      </c>
      <c r="J33" s="2">
        <f t="shared" si="22"/>
        <v>3</v>
      </c>
      <c r="K33" s="2">
        <f t="shared" si="23"/>
        <v>6</v>
      </c>
      <c r="L33" s="2">
        <f t="shared" si="24"/>
        <v>9</v>
      </c>
      <c r="M33" s="34">
        <f t="shared" si="25"/>
        <v>1</v>
      </c>
      <c r="N33" s="2">
        <v>3.0</v>
      </c>
      <c r="O33" s="3">
        <f t="shared" si="4"/>
        <v>2.454545455</v>
      </c>
      <c r="P33" s="2">
        <f t="shared" si="26"/>
        <v>10</v>
      </c>
      <c r="Q33" s="2">
        <f t="shared" si="27"/>
        <v>12</v>
      </c>
      <c r="R33" s="2">
        <f t="shared" si="28"/>
        <v>8</v>
      </c>
      <c r="S33" s="2">
        <f t="shared" si="29"/>
        <v>15</v>
      </c>
      <c r="T33" s="2">
        <f t="shared" si="30"/>
        <v>15</v>
      </c>
      <c r="U33" s="2">
        <f t="shared" si="31"/>
        <v>2</v>
      </c>
      <c r="V33" s="2">
        <f t="shared" si="32"/>
        <v>3</v>
      </c>
      <c r="W33" s="2">
        <f t="shared" si="33"/>
        <v>7</v>
      </c>
      <c r="X33" s="34">
        <f t="shared" si="34"/>
        <v>5</v>
      </c>
      <c r="Y33" s="2">
        <v>0.0</v>
      </c>
      <c r="Z33" s="3">
        <f t="shared" si="5"/>
        <v>1.636363636</v>
      </c>
      <c r="AA33" s="2">
        <f t="shared" si="35"/>
        <v>9</v>
      </c>
      <c r="AB33" s="2">
        <f t="shared" si="36"/>
        <v>9</v>
      </c>
      <c r="AC33" s="2">
        <f t="shared" si="37"/>
        <v>4</v>
      </c>
      <c r="AD33" s="2">
        <f t="shared" si="38"/>
        <v>11</v>
      </c>
      <c r="AE33" s="2">
        <f t="shared" si="39"/>
        <v>11</v>
      </c>
      <c r="AF33" s="2">
        <f t="shared" si="40"/>
        <v>8</v>
      </c>
      <c r="AG33" s="2">
        <f t="shared" si="41"/>
        <v>2</v>
      </c>
      <c r="AH33" s="2">
        <f t="shared" si="42"/>
        <v>7</v>
      </c>
      <c r="AI33" s="34">
        <f t="shared" si="43"/>
        <v>2</v>
      </c>
      <c r="AJ33" s="2">
        <v>2.0</v>
      </c>
      <c r="AK33" s="3">
        <f t="shared" si="6"/>
        <v>1.681818182</v>
      </c>
      <c r="AL33" s="2">
        <f t="shared" si="44"/>
        <v>12</v>
      </c>
      <c r="AM33" s="2">
        <f t="shared" si="45"/>
        <v>11</v>
      </c>
      <c r="AN33" s="2">
        <f t="shared" si="46"/>
        <v>6</v>
      </c>
      <c r="AO33" s="2">
        <f t="shared" si="47"/>
        <v>17</v>
      </c>
      <c r="AP33" s="2">
        <f t="shared" si="48"/>
        <v>12</v>
      </c>
      <c r="AQ33" s="2">
        <f t="shared" si="49"/>
        <v>4</v>
      </c>
      <c r="AR33" s="2">
        <f t="shared" si="50"/>
        <v>6</v>
      </c>
      <c r="AS33" s="2">
        <f t="shared" si="51"/>
        <v>6</v>
      </c>
      <c r="AT33" s="34">
        <f t="shared" si="52"/>
        <v>5</v>
      </c>
      <c r="AU33" s="2"/>
      <c r="AV33" s="3">
        <f t="shared" si="7"/>
        <v>1.529411765</v>
      </c>
      <c r="AW33" s="2">
        <f t="shared" si="53"/>
        <v>9</v>
      </c>
      <c r="AX33" s="2">
        <f t="shared" si="54"/>
        <v>9</v>
      </c>
      <c r="AY33" s="2">
        <f t="shared" si="55"/>
        <v>4</v>
      </c>
      <c r="AZ33" s="2">
        <f t="shared" si="56"/>
        <v>13</v>
      </c>
      <c r="BA33" s="2">
        <f t="shared" si="57"/>
        <v>9</v>
      </c>
      <c r="BB33" s="2">
        <f t="shared" si="58"/>
        <v>9</v>
      </c>
      <c r="BC33" s="2">
        <f t="shared" si="59"/>
        <v>4</v>
      </c>
      <c r="BD33" s="2">
        <f t="shared" si="60"/>
        <v>5</v>
      </c>
      <c r="BE33" s="34">
        <f t="shared" si="61"/>
        <v>4</v>
      </c>
      <c r="BF33" s="36">
        <f t="shared" ref="BF33:BO33" si="100">+(AK33+Z33+O33+D33)/4</f>
        <v>1.886363636</v>
      </c>
      <c r="BG33" s="2">
        <f t="shared" si="100"/>
        <v>11.5</v>
      </c>
      <c r="BH33" s="2">
        <f t="shared" si="100"/>
        <v>10.5</v>
      </c>
      <c r="BI33" s="2">
        <f t="shared" si="100"/>
        <v>5.5</v>
      </c>
      <c r="BJ33" s="2">
        <f t="shared" si="100"/>
        <v>14.75</v>
      </c>
      <c r="BK33" s="2">
        <f t="shared" si="100"/>
        <v>12.75</v>
      </c>
      <c r="BL33" s="2">
        <f t="shared" si="100"/>
        <v>4.25</v>
      </c>
      <c r="BM33" s="2">
        <f t="shared" si="100"/>
        <v>4.25</v>
      </c>
      <c r="BN33" s="2">
        <f t="shared" si="100"/>
        <v>7.25</v>
      </c>
      <c r="BO33" s="62">
        <f t="shared" si="100"/>
        <v>3.25</v>
      </c>
      <c r="BP33" s="37">
        <f t="shared" si="9"/>
        <v>-0.3569518717</v>
      </c>
      <c r="BQ33" s="38">
        <f t="shared" si="10"/>
        <v>0.1818181818</v>
      </c>
      <c r="BR33" s="38">
        <f t="shared" si="11"/>
        <v>0.1818181818</v>
      </c>
      <c r="BS33" s="38">
        <f t="shared" si="12"/>
        <v>0.2272727273</v>
      </c>
      <c r="BT33" s="38">
        <f t="shared" si="13"/>
        <v>0.1818181818</v>
      </c>
      <c r="BU33" s="38">
        <f t="shared" si="14"/>
        <v>0</v>
      </c>
      <c r="BV33" s="38">
        <f t="shared" si="15"/>
        <v>0.8181818182</v>
      </c>
      <c r="BW33" s="38">
        <f t="shared" ref="BW33:BX33" si="101">+BR33+BS33+BT33</f>
        <v>0.5909090909</v>
      </c>
      <c r="BX33" s="39">
        <f t="shared" si="101"/>
        <v>0.4090909091</v>
      </c>
    </row>
    <row r="34" ht="15.75" customHeight="1">
      <c r="A34" s="60"/>
      <c r="B34" s="40">
        <v>23.0</v>
      </c>
      <c r="C34" s="24">
        <v>4.0</v>
      </c>
      <c r="D34" s="27">
        <f t="shared" si="3"/>
        <v>1.869565217</v>
      </c>
      <c r="E34" s="24">
        <f t="shared" si="17"/>
        <v>15</v>
      </c>
      <c r="F34" s="2">
        <f t="shared" si="18"/>
        <v>10</v>
      </c>
      <c r="G34" s="24">
        <f t="shared" si="19"/>
        <v>5</v>
      </c>
      <c r="H34" s="24">
        <f t="shared" si="20"/>
        <v>16</v>
      </c>
      <c r="I34" s="24">
        <f t="shared" si="21"/>
        <v>14</v>
      </c>
      <c r="J34" s="24">
        <f t="shared" si="22"/>
        <v>3</v>
      </c>
      <c r="K34" s="24">
        <f t="shared" si="23"/>
        <v>6</v>
      </c>
      <c r="L34" s="24">
        <f t="shared" si="24"/>
        <v>9</v>
      </c>
      <c r="M34" s="28">
        <f t="shared" si="25"/>
        <v>1</v>
      </c>
      <c r="N34" s="24">
        <v>2.0</v>
      </c>
      <c r="O34" s="27">
        <f t="shared" si="4"/>
        <v>2.434782609</v>
      </c>
      <c r="P34" s="24">
        <f t="shared" si="26"/>
        <v>11</v>
      </c>
      <c r="Q34" s="2">
        <f t="shared" si="27"/>
        <v>13</v>
      </c>
      <c r="R34" s="24">
        <f t="shared" si="28"/>
        <v>8</v>
      </c>
      <c r="S34" s="24">
        <f t="shared" si="29"/>
        <v>16</v>
      </c>
      <c r="T34" s="24">
        <f t="shared" si="30"/>
        <v>16</v>
      </c>
      <c r="U34" s="24">
        <f t="shared" si="31"/>
        <v>2</v>
      </c>
      <c r="V34" s="24">
        <f t="shared" si="32"/>
        <v>3</v>
      </c>
      <c r="W34" s="24">
        <f t="shared" si="33"/>
        <v>8</v>
      </c>
      <c r="X34" s="28">
        <f t="shared" si="34"/>
        <v>5</v>
      </c>
      <c r="Y34" s="24">
        <v>2.0</v>
      </c>
      <c r="Z34" s="27">
        <f t="shared" si="5"/>
        <v>1.652173913</v>
      </c>
      <c r="AA34" s="24">
        <f t="shared" si="35"/>
        <v>10</v>
      </c>
      <c r="AB34" s="2">
        <f t="shared" si="36"/>
        <v>10</v>
      </c>
      <c r="AC34" s="24">
        <f t="shared" si="37"/>
        <v>4</v>
      </c>
      <c r="AD34" s="24">
        <f t="shared" si="38"/>
        <v>12</v>
      </c>
      <c r="AE34" s="24">
        <f t="shared" si="39"/>
        <v>12</v>
      </c>
      <c r="AF34" s="24">
        <f t="shared" si="40"/>
        <v>8</v>
      </c>
      <c r="AG34" s="24">
        <f t="shared" si="41"/>
        <v>2</v>
      </c>
      <c r="AH34" s="24">
        <f t="shared" si="42"/>
        <v>8</v>
      </c>
      <c r="AI34" s="28">
        <f t="shared" si="43"/>
        <v>2</v>
      </c>
      <c r="AJ34" s="24">
        <v>1.0</v>
      </c>
      <c r="AK34" s="27">
        <f t="shared" si="6"/>
        <v>1.652173913</v>
      </c>
      <c r="AL34" s="24">
        <f t="shared" si="44"/>
        <v>13</v>
      </c>
      <c r="AM34" s="2">
        <f t="shared" si="45"/>
        <v>11</v>
      </c>
      <c r="AN34" s="24">
        <f t="shared" si="46"/>
        <v>6</v>
      </c>
      <c r="AO34" s="24">
        <f t="shared" si="47"/>
        <v>18</v>
      </c>
      <c r="AP34" s="24">
        <f t="shared" si="48"/>
        <v>12</v>
      </c>
      <c r="AQ34" s="24">
        <f t="shared" si="49"/>
        <v>4</v>
      </c>
      <c r="AR34" s="24">
        <f t="shared" si="50"/>
        <v>7</v>
      </c>
      <c r="AS34" s="24">
        <f t="shared" si="51"/>
        <v>6</v>
      </c>
      <c r="AT34" s="28">
        <f t="shared" si="52"/>
        <v>5</v>
      </c>
      <c r="AU34" s="24"/>
      <c r="AV34" s="27">
        <f t="shared" si="7"/>
        <v>1.529411765</v>
      </c>
      <c r="AW34" s="24">
        <f t="shared" si="53"/>
        <v>9</v>
      </c>
      <c r="AX34" s="2">
        <f t="shared" si="54"/>
        <v>9</v>
      </c>
      <c r="AY34" s="24">
        <f t="shared" si="55"/>
        <v>4</v>
      </c>
      <c r="AZ34" s="24">
        <f t="shared" si="56"/>
        <v>13</v>
      </c>
      <c r="BA34" s="24">
        <f t="shared" si="57"/>
        <v>9</v>
      </c>
      <c r="BB34" s="24">
        <f t="shared" si="58"/>
        <v>10</v>
      </c>
      <c r="BC34" s="24">
        <f t="shared" si="59"/>
        <v>4</v>
      </c>
      <c r="BD34" s="24">
        <f t="shared" si="60"/>
        <v>5</v>
      </c>
      <c r="BE34" s="28">
        <f t="shared" si="61"/>
        <v>4</v>
      </c>
      <c r="BF34" s="29">
        <f t="shared" ref="BF34:BO34" si="102">+(AK34+Z34+O34+D34)/4</f>
        <v>1.902173913</v>
      </c>
      <c r="BG34" s="24">
        <f t="shared" si="102"/>
        <v>12.25</v>
      </c>
      <c r="BH34" s="24">
        <f t="shared" si="102"/>
        <v>11</v>
      </c>
      <c r="BI34" s="24">
        <f t="shared" si="102"/>
        <v>5.75</v>
      </c>
      <c r="BJ34" s="24">
        <f t="shared" si="102"/>
        <v>15.5</v>
      </c>
      <c r="BK34" s="24">
        <f t="shared" si="102"/>
        <v>13.5</v>
      </c>
      <c r="BL34" s="24">
        <f t="shared" si="102"/>
        <v>4.25</v>
      </c>
      <c r="BM34" s="24">
        <f t="shared" si="102"/>
        <v>4.5</v>
      </c>
      <c r="BN34" s="24">
        <f t="shared" si="102"/>
        <v>7.75</v>
      </c>
      <c r="BO34" s="61">
        <f t="shared" si="102"/>
        <v>3.25</v>
      </c>
      <c r="BP34" s="30">
        <f t="shared" si="9"/>
        <v>-0.3727621483</v>
      </c>
      <c r="BQ34" s="31">
        <f t="shared" si="10"/>
        <v>0.1739130435</v>
      </c>
      <c r="BR34" s="31">
        <f t="shared" si="11"/>
        <v>0.1739130435</v>
      </c>
      <c r="BS34" s="31">
        <f t="shared" si="12"/>
        <v>0.2173913043</v>
      </c>
      <c r="BT34" s="31">
        <f t="shared" si="13"/>
        <v>0.1739130435</v>
      </c>
      <c r="BU34" s="31">
        <f t="shared" si="14"/>
        <v>0</v>
      </c>
      <c r="BV34" s="31">
        <f t="shared" si="15"/>
        <v>0.8260869565</v>
      </c>
      <c r="BW34" s="31">
        <f t="shared" ref="BW34:BX34" si="103">+BR34+BS34+BT34</f>
        <v>0.5652173913</v>
      </c>
      <c r="BX34" s="32">
        <f t="shared" si="103"/>
        <v>0.3913043478</v>
      </c>
    </row>
    <row r="35" ht="15.75" customHeight="1">
      <c r="B35" s="33">
        <v>24.0</v>
      </c>
      <c r="C35" s="2">
        <v>2.0</v>
      </c>
      <c r="D35" s="3">
        <f t="shared" si="3"/>
        <v>1.875</v>
      </c>
      <c r="E35" s="2">
        <f t="shared" si="17"/>
        <v>16</v>
      </c>
      <c r="F35" s="2">
        <f t="shared" si="18"/>
        <v>11</v>
      </c>
      <c r="G35" s="2">
        <f t="shared" si="19"/>
        <v>5</v>
      </c>
      <c r="H35" s="2">
        <f t="shared" si="20"/>
        <v>17</v>
      </c>
      <c r="I35" s="2">
        <f t="shared" si="21"/>
        <v>15</v>
      </c>
      <c r="J35" s="2">
        <f t="shared" si="22"/>
        <v>3</v>
      </c>
      <c r="K35" s="2">
        <f t="shared" si="23"/>
        <v>6</v>
      </c>
      <c r="L35" s="2">
        <f t="shared" si="24"/>
        <v>10</v>
      </c>
      <c r="M35" s="34">
        <f t="shared" si="25"/>
        <v>1</v>
      </c>
      <c r="N35" s="2">
        <v>2.0</v>
      </c>
      <c r="O35" s="3">
        <f t="shared" si="4"/>
        <v>2.416666667</v>
      </c>
      <c r="P35" s="2">
        <f t="shared" si="26"/>
        <v>12</v>
      </c>
      <c r="Q35" s="2">
        <f t="shared" si="27"/>
        <v>14</v>
      </c>
      <c r="R35" s="2">
        <f t="shared" si="28"/>
        <v>8</v>
      </c>
      <c r="S35" s="2">
        <f t="shared" si="29"/>
        <v>17</v>
      </c>
      <c r="T35" s="2">
        <f t="shared" si="30"/>
        <v>17</v>
      </c>
      <c r="U35" s="2">
        <f t="shared" si="31"/>
        <v>2</v>
      </c>
      <c r="V35" s="2">
        <f t="shared" si="32"/>
        <v>3</v>
      </c>
      <c r="W35" s="2">
        <f t="shared" si="33"/>
        <v>9</v>
      </c>
      <c r="X35" s="34">
        <f t="shared" si="34"/>
        <v>5</v>
      </c>
      <c r="Y35" s="2">
        <v>0.0</v>
      </c>
      <c r="Z35" s="3">
        <f t="shared" si="5"/>
        <v>1.583333333</v>
      </c>
      <c r="AA35" s="2">
        <f t="shared" si="35"/>
        <v>10</v>
      </c>
      <c r="AB35" s="2">
        <f t="shared" si="36"/>
        <v>10</v>
      </c>
      <c r="AC35" s="2">
        <f t="shared" si="37"/>
        <v>4</v>
      </c>
      <c r="AD35" s="2">
        <f t="shared" si="38"/>
        <v>12</v>
      </c>
      <c r="AE35" s="2">
        <f t="shared" si="39"/>
        <v>12</v>
      </c>
      <c r="AF35" s="2">
        <f t="shared" si="40"/>
        <v>9</v>
      </c>
      <c r="AG35" s="2">
        <f t="shared" si="41"/>
        <v>2</v>
      </c>
      <c r="AH35" s="2">
        <f t="shared" si="42"/>
        <v>8</v>
      </c>
      <c r="AI35" s="34">
        <f t="shared" si="43"/>
        <v>2</v>
      </c>
      <c r="AJ35" s="2">
        <v>1.0</v>
      </c>
      <c r="AK35" s="3">
        <f t="shared" si="6"/>
        <v>1.625</v>
      </c>
      <c r="AL35" s="2">
        <f t="shared" si="44"/>
        <v>14</v>
      </c>
      <c r="AM35" s="2">
        <f t="shared" si="45"/>
        <v>11</v>
      </c>
      <c r="AN35" s="2">
        <f t="shared" si="46"/>
        <v>6</v>
      </c>
      <c r="AO35" s="2">
        <f t="shared" si="47"/>
        <v>19</v>
      </c>
      <c r="AP35" s="2">
        <f t="shared" si="48"/>
        <v>12</v>
      </c>
      <c r="AQ35" s="2">
        <f t="shared" si="49"/>
        <v>4</v>
      </c>
      <c r="AR35" s="2">
        <f t="shared" si="50"/>
        <v>8</v>
      </c>
      <c r="AS35" s="2">
        <f t="shared" si="51"/>
        <v>6</v>
      </c>
      <c r="AT35" s="34">
        <f t="shared" si="52"/>
        <v>5</v>
      </c>
      <c r="AU35" s="2"/>
      <c r="AV35" s="3">
        <f t="shared" si="7"/>
        <v>1.529411765</v>
      </c>
      <c r="AW35" s="2">
        <f t="shared" si="53"/>
        <v>9</v>
      </c>
      <c r="AX35" s="2">
        <f t="shared" si="54"/>
        <v>9</v>
      </c>
      <c r="AY35" s="2">
        <f t="shared" si="55"/>
        <v>4</v>
      </c>
      <c r="AZ35" s="2">
        <f t="shared" si="56"/>
        <v>13</v>
      </c>
      <c r="BA35" s="2">
        <f t="shared" si="57"/>
        <v>9</v>
      </c>
      <c r="BB35" s="2">
        <f t="shared" si="58"/>
        <v>11</v>
      </c>
      <c r="BC35" s="2">
        <f t="shared" si="59"/>
        <v>4</v>
      </c>
      <c r="BD35" s="2">
        <f t="shared" si="60"/>
        <v>5</v>
      </c>
      <c r="BE35" s="34">
        <f t="shared" si="61"/>
        <v>4</v>
      </c>
      <c r="BF35" s="36">
        <f t="shared" ref="BF35:BO35" si="104">+(AK35+Z35+O35+D35)/4</f>
        <v>1.875</v>
      </c>
      <c r="BG35" s="2">
        <f t="shared" si="104"/>
        <v>13</v>
      </c>
      <c r="BH35" s="2">
        <f t="shared" si="104"/>
        <v>11.5</v>
      </c>
      <c r="BI35" s="2">
        <f t="shared" si="104"/>
        <v>5.75</v>
      </c>
      <c r="BJ35" s="2">
        <f t="shared" si="104"/>
        <v>16.25</v>
      </c>
      <c r="BK35" s="2">
        <f t="shared" si="104"/>
        <v>14</v>
      </c>
      <c r="BL35" s="2">
        <f t="shared" si="104"/>
        <v>4.5</v>
      </c>
      <c r="BM35" s="2">
        <f t="shared" si="104"/>
        <v>4.75</v>
      </c>
      <c r="BN35" s="2">
        <f t="shared" si="104"/>
        <v>8.25</v>
      </c>
      <c r="BO35" s="62">
        <f t="shared" si="104"/>
        <v>3.25</v>
      </c>
      <c r="BP35" s="37">
        <f t="shared" si="9"/>
        <v>-0.3455882353</v>
      </c>
      <c r="BQ35" s="38">
        <f t="shared" si="10"/>
        <v>0.1666666667</v>
      </c>
      <c r="BR35" s="38">
        <f t="shared" si="11"/>
        <v>0.1666666667</v>
      </c>
      <c r="BS35" s="38">
        <f t="shared" si="12"/>
        <v>0.2083333333</v>
      </c>
      <c r="BT35" s="38">
        <f t="shared" si="13"/>
        <v>0.1666666667</v>
      </c>
      <c r="BU35" s="38">
        <f t="shared" si="14"/>
        <v>0</v>
      </c>
      <c r="BV35" s="38">
        <f t="shared" si="15"/>
        <v>0.8333333333</v>
      </c>
      <c r="BW35" s="38">
        <f t="shared" ref="BW35:BX35" si="105">+BR35+BS35+BT35</f>
        <v>0.5416666667</v>
      </c>
      <c r="BX35" s="39">
        <f t="shared" si="105"/>
        <v>0.375</v>
      </c>
    </row>
    <row r="36" ht="15.75" customHeight="1">
      <c r="A36" s="60"/>
      <c r="B36" s="40">
        <v>25.0</v>
      </c>
      <c r="C36" s="24">
        <v>1.0</v>
      </c>
      <c r="D36" s="27">
        <f t="shared" si="3"/>
        <v>1.84</v>
      </c>
      <c r="E36" s="24">
        <f t="shared" si="17"/>
        <v>17</v>
      </c>
      <c r="F36" s="2">
        <f t="shared" si="18"/>
        <v>11</v>
      </c>
      <c r="G36" s="24">
        <f t="shared" si="19"/>
        <v>5</v>
      </c>
      <c r="H36" s="24">
        <f t="shared" si="20"/>
        <v>18</v>
      </c>
      <c r="I36" s="24">
        <f t="shared" si="21"/>
        <v>15</v>
      </c>
      <c r="J36" s="24">
        <f t="shared" si="22"/>
        <v>3</v>
      </c>
      <c r="K36" s="24">
        <f t="shared" si="23"/>
        <v>7</v>
      </c>
      <c r="L36" s="24">
        <f t="shared" si="24"/>
        <v>10</v>
      </c>
      <c r="M36" s="28">
        <f t="shared" si="25"/>
        <v>1</v>
      </c>
      <c r="N36" s="24">
        <v>0.0</v>
      </c>
      <c r="O36" s="27">
        <f t="shared" si="4"/>
        <v>2.32</v>
      </c>
      <c r="P36" s="24">
        <f t="shared" si="26"/>
        <v>12</v>
      </c>
      <c r="Q36" s="2">
        <f t="shared" si="27"/>
        <v>14</v>
      </c>
      <c r="R36" s="24">
        <f t="shared" si="28"/>
        <v>8</v>
      </c>
      <c r="S36" s="24">
        <f t="shared" si="29"/>
        <v>17</v>
      </c>
      <c r="T36" s="24">
        <f t="shared" si="30"/>
        <v>17</v>
      </c>
      <c r="U36" s="24">
        <f t="shared" si="31"/>
        <v>3</v>
      </c>
      <c r="V36" s="24">
        <f t="shared" si="32"/>
        <v>3</v>
      </c>
      <c r="W36" s="24">
        <f t="shared" si="33"/>
        <v>9</v>
      </c>
      <c r="X36" s="28">
        <f t="shared" si="34"/>
        <v>5</v>
      </c>
      <c r="Y36" s="24">
        <v>1.0</v>
      </c>
      <c r="Z36" s="27">
        <f t="shared" si="5"/>
        <v>1.56</v>
      </c>
      <c r="AA36" s="24">
        <f t="shared" si="35"/>
        <v>11</v>
      </c>
      <c r="AB36" s="2">
        <f t="shared" si="36"/>
        <v>10</v>
      </c>
      <c r="AC36" s="24">
        <f t="shared" si="37"/>
        <v>4</v>
      </c>
      <c r="AD36" s="24">
        <f t="shared" si="38"/>
        <v>13</v>
      </c>
      <c r="AE36" s="24">
        <f t="shared" si="39"/>
        <v>12</v>
      </c>
      <c r="AF36" s="24">
        <f t="shared" si="40"/>
        <v>9</v>
      </c>
      <c r="AG36" s="24">
        <f t="shared" si="41"/>
        <v>3</v>
      </c>
      <c r="AH36" s="24">
        <f t="shared" si="42"/>
        <v>8</v>
      </c>
      <c r="AI36" s="28">
        <f t="shared" si="43"/>
        <v>2</v>
      </c>
      <c r="AJ36" s="24">
        <v>2.0</v>
      </c>
      <c r="AK36" s="27">
        <f t="shared" si="6"/>
        <v>1.64</v>
      </c>
      <c r="AL36" s="24">
        <f t="shared" si="44"/>
        <v>15</v>
      </c>
      <c r="AM36" s="2">
        <f t="shared" si="45"/>
        <v>12</v>
      </c>
      <c r="AN36" s="24">
        <f t="shared" si="46"/>
        <v>6</v>
      </c>
      <c r="AO36" s="24">
        <f t="shared" si="47"/>
        <v>20</v>
      </c>
      <c r="AP36" s="24">
        <f t="shared" si="48"/>
        <v>13</v>
      </c>
      <c r="AQ36" s="24">
        <f t="shared" si="49"/>
        <v>4</v>
      </c>
      <c r="AR36" s="24">
        <f t="shared" si="50"/>
        <v>8</v>
      </c>
      <c r="AS36" s="24">
        <f t="shared" si="51"/>
        <v>7</v>
      </c>
      <c r="AT36" s="28">
        <f t="shared" si="52"/>
        <v>5</v>
      </c>
      <c r="AU36" s="24"/>
      <c r="AV36" s="27">
        <f t="shared" si="7"/>
        <v>1.529411765</v>
      </c>
      <c r="AW36" s="24">
        <f t="shared" si="53"/>
        <v>9</v>
      </c>
      <c r="AX36" s="2">
        <f t="shared" si="54"/>
        <v>9</v>
      </c>
      <c r="AY36" s="24">
        <f t="shared" si="55"/>
        <v>4</v>
      </c>
      <c r="AZ36" s="24">
        <f t="shared" si="56"/>
        <v>13</v>
      </c>
      <c r="BA36" s="24">
        <f t="shared" si="57"/>
        <v>9</v>
      </c>
      <c r="BB36" s="24">
        <f t="shared" si="58"/>
        <v>12</v>
      </c>
      <c r="BC36" s="24">
        <f t="shared" si="59"/>
        <v>4</v>
      </c>
      <c r="BD36" s="24">
        <f t="shared" si="60"/>
        <v>5</v>
      </c>
      <c r="BE36" s="28">
        <f t="shared" si="61"/>
        <v>4</v>
      </c>
      <c r="BF36" s="29">
        <f t="shared" ref="BF36:BO36" si="106">+(AK36+Z36+O36+D36)/4</f>
        <v>1.84</v>
      </c>
      <c r="BG36" s="24">
        <f t="shared" si="106"/>
        <v>13.75</v>
      </c>
      <c r="BH36" s="24">
        <f t="shared" si="106"/>
        <v>11.75</v>
      </c>
      <c r="BI36" s="24">
        <f t="shared" si="106"/>
        <v>5.75</v>
      </c>
      <c r="BJ36" s="24">
        <f t="shared" si="106"/>
        <v>17</v>
      </c>
      <c r="BK36" s="24">
        <f t="shared" si="106"/>
        <v>14.25</v>
      </c>
      <c r="BL36" s="24">
        <f t="shared" si="106"/>
        <v>4.75</v>
      </c>
      <c r="BM36" s="24">
        <f t="shared" si="106"/>
        <v>5.25</v>
      </c>
      <c r="BN36" s="24">
        <f t="shared" si="106"/>
        <v>8.5</v>
      </c>
      <c r="BO36" s="61">
        <f t="shared" si="106"/>
        <v>3.25</v>
      </c>
      <c r="BP36" s="30">
        <f t="shared" si="9"/>
        <v>-0.3105882353</v>
      </c>
      <c r="BQ36" s="31">
        <f t="shared" si="10"/>
        <v>0.16</v>
      </c>
      <c r="BR36" s="31">
        <f t="shared" si="11"/>
        <v>0.16</v>
      </c>
      <c r="BS36" s="31">
        <f t="shared" si="12"/>
        <v>0.2</v>
      </c>
      <c r="BT36" s="31">
        <f t="shared" si="13"/>
        <v>0.16</v>
      </c>
      <c r="BU36" s="31">
        <f t="shared" si="14"/>
        <v>0</v>
      </c>
      <c r="BV36" s="31">
        <f t="shared" si="15"/>
        <v>0.84</v>
      </c>
      <c r="BW36" s="31">
        <f t="shared" ref="BW36:BX36" si="107">+BR36+BS36+BT36</f>
        <v>0.52</v>
      </c>
      <c r="BX36" s="32">
        <f t="shared" si="107"/>
        <v>0.36</v>
      </c>
    </row>
    <row r="37" ht="15.75" customHeight="1">
      <c r="B37" s="33">
        <v>26.0</v>
      </c>
      <c r="C37" s="2">
        <v>1.0</v>
      </c>
      <c r="D37" s="3">
        <f t="shared" si="3"/>
        <v>1.807692308</v>
      </c>
      <c r="E37" s="2">
        <f t="shared" si="17"/>
        <v>18</v>
      </c>
      <c r="F37" s="2">
        <f t="shared" si="18"/>
        <v>11</v>
      </c>
      <c r="G37" s="2">
        <f t="shared" si="19"/>
        <v>5</v>
      </c>
      <c r="H37" s="2">
        <f t="shared" si="20"/>
        <v>19</v>
      </c>
      <c r="I37" s="2">
        <f t="shared" si="21"/>
        <v>15</v>
      </c>
      <c r="J37" s="2">
        <f t="shared" si="22"/>
        <v>3</v>
      </c>
      <c r="K37" s="2">
        <f t="shared" si="23"/>
        <v>8</v>
      </c>
      <c r="L37" s="2">
        <f t="shared" si="24"/>
        <v>10</v>
      </c>
      <c r="M37" s="34">
        <f t="shared" si="25"/>
        <v>1</v>
      </c>
      <c r="N37" s="2">
        <v>2.0</v>
      </c>
      <c r="O37" s="3">
        <f t="shared" si="4"/>
        <v>2.307692308</v>
      </c>
      <c r="P37" s="2">
        <f t="shared" si="26"/>
        <v>13</v>
      </c>
      <c r="Q37" s="2">
        <f t="shared" si="27"/>
        <v>15</v>
      </c>
      <c r="R37" s="2">
        <f t="shared" si="28"/>
        <v>8</v>
      </c>
      <c r="S37" s="2">
        <f t="shared" si="29"/>
        <v>18</v>
      </c>
      <c r="T37" s="2">
        <f t="shared" si="30"/>
        <v>18</v>
      </c>
      <c r="U37" s="2">
        <f t="shared" si="31"/>
        <v>3</v>
      </c>
      <c r="V37" s="2">
        <f t="shared" si="32"/>
        <v>3</v>
      </c>
      <c r="W37" s="2">
        <f t="shared" si="33"/>
        <v>10</v>
      </c>
      <c r="X37" s="34">
        <f t="shared" si="34"/>
        <v>5</v>
      </c>
      <c r="Y37" s="2">
        <v>1.0</v>
      </c>
      <c r="Z37" s="3">
        <f t="shared" si="5"/>
        <v>1.538461538</v>
      </c>
      <c r="AA37" s="2">
        <f t="shared" si="35"/>
        <v>12</v>
      </c>
      <c r="AB37" s="2">
        <f t="shared" si="36"/>
        <v>10</v>
      </c>
      <c r="AC37" s="2">
        <f t="shared" si="37"/>
        <v>4</v>
      </c>
      <c r="AD37" s="2">
        <f t="shared" si="38"/>
        <v>14</v>
      </c>
      <c r="AE37" s="2">
        <f t="shared" si="39"/>
        <v>12</v>
      </c>
      <c r="AF37" s="2">
        <f t="shared" si="40"/>
        <v>9</v>
      </c>
      <c r="AG37" s="2">
        <f t="shared" si="41"/>
        <v>4</v>
      </c>
      <c r="AH37" s="2">
        <f t="shared" si="42"/>
        <v>8</v>
      </c>
      <c r="AI37" s="34">
        <f t="shared" si="43"/>
        <v>2</v>
      </c>
      <c r="AJ37" s="2">
        <v>1.0</v>
      </c>
      <c r="AK37" s="3">
        <f t="shared" si="6"/>
        <v>1.615384615</v>
      </c>
      <c r="AL37" s="2">
        <f t="shared" si="44"/>
        <v>16</v>
      </c>
      <c r="AM37" s="2">
        <f t="shared" si="45"/>
        <v>12</v>
      </c>
      <c r="AN37" s="2">
        <f t="shared" si="46"/>
        <v>6</v>
      </c>
      <c r="AO37" s="2">
        <f t="shared" si="47"/>
        <v>21</v>
      </c>
      <c r="AP37" s="2">
        <f t="shared" si="48"/>
        <v>13</v>
      </c>
      <c r="AQ37" s="2">
        <f t="shared" si="49"/>
        <v>4</v>
      </c>
      <c r="AR37" s="2">
        <f t="shared" si="50"/>
        <v>9</v>
      </c>
      <c r="AS37" s="2">
        <f t="shared" si="51"/>
        <v>7</v>
      </c>
      <c r="AT37" s="34">
        <f t="shared" si="52"/>
        <v>5</v>
      </c>
      <c r="AU37" s="2"/>
      <c r="AV37" s="3">
        <f t="shared" si="7"/>
        <v>1.529411765</v>
      </c>
      <c r="AW37" s="2">
        <f t="shared" si="53"/>
        <v>9</v>
      </c>
      <c r="AX37" s="2">
        <f t="shared" si="54"/>
        <v>9</v>
      </c>
      <c r="AY37" s="2">
        <f t="shared" si="55"/>
        <v>4</v>
      </c>
      <c r="AZ37" s="2">
        <f t="shared" si="56"/>
        <v>13</v>
      </c>
      <c r="BA37" s="2">
        <f t="shared" si="57"/>
        <v>9</v>
      </c>
      <c r="BB37" s="2">
        <f t="shared" si="58"/>
        <v>13</v>
      </c>
      <c r="BC37" s="2">
        <f t="shared" si="59"/>
        <v>4</v>
      </c>
      <c r="BD37" s="2">
        <f t="shared" si="60"/>
        <v>5</v>
      </c>
      <c r="BE37" s="34">
        <f t="shared" si="61"/>
        <v>4</v>
      </c>
      <c r="BF37" s="36">
        <f t="shared" ref="BF37:BO37" si="108">+(AK37+Z37+O37+D37)/4</f>
        <v>1.817307692</v>
      </c>
      <c r="BG37" s="2">
        <f t="shared" si="108"/>
        <v>14.75</v>
      </c>
      <c r="BH37" s="2">
        <f t="shared" si="108"/>
        <v>12</v>
      </c>
      <c r="BI37" s="2">
        <f t="shared" si="108"/>
        <v>5.75</v>
      </c>
      <c r="BJ37" s="2">
        <f t="shared" si="108"/>
        <v>18</v>
      </c>
      <c r="BK37" s="2">
        <f t="shared" si="108"/>
        <v>14.5</v>
      </c>
      <c r="BL37" s="2">
        <f t="shared" si="108"/>
        <v>4.75</v>
      </c>
      <c r="BM37" s="2">
        <f t="shared" si="108"/>
        <v>6</v>
      </c>
      <c r="BN37" s="2">
        <f t="shared" si="108"/>
        <v>8.75</v>
      </c>
      <c r="BO37" s="62">
        <f t="shared" si="108"/>
        <v>3.25</v>
      </c>
      <c r="BP37" s="37">
        <f t="shared" si="9"/>
        <v>-0.2878959276</v>
      </c>
      <c r="BQ37" s="38">
        <f t="shared" si="10"/>
        <v>0.1538461538</v>
      </c>
      <c r="BR37" s="38">
        <f t="shared" si="11"/>
        <v>0.1538461538</v>
      </c>
      <c r="BS37" s="38">
        <f t="shared" si="12"/>
        <v>0.1923076923</v>
      </c>
      <c r="BT37" s="38">
        <f t="shared" si="13"/>
        <v>0.1538461538</v>
      </c>
      <c r="BU37" s="38">
        <f t="shared" si="14"/>
        <v>0</v>
      </c>
      <c r="BV37" s="38">
        <f t="shared" si="15"/>
        <v>0.8461538462</v>
      </c>
      <c r="BW37" s="38">
        <f t="shared" ref="BW37:BX37" si="109">+BR37+BS37+BT37</f>
        <v>0.5</v>
      </c>
      <c r="BX37" s="39">
        <f t="shared" si="109"/>
        <v>0.3461538462</v>
      </c>
    </row>
    <row r="38" ht="15.75" customHeight="1">
      <c r="A38" s="60"/>
      <c r="B38" s="40">
        <v>27.0</v>
      </c>
      <c r="C38" s="24">
        <v>2.0</v>
      </c>
      <c r="D38" s="27">
        <f t="shared" si="3"/>
        <v>1.814814815</v>
      </c>
      <c r="E38" s="24">
        <f t="shared" si="17"/>
        <v>19</v>
      </c>
      <c r="F38" s="2">
        <f t="shared" si="18"/>
        <v>12</v>
      </c>
      <c r="G38" s="24">
        <f t="shared" si="19"/>
        <v>5</v>
      </c>
      <c r="H38" s="24">
        <f t="shared" si="20"/>
        <v>20</v>
      </c>
      <c r="I38" s="24">
        <f t="shared" si="21"/>
        <v>16</v>
      </c>
      <c r="J38" s="24">
        <f t="shared" si="22"/>
        <v>3</v>
      </c>
      <c r="K38" s="24">
        <f t="shared" si="23"/>
        <v>8</v>
      </c>
      <c r="L38" s="24">
        <f t="shared" si="24"/>
        <v>11</v>
      </c>
      <c r="M38" s="28">
        <f t="shared" si="25"/>
        <v>1</v>
      </c>
      <c r="N38" s="24">
        <v>4.0</v>
      </c>
      <c r="O38" s="27">
        <f t="shared" si="4"/>
        <v>2.37037037</v>
      </c>
      <c r="P38" s="24">
        <f t="shared" si="26"/>
        <v>13</v>
      </c>
      <c r="Q38" s="2">
        <f t="shared" si="27"/>
        <v>15</v>
      </c>
      <c r="R38" s="24">
        <f t="shared" si="28"/>
        <v>9</v>
      </c>
      <c r="S38" s="24">
        <f t="shared" si="29"/>
        <v>18</v>
      </c>
      <c r="T38" s="24">
        <f t="shared" si="30"/>
        <v>19</v>
      </c>
      <c r="U38" s="24">
        <f t="shared" si="31"/>
        <v>3</v>
      </c>
      <c r="V38" s="24">
        <f t="shared" si="32"/>
        <v>3</v>
      </c>
      <c r="W38" s="24">
        <f t="shared" si="33"/>
        <v>10</v>
      </c>
      <c r="X38" s="28">
        <f t="shared" si="34"/>
        <v>5</v>
      </c>
      <c r="Y38" s="24">
        <v>2.0</v>
      </c>
      <c r="Z38" s="27">
        <f t="shared" si="5"/>
        <v>1.555555556</v>
      </c>
      <c r="AA38" s="24">
        <f t="shared" si="35"/>
        <v>13</v>
      </c>
      <c r="AB38" s="2">
        <f t="shared" si="36"/>
        <v>11</v>
      </c>
      <c r="AC38" s="24">
        <f t="shared" si="37"/>
        <v>4</v>
      </c>
      <c r="AD38" s="24">
        <f t="shared" si="38"/>
        <v>15</v>
      </c>
      <c r="AE38" s="24">
        <f t="shared" si="39"/>
        <v>13</v>
      </c>
      <c r="AF38" s="24">
        <f t="shared" si="40"/>
        <v>9</v>
      </c>
      <c r="AG38" s="24">
        <f t="shared" si="41"/>
        <v>4</v>
      </c>
      <c r="AH38" s="24">
        <f t="shared" si="42"/>
        <v>9</v>
      </c>
      <c r="AI38" s="28">
        <f t="shared" si="43"/>
        <v>2</v>
      </c>
      <c r="AJ38" s="24">
        <v>1.0</v>
      </c>
      <c r="AK38" s="27">
        <f t="shared" si="6"/>
        <v>1.592592593</v>
      </c>
      <c r="AL38" s="24">
        <f t="shared" si="44"/>
        <v>17</v>
      </c>
      <c r="AM38" s="2">
        <f t="shared" si="45"/>
        <v>12</v>
      </c>
      <c r="AN38" s="24">
        <f t="shared" si="46"/>
        <v>6</v>
      </c>
      <c r="AO38" s="24">
        <f t="shared" si="47"/>
        <v>22</v>
      </c>
      <c r="AP38" s="24">
        <f t="shared" si="48"/>
        <v>13</v>
      </c>
      <c r="AQ38" s="24">
        <f t="shared" si="49"/>
        <v>4</v>
      </c>
      <c r="AR38" s="24">
        <f t="shared" si="50"/>
        <v>10</v>
      </c>
      <c r="AS38" s="24">
        <f t="shared" si="51"/>
        <v>7</v>
      </c>
      <c r="AT38" s="28">
        <f t="shared" si="52"/>
        <v>5</v>
      </c>
      <c r="AU38" s="24"/>
      <c r="AV38" s="27">
        <f t="shared" si="7"/>
        <v>1.529411765</v>
      </c>
      <c r="AW38" s="24">
        <f t="shared" si="53"/>
        <v>9</v>
      </c>
      <c r="AX38" s="2">
        <f t="shared" si="54"/>
        <v>9</v>
      </c>
      <c r="AY38" s="24">
        <f t="shared" si="55"/>
        <v>4</v>
      </c>
      <c r="AZ38" s="24">
        <f t="shared" si="56"/>
        <v>13</v>
      </c>
      <c r="BA38" s="24">
        <f t="shared" si="57"/>
        <v>9</v>
      </c>
      <c r="BB38" s="24">
        <f t="shared" si="58"/>
        <v>14</v>
      </c>
      <c r="BC38" s="24">
        <f t="shared" si="59"/>
        <v>4</v>
      </c>
      <c r="BD38" s="24">
        <f t="shared" si="60"/>
        <v>5</v>
      </c>
      <c r="BE38" s="28">
        <f t="shared" si="61"/>
        <v>4</v>
      </c>
      <c r="BF38" s="29">
        <f t="shared" ref="BF38:BO38" si="110">+(AK38+Z38+O38+D38)/4</f>
        <v>1.833333333</v>
      </c>
      <c r="BG38" s="24">
        <f t="shared" si="110"/>
        <v>15.5</v>
      </c>
      <c r="BH38" s="24">
        <f t="shared" si="110"/>
        <v>12.5</v>
      </c>
      <c r="BI38" s="24">
        <f t="shared" si="110"/>
        <v>6</v>
      </c>
      <c r="BJ38" s="24">
        <f t="shared" si="110"/>
        <v>18.75</v>
      </c>
      <c r="BK38" s="24">
        <f t="shared" si="110"/>
        <v>15.25</v>
      </c>
      <c r="BL38" s="24">
        <f t="shared" si="110"/>
        <v>4.75</v>
      </c>
      <c r="BM38" s="24">
        <f t="shared" si="110"/>
        <v>6.25</v>
      </c>
      <c r="BN38" s="24">
        <f t="shared" si="110"/>
        <v>9.25</v>
      </c>
      <c r="BO38" s="61">
        <f t="shared" si="110"/>
        <v>3.25</v>
      </c>
      <c r="BP38" s="30">
        <f t="shared" si="9"/>
        <v>-0.3039215686</v>
      </c>
      <c r="BQ38" s="31">
        <f t="shared" si="10"/>
        <v>0.1481481481</v>
      </c>
      <c r="BR38" s="31">
        <f t="shared" si="11"/>
        <v>0.1481481481</v>
      </c>
      <c r="BS38" s="31">
        <f t="shared" si="12"/>
        <v>0.1851851852</v>
      </c>
      <c r="BT38" s="31">
        <f t="shared" si="13"/>
        <v>0.1481481481</v>
      </c>
      <c r="BU38" s="31">
        <f t="shared" si="14"/>
        <v>0</v>
      </c>
      <c r="BV38" s="31">
        <f t="shared" si="15"/>
        <v>0.8518518519</v>
      </c>
      <c r="BW38" s="31">
        <f t="shared" ref="BW38:BX38" si="111">+BR38+BS38+BT38</f>
        <v>0.4814814815</v>
      </c>
      <c r="BX38" s="32">
        <f t="shared" si="111"/>
        <v>0.3333333333</v>
      </c>
    </row>
    <row r="39" ht="15.75" customHeight="1">
      <c r="B39" s="33">
        <v>28.0</v>
      </c>
      <c r="C39" s="2">
        <v>0.0</v>
      </c>
      <c r="D39" s="3">
        <f t="shared" si="3"/>
        <v>1.75</v>
      </c>
      <c r="E39" s="2">
        <f t="shared" si="17"/>
        <v>19</v>
      </c>
      <c r="F39" s="2">
        <f t="shared" si="18"/>
        <v>12</v>
      </c>
      <c r="G39" s="2">
        <f t="shared" si="19"/>
        <v>5</v>
      </c>
      <c r="H39" s="2">
        <f t="shared" si="20"/>
        <v>20</v>
      </c>
      <c r="I39" s="2">
        <f t="shared" si="21"/>
        <v>16</v>
      </c>
      <c r="J39" s="2">
        <f t="shared" si="22"/>
        <v>4</v>
      </c>
      <c r="K39" s="2">
        <f t="shared" si="23"/>
        <v>8</v>
      </c>
      <c r="L39" s="2">
        <f t="shared" si="24"/>
        <v>11</v>
      </c>
      <c r="M39" s="34">
        <f t="shared" si="25"/>
        <v>1</v>
      </c>
      <c r="N39" s="2">
        <v>0.0</v>
      </c>
      <c r="O39" s="3">
        <f t="shared" si="4"/>
        <v>2.285714286</v>
      </c>
      <c r="P39" s="2">
        <f t="shared" si="26"/>
        <v>13</v>
      </c>
      <c r="Q39" s="2">
        <f t="shared" si="27"/>
        <v>15</v>
      </c>
      <c r="R39" s="2">
        <f t="shared" si="28"/>
        <v>9</v>
      </c>
      <c r="S39" s="2">
        <f t="shared" si="29"/>
        <v>18</v>
      </c>
      <c r="T39" s="2">
        <f t="shared" si="30"/>
        <v>19</v>
      </c>
      <c r="U39" s="2">
        <f t="shared" si="31"/>
        <v>4</v>
      </c>
      <c r="V39" s="2">
        <f t="shared" si="32"/>
        <v>3</v>
      </c>
      <c r="W39" s="2">
        <f t="shared" si="33"/>
        <v>10</v>
      </c>
      <c r="X39" s="34">
        <f t="shared" si="34"/>
        <v>5</v>
      </c>
      <c r="Y39" s="2">
        <v>1.0</v>
      </c>
      <c r="Z39" s="3">
        <f t="shared" si="5"/>
        <v>1.535714286</v>
      </c>
      <c r="AA39" s="2">
        <f t="shared" si="35"/>
        <v>14</v>
      </c>
      <c r="AB39" s="2">
        <f t="shared" si="36"/>
        <v>11</v>
      </c>
      <c r="AC39" s="2">
        <f t="shared" si="37"/>
        <v>4</v>
      </c>
      <c r="AD39" s="2">
        <f t="shared" si="38"/>
        <v>16</v>
      </c>
      <c r="AE39" s="2">
        <f t="shared" si="39"/>
        <v>13</v>
      </c>
      <c r="AF39" s="2">
        <f t="shared" si="40"/>
        <v>9</v>
      </c>
      <c r="AG39" s="2">
        <f t="shared" si="41"/>
        <v>5</v>
      </c>
      <c r="AH39" s="2">
        <f t="shared" si="42"/>
        <v>9</v>
      </c>
      <c r="AI39" s="34">
        <f t="shared" si="43"/>
        <v>2</v>
      </c>
      <c r="AJ39" s="2">
        <v>2.0</v>
      </c>
      <c r="AK39" s="3">
        <f t="shared" si="6"/>
        <v>1.607142857</v>
      </c>
      <c r="AL39" s="2">
        <f t="shared" si="44"/>
        <v>18</v>
      </c>
      <c r="AM39" s="2">
        <f t="shared" si="45"/>
        <v>13</v>
      </c>
      <c r="AN39" s="2">
        <f t="shared" si="46"/>
        <v>6</v>
      </c>
      <c r="AO39" s="2">
        <f t="shared" si="47"/>
        <v>23</v>
      </c>
      <c r="AP39" s="2">
        <f t="shared" si="48"/>
        <v>14</v>
      </c>
      <c r="AQ39" s="2">
        <f t="shared" si="49"/>
        <v>4</v>
      </c>
      <c r="AR39" s="2">
        <f t="shared" si="50"/>
        <v>10</v>
      </c>
      <c r="AS39" s="2">
        <f t="shared" si="51"/>
        <v>8</v>
      </c>
      <c r="AT39" s="34">
        <f t="shared" si="52"/>
        <v>5</v>
      </c>
      <c r="AU39" s="2"/>
      <c r="AV39" s="3">
        <f t="shared" si="7"/>
        <v>1.529411765</v>
      </c>
      <c r="AW39" s="2">
        <f t="shared" si="53"/>
        <v>9</v>
      </c>
      <c r="AX39" s="2">
        <f t="shared" si="54"/>
        <v>9</v>
      </c>
      <c r="AY39" s="2">
        <f t="shared" si="55"/>
        <v>4</v>
      </c>
      <c r="AZ39" s="2">
        <f t="shared" si="56"/>
        <v>13</v>
      </c>
      <c r="BA39" s="2">
        <f t="shared" si="57"/>
        <v>9</v>
      </c>
      <c r="BB39" s="2">
        <f t="shared" si="58"/>
        <v>15</v>
      </c>
      <c r="BC39" s="2">
        <f t="shared" si="59"/>
        <v>4</v>
      </c>
      <c r="BD39" s="2">
        <f t="shared" si="60"/>
        <v>5</v>
      </c>
      <c r="BE39" s="34">
        <f t="shared" si="61"/>
        <v>4</v>
      </c>
      <c r="BF39" s="36">
        <f t="shared" ref="BF39:BO39" si="112">+(AK39+Z39+O39+D39)/4</f>
        <v>1.794642857</v>
      </c>
      <c r="BG39" s="2">
        <f t="shared" si="112"/>
        <v>16</v>
      </c>
      <c r="BH39" s="2">
        <f t="shared" si="112"/>
        <v>12.75</v>
      </c>
      <c r="BI39" s="2">
        <f t="shared" si="112"/>
        <v>6</v>
      </c>
      <c r="BJ39" s="2">
        <f t="shared" si="112"/>
        <v>19.25</v>
      </c>
      <c r="BK39" s="2">
        <f t="shared" si="112"/>
        <v>15.5</v>
      </c>
      <c r="BL39" s="2">
        <f t="shared" si="112"/>
        <v>5.25</v>
      </c>
      <c r="BM39" s="2">
        <f t="shared" si="112"/>
        <v>6.5</v>
      </c>
      <c r="BN39" s="2">
        <f t="shared" si="112"/>
        <v>9.5</v>
      </c>
      <c r="BO39" s="62">
        <f t="shared" si="112"/>
        <v>3.25</v>
      </c>
      <c r="BP39" s="37">
        <f t="shared" si="9"/>
        <v>-0.2652310924</v>
      </c>
      <c r="BQ39" s="38">
        <f t="shared" si="10"/>
        <v>0.1428571429</v>
      </c>
      <c r="BR39" s="38">
        <f t="shared" si="11"/>
        <v>0.1428571429</v>
      </c>
      <c r="BS39" s="38">
        <f t="shared" si="12"/>
        <v>0.1785714286</v>
      </c>
      <c r="BT39" s="38">
        <f t="shared" si="13"/>
        <v>0.1428571429</v>
      </c>
      <c r="BU39" s="38">
        <f t="shared" si="14"/>
        <v>0</v>
      </c>
      <c r="BV39" s="38">
        <f t="shared" si="15"/>
        <v>0.8571428571</v>
      </c>
      <c r="BW39" s="38">
        <f t="shared" ref="BW39:BX39" si="113">+BR39+BS39+BT39</f>
        <v>0.4642857143</v>
      </c>
      <c r="BX39" s="39">
        <f t="shared" si="113"/>
        <v>0.3214285714</v>
      </c>
    </row>
    <row r="40" ht="15.75" customHeight="1">
      <c r="A40" s="60"/>
      <c r="B40" s="40">
        <v>29.0</v>
      </c>
      <c r="C40" s="24">
        <v>2.0</v>
      </c>
      <c r="D40" s="27">
        <f t="shared" si="3"/>
        <v>1.75862069</v>
      </c>
      <c r="E40" s="24">
        <f t="shared" si="17"/>
        <v>20</v>
      </c>
      <c r="F40" s="2">
        <f t="shared" si="18"/>
        <v>13</v>
      </c>
      <c r="G40" s="24">
        <f t="shared" si="19"/>
        <v>5</v>
      </c>
      <c r="H40" s="24">
        <f t="shared" si="20"/>
        <v>21</v>
      </c>
      <c r="I40" s="24">
        <f t="shared" si="21"/>
        <v>17</v>
      </c>
      <c r="J40" s="24">
        <f t="shared" si="22"/>
        <v>4</v>
      </c>
      <c r="K40" s="24">
        <f t="shared" si="23"/>
        <v>8</v>
      </c>
      <c r="L40" s="24">
        <f t="shared" si="24"/>
        <v>12</v>
      </c>
      <c r="M40" s="28">
        <f t="shared" si="25"/>
        <v>1</v>
      </c>
      <c r="N40" s="24">
        <v>2.0</v>
      </c>
      <c r="O40" s="27">
        <f t="shared" si="4"/>
        <v>2.275862069</v>
      </c>
      <c r="P40" s="24">
        <f t="shared" si="26"/>
        <v>14</v>
      </c>
      <c r="Q40" s="2">
        <f t="shared" si="27"/>
        <v>16</v>
      </c>
      <c r="R40" s="24">
        <f t="shared" si="28"/>
        <v>9</v>
      </c>
      <c r="S40" s="24">
        <f t="shared" si="29"/>
        <v>19</v>
      </c>
      <c r="T40" s="24">
        <f t="shared" si="30"/>
        <v>20</v>
      </c>
      <c r="U40" s="24">
        <f t="shared" si="31"/>
        <v>4</v>
      </c>
      <c r="V40" s="24">
        <f t="shared" si="32"/>
        <v>3</v>
      </c>
      <c r="W40" s="24">
        <f t="shared" si="33"/>
        <v>11</v>
      </c>
      <c r="X40" s="28">
        <f t="shared" si="34"/>
        <v>5</v>
      </c>
      <c r="Y40" s="24">
        <v>1.0</v>
      </c>
      <c r="Z40" s="27">
        <f t="shared" si="5"/>
        <v>1.517241379</v>
      </c>
      <c r="AA40" s="24">
        <f t="shared" si="35"/>
        <v>15</v>
      </c>
      <c r="AB40" s="2">
        <f t="shared" si="36"/>
        <v>11</v>
      </c>
      <c r="AC40" s="24">
        <f t="shared" si="37"/>
        <v>4</v>
      </c>
      <c r="AD40" s="24">
        <f t="shared" si="38"/>
        <v>17</v>
      </c>
      <c r="AE40" s="24">
        <f t="shared" si="39"/>
        <v>13</v>
      </c>
      <c r="AF40" s="24">
        <f t="shared" si="40"/>
        <v>9</v>
      </c>
      <c r="AG40" s="24">
        <f t="shared" si="41"/>
        <v>6</v>
      </c>
      <c r="AH40" s="24">
        <f t="shared" si="42"/>
        <v>9</v>
      </c>
      <c r="AI40" s="28">
        <f t="shared" si="43"/>
        <v>2</v>
      </c>
      <c r="AJ40" s="24">
        <v>0.0</v>
      </c>
      <c r="AK40" s="27">
        <f t="shared" si="6"/>
        <v>1.551724138</v>
      </c>
      <c r="AL40" s="24">
        <f t="shared" si="44"/>
        <v>18</v>
      </c>
      <c r="AM40" s="2">
        <f t="shared" si="45"/>
        <v>13</v>
      </c>
      <c r="AN40" s="24">
        <f t="shared" si="46"/>
        <v>6</v>
      </c>
      <c r="AO40" s="24">
        <f t="shared" si="47"/>
        <v>23</v>
      </c>
      <c r="AP40" s="24">
        <f t="shared" si="48"/>
        <v>14</v>
      </c>
      <c r="AQ40" s="24">
        <f t="shared" si="49"/>
        <v>5</v>
      </c>
      <c r="AR40" s="24">
        <f t="shared" si="50"/>
        <v>10</v>
      </c>
      <c r="AS40" s="24">
        <f t="shared" si="51"/>
        <v>8</v>
      </c>
      <c r="AT40" s="28">
        <f t="shared" si="52"/>
        <v>5</v>
      </c>
      <c r="AU40" s="24"/>
      <c r="AV40" s="27">
        <f t="shared" si="7"/>
        <v>1.529411765</v>
      </c>
      <c r="AW40" s="24">
        <f t="shared" si="53"/>
        <v>9</v>
      </c>
      <c r="AX40" s="2">
        <f t="shared" si="54"/>
        <v>9</v>
      </c>
      <c r="AY40" s="24">
        <f t="shared" si="55"/>
        <v>4</v>
      </c>
      <c r="AZ40" s="24">
        <f t="shared" si="56"/>
        <v>13</v>
      </c>
      <c r="BA40" s="24">
        <f t="shared" si="57"/>
        <v>9</v>
      </c>
      <c r="BB40" s="24">
        <f t="shared" si="58"/>
        <v>16</v>
      </c>
      <c r="BC40" s="24">
        <f t="shared" si="59"/>
        <v>4</v>
      </c>
      <c r="BD40" s="24">
        <f t="shared" si="60"/>
        <v>5</v>
      </c>
      <c r="BE40" s="28">
        <f t="shared" si="61"/>
        <v>4</v>
      </c>
      <c r="BF40" s="29">
        <f t="shared" ref="BF40:BO40" si="114">+(AK40+Z40+O40+D40)/4</f>
        <v>1.775862069</v>
      </c>
      <c r="BG40" s="24">
        <f t="shared" si="114"/>
        <v>16.75</v>
      </c>
      <c r="BH40" s="24">
        <f t="shared" si="114"/>
        <v>13.25</v>
      </c>
      <c r="BI40" s="24">
        <f t="shared" si="114"/>
        <v>6</v>
      </c>
      <c r="BJ40" s="24">
        <f t="shared" si="114"/>
        <v>20</v>
      </c>
      <c r="BK40" s="24">
        <f t="shared" si="114"/>
        <v>16</v>
      </c>
      <c r="BL40" s="24">
        <f t="shared" si="114"/>
        <v>5.5</v>
      </c>
      <c r="BM40" s="24">
        <f t="shared" si="114"/>
        <v>6.75</v>
      </c>
      <c r="BN40" s="24">
        <f t="shared" si="114"/>
        <v>10</v>
      </c>
      <c r="BO40" s="61">
        <f t="shared" si="114"/>
        <v>3.25</v>
      </c>
      <c r="BP40" s="30">
        <f t="shared" si="9"/>
        <v>-0.2464503043</v>
      </c>
      <c r="BQ40" s="31">
        <f t="shared" si="10"/>
        <v>0.1379310345</v>
      </c>
      <c r="BR40" s="31">
        <f t="shared" si="11"/>
        <v>0.1379310345</v>
      </c>
      <c r="BS40" s="31">
        <f t="shared" si="12"/>
        <v>0.1724137931</v>
      </c>
      <c r="BT40" s="31">
        <f t="shared" si="13"/>
        <v>0.1379310345</v>
      </c>
      <c r="BU40" s="31">
        <f t="shared" si="14"/>
        <v>0</v>
      </c>
      <c r="BV40" s="31">
        <f t="shared" si="15"/>
        <v>0.8620689655</v>
      </c>
      <c r="BW40" s="31">
        <f t="shared" ref="BW40:BX40" si="115">+BR40+BS40+BT40</f>
        <v>0.4482758621</v>
      </c>
      <c r="BX40" s="32">
        <f t="shared" si="115"/>
        <v>0.3103448276</v>
      </c>
    </row>
    <row r="41" ht="15.75" customHeight="1">
      <c r="B41" s="42">
        <v>30.0</v>
      </c>
      <c r="C41" s="43">
        <v>2.0</v>
      </c>
      <c r="D41" s="3">
        <f t="shared" si="3"/>
        <v>1.766666667</v>
      </c>
      <c r="E41" s="43">
        <f t="shared" si="17"/>
        <v>21</v>
      </c>
      <c r="F41" s="2">
        <f t="shared" si="18"/>
        <v>14</v>
      </c>
      <c r="G41" s="43">
        <f t="shared" si="19"/>
        <v>5</v>
      </c>
      <c r="H41" s="43">
        <f t="shared" si="20"/>
        <v>22</v>
      </c>
      <c r="I41" s="43">
        <f t="shared" si="21"/>
        <v>18</v>
      </c>
      <c r="J41" s="43">
        <f t="shared" si="22"/>
        <v>4</v>
      </c>
      <c r="K41" s="43">
        <f t="shared" si="23"/>
        <v>8</v>
      </c>
      <c r="L41" s="43">
        <f t="shared" si="24"/>
        <v>13</v>
      </c>
      <c r="M41" s="44">
        <f t="shared" si="25"/>
        <v>1</v>
      </c>
      <c r="N41" s="43">
        <v>0.0</v>
      </c>
      <c r="O41" s="3">
        <f t="shared" si="4"/>
        <v>2.2</v>
      </c>
      <c r="P41" s="43">
        <f t="shared" si="26"/>
        <v>14</v>
      </c>
      <c r="Q41" s="2">
        <f t="shared" si="27"/>
        <v>16</v>
      </c>
      <c r="R41" s="43">
        <f t="shared" si="28"/>
        <v>9</v>
      </c>
      <c r="S41" s="43">
        <f t="shared" si="29"/>
        <v>19</v>
      </c>
      <c r="T41" s="43">
        <f t="shared" si="30"/>
        <v>20</v>
      </c>
      <c r="U41" s="43">
        <f t="shared" si="31"/>
        <v>5</v>
      </c>
      <c r="V41" s="43">
        <f t="shared" si="32"/>
        <v>3</v>
      </c>
      <c r="W41" s="43">
        <f t="shared" si="33"/>
        <v>11</v>
      </c>
      <c r="X41" s="44">
        <f t="shared" si="34"/>
        <v>5</v>
      </c>
      <c r="Y41" s="43">
        <v>0.0</v>
      </c>
      <c r="Z41" s="3">
        <f t="shared" si="5"/>
        <v>1.466666667</v>
      </c>
      <c r="AA41" s="43">
        <f t="shared" si="35"/>
        <v>15</v>
      </c>
      <c r="AB41" s="2">
        <f t="shared" si="36"/>
        <v>11</v>
      </c>
      <c r="AC41" s="43">
        <f t="shared" si="37"/>
        <v>4</v>
      </c>
      <c r="AD41" s="43">
        <f t="shared" si="38"/>
        <v>17</v>
      </c>
      <c r="AE41" s="43">
        <f t="shared" si="39"/>
        <v>13</v>
      </c>
      <c r="AF41" s="43">
        <f t="shared" si="40"/>
        <v>10</v>
      </c>
      <c r="AG41" s="43">
        <f t="shared" si="41"/>
        <v>6</v>
      </c>
      <c r="AH41" s="43">
        <f t="shared" si="42"/>
        <v>9</v>
      </c>
      <c r="AI41" s="44">
        <f t="shared" si="43"/>
        <v>2</v>
      </c>
      <c r="AJ41" s="43">
        <v>2.0</v>
      </c>
      <c r="AK41" s="3">
        <f t="shared" si="6"/>
        <v>1.566666667</v>
      </c>
      <c r="AL41" s="43">
        <f t="shared" si="44"/>
        <v>19</v>
      </c>
      <c r="AM41" s="2">
        <f t="shared" si="45"/>
        <v>14</v>
      </c>
      <c r="AN41" s="43">
        <f t="shared" si="46"/>
        <v>6</v>
      </c>
      <c r="AO41" s="43">
        <f t="shared" si="47"/>
        <v>24</v>
      </c>
      <c r="AP41" s="43">
        <f t="shared" si="48"/>
        <v>15</v>
      </c>
      <c r="AQ41" s="43">
        <f t="shared" si="49"/>
        <v>5</v>
      </c>
      <c r="AR41" s="43">
        <f t="shared" si="50"/>
        <v>10</v>
      </c>
      <c r="AS41" s="43">
        <f t="shared" si="51"/>
        <v>9</v>
      </c>
      <c r="AT41" s="44">
        <f t="shared" si="52"/>
        <v>5</v>
      </c>
      <c r="AU41" s="43"/>
      <c r="AV41" s="3">
        <f t="shared" si="7"/>
        <v>1.529411765</v>
      </c>
      <c r="AW41" s="43">
        <f t="shared" si="53"/>
        <v>9</v>
      </c>
      <c r="AX41" s="2">
        <f t="shared" si="54"/>
        <v>9</v>
      </c>
      <c r="AY41" s="43">
        <f t="shared" si="55"/>
        <v>4</v>
      </c>
      <c r="AZ41" s="43">
        <f t="shared" si="56"/>
        <v>13</v>
      </c>
      <c r="BA41" s="43">
        <f t="shared" si="57"/>
        <v>9</v>
      </c>
      <c r="BB41" s="43">
        <f t="shared" si="58"/>
        <v>17</v>
      </c>
      <c r="BC41" s="43">
        <f t="shared" si="59"/>
        <v>4</v>
      </c>
      <c r="BD41" s="43">
        <f t="shared" si="60"/>
        <v>5</v>
      </c>
      <c r="BE41" s="44">
        <f t="shared" si="61"/>
        <v>4</v>
      </c>
      <c r="BF41" s="46">
        <f t="shared" ref="BF41:BO41" si="116">+(AK41+Z41+O41+D41)/4</f>
        <v>1.75</v>
      </c>
      <c r="BG41" s="43">
        <f t="shared" si="116"/>
        <v>17.25</v>
      </c>
      <c r="BH41" s="43">
        <f t="shared" si="116"/>
        <v>13.75</v>
      </c>
      <c r="BI41" s="43">
        <f t="shared" si="116"/>
        <v>6</v>
      </c>
      <c r="BJ41" s="43">
        <f t="shared" si="116"/>
        <v>20.5</v>
      </c>
      <c r="BK41" s="43">
        <f t="shared" si="116"/>
        <v>16.5</v>
      </c>
      <c r="BL41" s="43">
        <f t="shared" si="116"/>
        <v>6</v>
      </c>
      <c r="BM41" s="43">
        <f t="shared" si="116"/>
        <v>6.75</v>
      </c>
      <c r="BN41" s="43">
        <f t="shared" si="116"/>
        <v>10.5</v>
      </c>
      <c r="BO41" s="63">
        <f t="shared" si="116"/>
        <v>3.25</v>
      </c>
      <c r="BP41" s="37">
        <f t="shared" si="9"/>
        <v>-0.2205882353</v>
      </c>
      <c r="BQ41" s="38">
        <f t="shared" si="10"/>
        <v>0.1333333333</v>
      </c>
      <c r="BR41" s="38">
        <f t="shared" si="11"/>
        <v>0.1333333333</v>
      </c>
      <c r="BS41" s="38">
        <f t="shared" si="12"/>
        <v>0.1666666667</v>
      </c>
      <c r="BT41" s="38">
        <f t="shared" si="13"/>
        <v>0.1333333333</v>
      </c>
      <c r="BU41" s="38">
        <f t="shared" si="14"/>
        <v>0</v>
      </c>
      <c r="BV41" s="38">
        <f t="shared" si="15"/>
        <v>0.8666666667</v>
      </c>
      <c r="BW41" s="38">
        <f t="shared" ref="BW41:BX41" si="117">+BR41+BS41+BT41</f>
        <v>0.4333333333</v>
      </c>
      <c r="BX41" s="39">
        <f t="shared" si="117"/>
        <v>0.3</v>
      </c>
    </row>
    <row r="42" ht="15.75" customHeight="1">
      <c r="A42" s="60"/>
      <c r="B42" s="40">
        <v>31.0</v>
      </c>
      <c r="C42" s="24">
        <v>3.0</v>
      </c>
      <c r="D42" s="27">
        <f t="shared" si="3"/>
        <v>1.806451613</v>
      </c>
      <c r="E42" s="24">
        <f t="shared" si="17"/>
        <v>21</v>
      </c>
      <c r="F42" s="2">
        <f t="shared" si="18"/>
        <v>15</v>
      </c>
      <c r="G42" s="24">
        <f t="shared" si="19"/>
        <v>6</v>
      </c>
      <c r="H42" s="24">
        <f t="shared" si="20"/>
        <v>23</v>
      </c>
      <c r="I42" s="24">
        <f t="shared" si="21"/>
        <v>19</v>
      </c>
      <c r="J42" s="24">
        <f t="shared" si="22"/>
        <v>4</v>
      </c>
      <c r="K42" s="24">
        <f t="shared" si="23"/>
        <v>8</v>
      </c>
      <c r="L42" s="24">
        <f t="shared" si="24"/>
        <v>13</v>
      </c>
      <c r="M42" s="28">
        <f t="shared" si="25"/>
        <v>2</v>
      </c>
      <c r="N42" s="24">
        <v>1.0</v>
      </c>
      <c r="O42" s="27">
        <f t="shared" si="4"/>
        <v>2.161290323</v>
      </c>
      <c r="P42" s="24">
        <f t="shared" si="26"/>
        <v>15</v>
      </c>
      <c r="Q42" s="2">
        <f t="shared" si="27"/>
        <v>16</v>
      </c>
      <c r="R42" s="24">
        <f t="shared" si="28"/>
        <v>9</v>
      </c>
      <c r="S42" s="24">
        <f t="shared" si="29"/>
        <v>20</v>
      </c>
      <c r="T42" s="24">
        <f t="shared" si="30"/>
        <v>20</v>
      </c>
      <c r="U42" s="24">
        <f t="shared" si="31"/>
        <v>5</v>
      </c>
      <c r="V42" s="24">
        <f t="shared" si="32"/>
        <v>4</v>
      </c>
      <c r="W42" s="24">
        <f t="shared" si="33"/>
        <v>11</v>
      </c>
      <c r="X42" s="28">
        <f t="shared" si="34"/>
        <v>5</v>
      </c>
      <c r="Y42" s="24">
        <v>4.0</v>
      </c>
      <c r="Z42" s="27">
        <f t="shared" si="5"/>
        <v>1.548387097</v>
      </c>
      <c r="AA42" s="24">
        <f t="shared" si="35"/>
        <v>15</v>
      </c>
      <c r="AB42" s="2">
        <f t="shared" si="36"/>
        <v>11</v>
      </c>
      <c r="AC42" s="24">
        <f t="shared" si="37"/>
        <v>5</v>
      </c>
      <c r="AD42" s="24">
        <f t="shared" si="38"/>
        <v>17</v>
      </c>
      <c r="AE42" s="24">
        <f t="shared" si="39"/>
        <v>14</v>
      </c>
      <c r="AF42" s="24">
        <f t="shared" si="40"/>
        <v>10</v>
      </c>
      <c r="AG42" s="24">
        <f t="shared" si="41"/>
        <v>6</v>
      </c>
      <c r="AH42" s="24">
        <f t="shared" si="42"/>
        <v>9</v>
      </c>
      <c r="AI42" s="28">
        <f t="shared" si="43"/>
        <v>2</v>
      </c>
      <c r="AJ42" s="24">
        <v>1.0</v>
      </c>
      <c r="AK42" s="27">
        <f t="shared" si="6"/>
        <v>1.548387097</v>
      </c>
      <c r="AL42" s="24">
        <f t="shared" si="44"/>
        <v>20</v>
      </c>
      <c r="AM42" s="2">
        <f t="shared" si="45"/>
        <v>14</v>
      </c>
      <c r="AN42" s="24">
        <f t="shared" si="46"/>
        <v>6</v>
      </c>
      <c r="AO42" s="24">
        <f t="shared" si="47"/>
        <v>25</v>
      </c>
      <c r="AP42" s="24">
        <f t="shared" si="48"/>
        <v>15</v>
      </c>
      <c r="AQ42" s="24">
        <f t="shared" si="49"/>
        <v>5</v>
      </c>
      <c r="AR42" s="24">
        <f t="shared" si="50"/>
        <v>11</v>
      </c>
      <c r="AS42" s="24">
        <f t="shared" si="51"/>
        <v>9</v>
      </c>
      <c r="AT42" s="28">
        <f t="shared" si="52"/>
        <v>5</v>
      </c>
      <c r="AU42" s="24"/>
      <c r="AV42" s="27">
        <f t="shared" si="7"/>
        <v>1.529411765</v>
      </c>
      <c r="AW42" s="24">
        <f t="shared" si="53"/>
        <v>9</v>
      </c>
      <c r="AX42" s="2">
        <f t="shared" si="54"/>
        <v>9</v>
      </c>
      <c r="AY42" s="24">
        <f t="shared" si="55"/>
        <v>4</v>
      </c>
      <c r="AZ42" s="24">
        <f t="shared" si="56"/>
        <v>13</v>
      </c>
      <c r="BA42" s="24">
        <f t="shared" si="57"/>
        <v>9</v>
      </c>
      <c r="BB42" s="24">
        <f t="shared" si="58"/>
        <v>18</v>
      </c>
      <c r="BC42" s="24">
        <f t="shared" si="59"/>
        <v>4</v>
      </c>
      <c r="BD42" s="24">
        <f t="shared" si="60"/>
        <v>5</v>
      </c>
      <c r="BE42" s="28">
        <f t="shared" si="61"/>
        <v>4</v>
      </c>
      <c r="BF42" s="29">
        <f t="shared" ref="BF42:BO42" si="118">+(AK42+Z42+O42+D42)/4</f>
        <v>1.766129032</v>
      </c>
      <c r="BG42" s="24">
        <f t="shared" si="118"/>
        <v>17.75</v>
      </c>
      <c r="BH42" s="24">
        <f t="shared" si="118"/>
        <v>14</v>
      </c>
      <c r="BI42" s="24">
        <f t="shared" si="118"/>
        <v>6.5</v>
      </c>
      <c r="BJ42" s="24">
        <f t="shared" si="118"/>
        <v>21.25</v>
      </c>
      <c r="BK42" s="24">
        <f t="shared" si="118"/>
        <v>17</v>
      </c>
      <c r="BL42" s="24">
        <f t="shared" si="118"/>
        <v>6</v>
      </c>
      <c r="BM42" s="24">
        <f t="shared" si="118"/>
        <v>7.25</v>
      </c>
      <c r="BN42" s="24">
        <f t="shared" si="118"/>
        <v>10.5</v>
      </c>
      <c r="BO42" s="61">
        <f t="shared" si="118"/>
        <v>3.5</v>
      </c>
      <c r="BP42" s="30">
        <f t="shared" si="9"/>
        <v>-0.2367172676</v>
      </c>
      <c r="BQ42" s="31">
        <f t="shared" si="10"/>
        <v>0.1290322581</v>
      </c>
      <c r="BR42" s="31">
        <f t="shared" si="11"/>
        <v>0.1290322581</v>
      </c>
      <c r="BS42" s="31">
        <f t="shared" si="12"/>
        <v>0.1612903226</v>
      </c>
      <c r="BT42" s="31">
        <f t="shared" si="13"/>
        <v>0.1290322581</v>
      </c>
      <c r="BU42" s="31">
        <f t="shared" si="14"/>
        <v>0</v>
      </c>
      <c r="BV42" s="31">
        <f t="shared" si="15"/>
        <v>0.8709677419</v>
      </c>
      <c r="BW42" s="31">
        <f t="shared" ref="BW42:BX42" si="119">+BR42+BS42+BT42</f>
        <v>0.4193548387</v>
      </c>
      <c r="BX42" s="32">
        <f t="shared" si="119"/>
        <v>0.2903225806</v>
      </c>
    </row>
    <row r="43" ht="15.75" customHeight="1">
      <c r="B43" s="33">
        <v>32.0</v>
      </c>
      <c r="C43" s="2">
        <v>2.0</v>
      </c>
      <c r="D43" s="3">
        <f t="shared" si="3"/>
        <v>1.8125</v>
      </c>
      <c r="E43" s="2">
        <f t="shared" si="17"/>
        <v>22</v>
      </c>
      <c r="F43" s="2">
        <f t="shared" si="18"/>
        <v>16</v>
      </c>
      <c r="G43" s="2">
        <f t="shared" si="19"/>
        <v>6</v>
      </c>
      <c r="H43" s="2">
        <f t="shared" si="20"/>
        <v>24</v>
      </c>
      <c r="I43" s="2">
        <f t="shared" si="21"/>
        <v>20</v>
      </c>
      <c r="J43" s="2">
        <f t="shared" si="22"/>
        <v>4</v>
      </c>
      <c r="K43" s="2">
        <f t="shared" si="23"/>
        <v>8</v>
      </c>
      <c r="L43" s="2">
        <f t="shared" si="24"/>
        <v>14</v>
      </c>
      <c r="M43" s="34">
        <f t="shared" si="25"/>
        <v>2</v>
      </c>
      <c r="N43" s="2">
        <v>1.0</v>
      </c>
      <c r="O43" s="3">
        <f t="shared" si="4"/>
        <v>2.125</v>
      </c>
      <c r="P43" s="2">
        <f t="shared" si="26"/>
        <v>16</v>
      </c>
      <c r="Q43" s="2">
        <f t="shared" si="27"/>
        <v>16</v>
      </c>
      <c r="R43" s="2">
        <f t="shared" si="28"/>
        <v>9</v>
      </c>
      <c r="S43" s="2">
        <f t="shared" si="29"/>
        <v>21</v>
      </c>
      <c r="T43" s="2">
        <f t="shared" si="30"/>
        <v>20</v>
      </c>
      <c r="U43" s="2">
        <f t="shared" si="31"/>
        <v>5</v>
      </c>
      <c r="V43" s="2">
        <f t="shared" si="32"/>
        <v>5</v>
      </c>
      <c r="W43" s="2">
        <f t="shared" si="33"/>
        <v>11</v>
      </c>
      <c r="X43" s="34">
        <f t="shared" si="34"/>
        <v>5</v>
      </c>
      <c r="Y43" s="2">
        <v>2.0</v>
      </c>
      <c r="Z43" s="3">
        <f t="shared" si="5"/>
        <v>1.5625</v>
      </c>
      <c r="AA43" s="2">
        <f t="shared" si="35"/>
        <v>16</v>
      </c>
      <c r="AB43" s="2">
        <f t="shared" si="36"/>
        <v>12</v>
      </c>
      <c r="AC43" s="2">
        <f t="shared" si="37"/>
        <v>5</v>
      </c>
      <c r="AD43" s="2">
        <f t="shared" si="38"/>
        <v>18</v>
      </c>
      <c r="AE43" s="2">
        <f t="shared" si="39"/>
        <v>15</v>
      </c>
      <c r="AF43" s="2">
        <f t="shared" si="40"/>
        <v>10</v>
      </c>
      <c r="AG43" s="2">
        <f t="shared" si="41"/>
        <v>6</v>
      </c>
      <c r="AH43" s="2">
        <f t="shared" si="42"/>
        <v>10</v>
      </c>
      <c r="AI43" s="34">
        <f t="shared" si="43"/>
        <v>2</v>
      </c>
      <c r="AJ43" s="2">
        <v>3.0</v>
      </c>
      <c r="AK43" s="3">
        <f t="shared" si="6"/>
        <v>1.59375</v>
      </c>
      <c r="AL43" s="2">
        <f t="shared" si="44"/>
        <v>20</v>
      </c>
      <c r="AM43" s="2">
        <f t="shared" si="45"/>
        <v>15</v>
      </c>
      <c r="AN43" s="2">
        <f t="shared" si="46"/>
        <v>7</v>
      </c>
      <c r="AO43" s="2">
        <f t="shared" si="47"/>
        <v>26</v>
      </c>
      <c r="AP43" s="2">
        <f t="shared" si="48"/>
        <v>16</v>
      </c>
      <c r="AQ43" s="2">
        <f t="shared" si="49"/>
        <v>5</v>
      </c>
      <c r="AR43" s="2">
        <f t="shared" si="50"/>
        <v>11</v>
      </c>
      <c r="AS43" s="2">
        <f t="shared" si="51"/>
        <v>9</v>
      </c>
      <c r="AT43" s="34">
        <f t="shared" si="52"/>
        <v>6</v>
      </c>
      <c r="AU43" s="2"/>
      <c r="AV43" s="3">
        <f t="shared" si="7"/>
        <v>1.529411765</v>
      </c>
      <c r="AW43" s="2">
        <f t="shared" si="53"/>
        <v>9</v>
      </c>
      <c r="AX43" s="2">
        <f t="shared" si="54"/>
        <v>9</v>
      </c>
      <c r="AY43" s="2">
        <f t="shared" si="55"/>
        <v>4</v>
      </c>
      <c r="AZ43" s="2">
        <f t="shared" si="56"/>
        <v>13</v>
      </c>
      <c r="BA43" s="2">
        <f t="shared" si="57"/>
        <v>9</v>
      </c>
      <c r="BB43" s="2">
        <f t="shared" si="58"/>
        <v>19</v>
      </c>
      <c r="BC43" s="2">
        <f t="shared" si="59"/>
        <v>4</v>
      </c>
      <c r="BD43" s="2">
        <f t="shared" si="60"/>
        <v>5</v>
      </c>
      <c r="BE43" s="34">
        <f t="shared" si="61"/>
        <v>4</v>
      </c>
      <c r="BF43" s="36">
        <f t="shared" ref="BF43:BO43" si="120">+(AK43+Z43+O43+D43)/4</f>
        <v>1.7734375</v>
      </c>
      <c r="BG43" s="2">
        <f t="shared" si="120"/>
        <v>18.5</v>
      </c>
      <c r="BH43" s="2">
        <f t="shared" si="120"/>
        <v>14.75</v>
      </c>
      <c r="BI43" s="2">
        <f t="shared" si="120"/>
        <v>6.75</v>
      </c>
      <c r="BJ43" s="2">
        <f t="shared" si="120"/>
        <v>22.25</v>
      </c>
      <c r="BK43" s="2">
        <f t="shared" si="120"/>
        <v>17.75</v>
      </c>
      <c r="BL43" s="2">
        <f t="shared" si="120"/>
        <v>6</v>
      </c>
      <c r="BM43" s="2">
        <f t="shared" si="120"/>
        <v>7.5</v>
      </c>
      <c r="BN43" s="2">
        <f t="shared" si="120"/>
        <v>11</v>
      </c>
      <c r="BO43" s="62">
        <f t="shared" si="120"/>
        <v>3.75</v>
      </c>
      <c r="BP43" s="37">
        <f t="shared" si="9"/>
        <v>-0.2440257353</v>
      </c>
      <c r="BQ43" s="38">
        <f t="shared" si="10"/>
        <v>0.125</v>
      </c>
      <c r="BR43" s="38">
        <f t="shared" si="11"/>
        <v>0.125</v>
      </c>
      <c r="BS43" s="38">
        <f t="shared" si="12"/>
        <v>0.15625</v>
      </c>
      <c r="BT43" s="38">
        <f t="shared" si="13"/>
        <v>0.125</v>
      </c>
      <c r="BU43" s="38">
        <f t="shared" si="14"/>
        <v>0</v>
      </c>
      <c r="BV43" s="38">
        <f t="shared" si="15"/>
        <v>0.875</v>
      </c>
      <c r="BW43" s="38">
        <f t="shared" ref="BW43:BX43" si="121">+BR43+BS43+BT43</f>
        <v>0.40625</v>
      </c>
      <c r="BX43" s="39">
        <f t="shared" si="121"/>
        <v>0.28125</v>
      </c>
    </row>
    <row r="44" ht="15.75" customHeight="1">
      <c r="A44" s="60"/>
      <c r="B44" s="40">
        <v>33.0</v>
      </c>
      <c r="C44" s="24">
        <v>1.0</v>
      </c>
      <c r="D44" s="27">
        <f t="shared" si="3"/>
        <v>1.787878788</v>
      </c>
      <c r="E44" s="24">
        <f t="shared" si="17"/>
        <v>23</v>
      </c>
      <c r="F44" s="2">
        <f t="shared" si="18"/>
        <v>16</v>
      </c>
      <c r="G44" s="24">
        <f t="shared" si="19"/>
        <v>6</v>
      </c>
      <c r="H44" s="24">
        <f t="shared" si="20"/>
        <v>25</v>
      </c>
      <c r="I44" s="24">
        <f t="shared" si="21"/>
        <v>20</v>
      </c>
      <c r="J44" s="24">
        <f t="shared" si="22"/>
        <v>4</v>
      </c>
      <c r="K44" s="24">
        <f t="shared" si="23"/>
        <v>9</v>
      </c>
      <c r="L44" s="24">
        <f t="shared" si="24"/>
        <v>14</v>
      </c>
      <c r="M44" s="28">
        <f t="shared" si="25"/>
        <v>2</v>
      </c>
      <c r="N44" s="24">
        <v>1.0</v>
      </c>
      <c r="O44" s="27">
        <f t="shared" si="4"/>
        <v>2.090909091</v>
      </c>
      <c r="P44" s="24">
        <f t="shared" si="26"/>
        <v>17</v>
      </c>
      <c r="Q44" s="2">
        <f t="shared" si="27"/>
        <v>16</v>
      </c>
      <c r="R44" s="24">
        <f t="shared" si="28"/>
        <v>9</v>
      </c>
      <c r="S44" s="24">
        <f t="shared" si="29"/>
        <v>22</v>
      </c>
      <c r="T44" s="24">
        <f t="shared" si="30"/>
        <v>20</v>
      </c>
      <c r="U44" s="24">
        <f t="shared" si="31"/>
        <v>5</v>
      </c>
      <c r="V44" s="24">
        <f t="shared" si="32"/>
        <v>6</v>
      </c>
      <c r="W44" s="24">
        <f t="shared" si="33"/>
        <v>11</v>
      </c>
      <c r="X44" s="28">
        <f t="shared" si="34"/>
        <v>5</v>
      </c>
      <c r="Y44" s="24">
        <v>0.0</v>
      </c>
      <c r="Z44" s="27">
        <f t="shared" si="5"/>
        <v>1.515151515</v>
      </c>
      <c r="AA44" s="24">
        <f t="shared" si="35"/>
        <v>16</v>
      </c>
      <c r="AB44" s="2">
        <f t="shared" si="36"/>
        <v>12</v>
      </c>
      <c r="AC44" s="24">
        <f t="shared" si="37"/>
        <v>5</v>
      </c>
      <c r="AD44" s="24">
        <f t="shared" si="38"/>
        <v>18</v>
      </c>
      <c r="AE44" s="24">
        <f t="shared" si="39"/>
        <v>15</v>
      </c>
      <c r="AF44" s="24">
        <f t="shared" si="40"/>
        <v>11</v>
      </c>
      <c r="AG44" s="24">
        <f t="shared" si="41"/>
        <v>6</v>
      </c>
      <c r="AH44" s="24">
        <f t="shared" si="42"/>
        <v>10</v>
      </c>
      <c r="AI44" s="28">
        <f t="shared" si="43"/>
        <v>2</v>
      </c>
      <c r="AJ44" s="24">
        <v>1.0</v>
      </c>
      <c r="AK44" s="27">
        <f t="shared" si="6"/>
        <v>1.575757576</v>
      </c>
      <c r="AL44" s="24">
        <f t="shared" si="44"/>
        <v>21</v>
      </c>
      <c r="AM44" s="2">
        <f t="shared" si="45"/>
        <v>15</v>
      </c>
      <c r="AN44" s="24">
        <f t="shared" si="46"/>
        <v>7</v>
      </c>
      <c r="AO44" s="24">
        <f t="shared" si="47"/>
        <v>27</v>
      </c>
      <c r="AP44" s="24">
        <f t="shared" si="48"/>
        <v>16</v>
      </c>
      <c r="AQ44" s="24">
        <f t="shared" si="49"/>
        <v>5</v>
      </c>
      <c r="AR44" s="24">
        <f t="shared" si="50"/>
        <v>12</v>
      </c>
      <c r="AS44" s="24">
        <f t="shared" si="51"/>
        <v>9</v>
      </c>
      <c r="AT44" s="28">
        <f t="shared" si="52"/>
        <v>6</v>
      </c>
      <c r="AU44" s="24"/>
      <c r="AV44" s="27">
        <f t="shared" si="7"/>
        <v>1.529411765</v>
      </c>
      <c r="AW44" s="24">
        <f t="shared" si="53"/>
        <v>9</v>
      </c>
      <c r="AX44" s="2">
        <f t="shared" si="54"/>
        <v>9</v>
      </c>
      <c r="AY44" s="24">
        <f t="shared" si="55"/>
        <v>4</v>
      </c>
      <c r="AZ44" s="24">
        <f t="shared" si="56"/>
        <v>13</v>
      </c>
      <c r="BA44" s="24">
        <f t="shared" si="57"/>
        <v>9</v>
      </c>
      <c r="BB44" s="24">
        <f t="shared" si="58"/>
        <v>20</v>
      </c>
      <c r="BC44" s="24">
        <f t="shared" si="59"/>
        <v>4</v>
      </c>
      <c r="BD44" s="24">
        <f t="shared" si="60"/>
        <v>5</v>
      </c>
      <c r="BE44" s="28">
        <f t="shared" si="61"/>
        <v>4</v>
      </c>
      <c r="BF44" s="29">
        <f t="shared" ref="BF44:BO44" si="122">+(AK44+Z44+O44+D44)/4</f>
        <v>1.742424242</v>
      </c>
      <c r="BG44" s="24">
        <f t="shared" si="122"/>
        <v>19.25</v>
      </c>
      <c r="BH44" s="24">
        <f t="shared" si="122"/>
        <v>14.75</v>
      </c>
      <c r="BI44" s="24">
        <f t="shared" si="122"/>
        <v>6.75</v>
      </c>
      <c r="BJ44" s="24">
        <f t="shared" si="122"/>
        <v>23</v>
      </c>
      <c r="BK44" s="24">
        <f t="shared" si="122"/>
        <v>17.75</v>
      </c>
      <c r="BL44" s="24">
        <f t="shared" si="122"/>
        <v>6.25</v>
      </c>
      <c r="BM44" s="24">
        <f t="shared" si="122"/>
        <v>8.25</v>
      </c>
      <c r="BN44" s="24">
        <f t="shared" si="122"/>
        <v>11</v>
      </c>
      <c r="BO44" s="61">
        <f t="shared" si="122"/>
        <v>3.75</v>
      </c>
      <c r="BP44" s="30">
        <f t="shared" si="9"/>
        <v>-0.2130124777</v>
      </c>
      <c r="BQ44" s="31">
        <f t="shared" si="10"/>
        <v>0.1212121212</v>
      </c>
      <c r="BR44" s="31">
        <f t="shared" si="11"/>
        <v>0.1212121212</v>
      </c>
      <c r="BS44" s="31">
        <f t="shared" si="12"/>
        <v>0.1515151515</v>
      </c>
      <c r="BT44" s="31">
        <f t="shared" si="13"/>
        <v>0.1212121212</v>
      </c>
      <c r="BU44" s="31">
        <f t="shared" si="14"/>
        <v>0</v>
      </c>
      <c r="BV44" s="31">
        <f t="shared" si="15"/>
        <v>0.8787878788</v>
      </c>
      <c r="BW44" s="31">
        <f t="shared" ref="BW44:BX44" si="123">+BR44+BS44+BT44</f>
        <v>0.3939393939</v>
      </c>
      <c r="BX44" s="32">
        <f t="shared" si="123"/>
        <v>0.2727272727</v>
      </c>
    </row>
    <row r="45" ht="15.75" customHeight="1">
      <c r="B45" s="33">
        <v>34.0</v>
      </c>
      <c r="C45" s="2">
        <v>2.0</v>
      </c>
      <c r="D45" s="3">
        <f t="shared" si="3"/>
        <v>1.794117647</v>
      </c>
      <c r="E45" s="2">
        <f t="shared" si="17"/>
        <v>24</v>
      </c>
      <c r="F45" s="2">
        <f t="shared" si="18"/>
        <v>17</v>
      </c>
      <c r="G45" s="2">
        <f t="shared" si="19"/>
        <v>6</v>
      </c>
      <c r="H45" s="2">
        <f t="shared" si="20"/>
        <v>26</v>
      </c>
      <c r="I45" s="2">
        <f t="shared" si="21"/>
        <v>21</v>
      </c>
      <c r="J45" s="2">
        <f t="shared" si="22"/>
        <v>4</v>
      </c>
      <c r="K45" s="2">
        <f t="shared" si="23"/>
        <v>9</v>
      </c>
      <c r="L45" s="2">
        <f t="shared" si="24"/>
        <v>15</v>
      </c>
      <c r="M45" s="34">
        <f t="shared" si="25"/>
        <v>2</v>
      </c>
      <c r="N45" s="2">
        <v>1.0</v>
      </c>
      <c r="O45" s="3">
        <f t="shared" si="4"/>
        <v>2.058823529</v>
      </c>
      <c r="P45" s="2">
        <f t="shared" si="26"/>
        <v>18</v>
      </c>
      <c r="Q45" s="2">
        <f t="shared" si="27"/>
        <v>16</v>
      </c>
      <c r="R45" s="2">
        <f t="shared" si="28"/>
        <v>9</v>
      </c>
      <c r="S45" s="2">
        <f t="shared" si="29"/>
        <v>23</v>
      </c>
      <c r="T45" s="2">
        <f t="shared" si="30"/>
        <v>20</v>
      </c>
      <c r="U45" s="2">
        <f t="shared" si="31"/>
        <v>5</v>
      </c>
      <c r="V45" s="2">
        <f t="shared" si="32"/>
        <v>7</v>
      </c>
      <c r="W45" s="2">
        <f t="shared" si="33"/>
        <v>11</v>
      </c>
      <c r="X45" s="34">
        <f t="shared" si="34"/>
        <v>5</v>
      </c>
      <c r="Y45" s="2">
        <v>2.0</v>
      </c>
      <c r="Z45" s="3">
        <f t="shared" si="5"/>
        <v>1.529411765</v>
      </c>
      <c r="AA45" s="2">
        <f t="shared" si="35"/>
        <v>17</v>
      </c>
      <c r="AB45" s="2">
        <f t="shared" si="36"/>
        <v>13</v>
      </c>
      <c r="AC45" s="2">
        <f t="shared" si="37"/>
        <v>5</v>
      </c>
      <c r="AD45" s="2">
        <f t="shared" si="38"/>
        <v>19</v>
      </c>
      <c r="AE45" s="2">
        <f t="shared" si="39"/>
        <v>16</v>
      </c>
      <c r="AF45" s="2">
        <f t="shared" si="40"/>
        <v>11</v>
      </c>
      <c r="AG45" s="2">
        <f t="shared" si="41"/>
        <v>6</v>
      </c>
      <c r="AH45" s="2">
        <f t="shared" si="42"/>
        <v>11</v>
      </c>
      <c r="AI45" s="34">
        <f t="shared" si="43"/>
        <v>2</v>
      </c>
      <c r="AJ45" s="2">
        <v>2.0</v>
      </c>
      <c r="AK45" s="3">
        <f t="shared" si="6"/>
        <v>1.588235294</v>
      </c>
      <c r="AL45" s="2">
        <f t="shared" si="44"/>
        <v>22</v>
      </c>
      <c r="AM45" s="2">
        <f t="shared" si="45"/>
        <v>16</v>
      </c>
      <c r="AN45" s="2">
        <f t="shared" si="46"/>
        <v>7</v>
      </c>
      <c r="AO45" s="2">
        <f t="shared" si="47"/>
        <v>28</v>
      </c>
      <c r="AP45" s="2">
        <f t="shared" si="48"/>
        <v>17</v>
      </c>
      <c r="AQ45" s="2">
        <f t="shared" si="49"/>
        <v>5</v>
      </c>
      <c r="AR45" s="2">
        <f t="shared" si="50"/>
        <v>12</v>
      </c>
      <c r="AS45" s="2">
        <f t="shared" si="51"/>
        <v>10</v>
      </c>
      <c r="AT45" s="34">
        <f t="shared" si="52"/>
        <v>6</v>
      </c>
      <c r="AU45" s="2"/>
      <c r="AV45" s="3">
        <f t="shared" si="7"/>
        <v>1.529411765</v>
      </c>
      <c r="AW45" s="2">
        <f t="shared" si="53"/>
        <v>9</v>
      </c>
      <c r="AX45" s="2">
        <f t="shared" si="54"/>
        <v>9</v>
      </c>
      <c r="AY45" s="2">
        <f t="shared" si="55"/>
        <v>4</v>
      </c>
      <c r="AZ45" s="2">
        <f t="shared" si="56"/>
        <v>13</v>
      </c>
      <c r="BA45" s="2">
        <f t="shared" si="57"/>
        <v>9</v>
      </c>
      <c r="BB45" s="2">
        <f t="shared" si="58"/>
        <v>21</v>
      </c>
      <c r="BC45" s="2">
        <f t="shared" si="59"/>
        <v>4</v>
      </c>
      <c r="BD45" s="2">
        <f t="shared" si="60"/>
        <v>5</v>
      </c>
      <c r="BE45" s="34">
        <f t="shared" si="61"/>
        <v>4</v>
      </c>
      <c r="BF45" s="36">
        <f t="shared" ref="BF45:BO45" si="124">+(AK45+Z45+O45+D45)/4</f>
        <v>1.742647059</v>
      </c>
      <c r="BG45" s="2">
        <f t="shared" si="124"/>
        <v>20.25</v>
      </c>
      <c r="BH45" s="2">
        <f t="shared" si="124"/>
        <v>15.5</v>
      </c>
      <c r="BI45" s="2">
        <f t="shared" si="124"/>
        <v>6.75</v>
      </c>
      <c r="BJ45" s="2">
        <f t="shared" si="124"/>
        <v>24</v>
      </c>
      <c r="BK45" s="2">
        <f t="shared" si="124"/>
        <v>18.5</v>
      </c>
      <c r="BL45" s="2">
        <f t="shared" si="124"/>
        <v>6.25</v>
      </c>
      <c r="BM45" s="2">
        <f t="shared" si="124"/>
        <v>8.5</v>
      </c>
      <c r="BN45" s="2">
        <f t="shared" si="124"/>
        <v>11.75</v>
      </c>
      <c r="BO45" s="62">
        <f t="shared" si="124"/>
        <v>3.75</v>
      </c>
      <c r="BP45" s="37">
        <f t="shared" si="9"/>
        <v>-0.2132352941</v>
      </c>
      <c r="BQ45" s="38">
        <f t="shared" si="10"/>
        <v>0.1176470588</v>
      </c>
      <c r="BR45" s="38">
        <f t="shared" si="11"/>
        <v>0.1176470588</v>
      </c>
      <c r="BS45" s="38">
        <f t="shared" si="12"/>
        <v>0.1470588235</v>
      </c>
      <c r="BT45" s="38">
        <f t="shared" si="13"/>
        <v>0.1176470588</v>
      </c>
      <c r="BU45" s="38">
        <f t="shared" si="14"/>
        <v>0</v>
      </c>
      <c r="BV45" s="38">
        <f t="shared" si="15"/>
        <v>0.8823529412</v>
      </c>
      <c r="BW45" s="38">
        <f t="shared" ref="BW45:BX45" si="125">+BR45+BS45+BT45</f>
        <v>0.3823529412</v>
      </c>
      <c r="BX45" s="39">
        <f t="shared" si="125"/>
        <v>0.2647058824</v>
      </c>
    </row>
    <row r="46" ht="15.75" customHeight="1">
      <c r="A46" s="60"/>
      <c r="B46" s="40">
        <v>35.0</v>
      </c>
      <c r="C46" s="24">
        <v>6.0</v>
      </c>
      <c r="D46" s="27">
        <f t="shared" si="3"/>
        <v>1.914285714</v>
      </c>
      <c r="E46" s="24">
        <f t="shared" si="17"/>
        <v>24</v>
      </c>
      <c r="F46" s="2">
        <f t="shared" si="18"/>
        <v>17</v>
      </c>
      <c r="G46" s="24">
        <f t="shared" si="19"/>
        <v>6</v>
      </c>
      <c r="H46" s="24">
        <f t="shared" si="20"/>
        <v>26</v>
      </c>
      <c r="I46" s="24">
        <f t="shared" si="21"/>
        <v>21</v>
      </c>
      <c r="J46" s="24">
        <f t="shared" si="22"/>
        <v>4</v>
      </c>
      <c r="K46" s="24">
        <f t="shared" si="23"/>
        <v>9</v>
      </c>
      <c r="L46" s="24">
        <f t="shared" si="24"/>
        <v>15</v>
      </c>
      <c r="M46" s="28">
        <f t="shared" si="25"/>
        <v>2</v>
      </c>
      <c r="N46" s="24">
        <v>0.0</v>
      </c>
      <c r="O46" s="27">
        <f t="shared" si="4"/>
        <v>2</v>
      </c>
      <c r="P46" s="24">
        <f t="shared" si="26"/>
        <v>18</v>
      </c>
      <c r="Q46" s="2">
        <f t="shared" si="27"/>
        <v>16</v>
      </c>
      <c r="R46" s="24">
        <f t="shared" si="28"/>
        <v>9</v>
      </c>
      <c r="S46" s="24">
        <f t="shared" si="29"/>
        <v>23</v>
      </c>
      <c r="T46" s="24">
        <f t="shared" si="30"/>
        <v>20</v>
      </c>
      <c r="U46" s="24">
        <f t="shared" si="31"/>
        <v>6</v>
      </c>
      <c r="V46" s="24">
        <f t="shared" si="32"/>
        <v>7</v>
      </c>
      <c r="W46" s="24">
        <f t="shared" si="33"/>
        <v>11</v>
      </c>
      <c r="X46" s="28">
        <f t="shared" si="34"/>
        <v>5</v>
      </c>
      <c r="Y46" s="24">
        <v>1.0</v>
      </c>
      <c r="Z46" s="27">
        <f t="shared" si="5"/>
        <v>1.514285714</v>
      </c>
      <c r="AA46" s="24">
        <f t="shared" si="35"/>
        <v>18</v>
      </c>
      <c r="AB46" s="2">
        <f t="shared" si="36"/>
        <v>13</v>
      </c>
      <c r="AC46" s="24">
        <f t="shared" si="37"/>
        <v>5</v>
      </c>
      <c r="AD46" s="24">
        <f t="shared" si="38"/>
        <v>20</v>
      </c>
      <c r="AE46" s="24">
        <f t="shared" si="39"/>
        <v>16</v>
      </c>
      <c r="AF46" s="24">
        <f t="shared" si="40"/>
        <v>11</v>
      </c>
      <c r="AG46" s="24">
        <f t="shared" si="41"/>
        <v>7</v>
      </c>
      <c r="AH46" s="24">
        <f t="shared" si="42"/>
        <v>11</v>
      </c>
      <c r="AI46" s="28">
        <f t="shared" si="43"/>
        <v>2</v>
      </c>
      <c r="AJ46" s="24">
        <v>1.0</v>
      </c>
      <c r="AK46" s="27">
        <f t="shared" si="6"/>
        <v>1.571428571</v>
      </c>
      <c r="AL46" s="24">
        <f t="shared" si="44"/>
        <v>23</v>
      </c>
      <c r="AM46" s="2">
        <f t="shared" si="45"/>
        <v>16</v>
      </c>
      <c r="AN46" s="24">
        <f t="shared" si="46"/>
        <v>7</v>
      </c>
      <c r="AO46" s="24">
        <f t="shared" si="47"/>
        <v>29</v>
      </c>
      <c r="AP46" s="24">
        <f t="shared" si="48"/>
        <v>17</v>
      </c>
      <c r="AQ46" s="24">
        <f t="shared" si="49"/>
        <v>5</v>
      </c>
      <c r="AR46" s="24">
        <f t="shared" si="50"/>
        <v>13</v>
      </c>
      <c r="AS46" s="24">
        <f t="shared" si="51"/>
        <v>10</v>
      </c>
      <c r="AT46" s="28">
        <f t="shared" si="52"/>
        <v>6</v>
      </c>
      <c r="AU46" s="24"/>
      <c r="AV46" s="27">
        <f t="shared" si="7"/>
        <v>1.529411765</v>
      </c>
      <c r="AW46" s="24">
        <f t="shared" si="53"/>
        <v>9</v>
      </c>
      <c r="AX46" s="2">
        <f t="shared" si="54"/>
        <v>9</v>
      </c>
      <c r="AY46" s="24">
        <f t="shared" si="55"/>
        <v>4</v>
      </c>
      <c r="AZ46" s="24">
        <f t="shared" si="56"/>
        <v>13</v>
      </c>
      <c r="BA46" s="24">
        <f t="shared" si="57"/>
        <v>9</v>
      </c>
      <c r="BB46" s="24">
        <f t="shared" si="58"/>
        <v>22</v>
      </c>
      <c r="BC46" s="24">
        <f t="shared" si="59"/>
        <v>4</v>
      </c>
      <c r="BD46" s="24">
        <f t="shared" si="60"/>
        <v>5</v>
      </c>
      <c r="BE46" s="28">
        <f t="shared" si="61"/>
        <v>4</v>
      </c>
      <c r="BF46" s="29">
        <f t="shared" ref="BF46:BO46" si="126">+(AK46+Z46+O46+D46)/4</f>
        <v>1.75</v>
      </c>
      <c r="BG46" s="24">
        <f t="shared" si="126"/>
        <v>20.75</v>
      </c>
      <c r="BH46" s="24">
        <f t="shared" si="126"/>
        <v>15.5</v>
      </c>
      <c r="BI46" s="24">
        <f t="shared" si="126"/>
        <v>6.75</v>
      </c>
      <c r="BJ46" s="24">
        <f t="shared" si="126"/>
        <v>24.5</v>
      </c>
      <c r="BK46" s="24">
        <f t="shared" si="126"/>
        <v>18.5</v>
      </c>
      <c r="BL46" s="24">
        <f t="shared" si="126"/>
        <v>6.5</v>
      </c>
      <c r="BM46" s="24">
        <f t="shared" si="126"/>
        <v>9</v>
      </c>
      <c r="BN46" s="24">
        <f t="shared" si="126"/>
        <v>11.75</v>
      </c>
      <c r="BO46" s="61">
        <f t="shared" si="126"/>
        <v>3.75</v>
      </c>
      <c r="BP46" s="30">
        <f t="shared" si="9"/>
        <v>-0.2205882353</v>
      </c>
      <c r="BQ46" s="31">
        <f t="shared" si="10"/>
        <v>0.1142857143</v>
      </c>
      <c r="BR46" s="31">
        <f t="shared" si="11"/>
        <v>0.1142857143</v>
      </c>
      <c r="BS46" s="31">
        <f t="shared" si="12"/>
        <v>0.1428571429</v>
      </c>
      <c r="BT46" s="31">
        <f t="shared" si="13"/>
        <v>0.1142857143</v>
      </c>
      <c r="BU46" s="31">
        <f t="shared" si="14"/>
        <v>0</v>
      </c>
      <c r="BV46" s="31">
        <f t="shared" si="15"/>
        <v>0.8857142857</v>
      </c>
      <c r="BW46" s="31">
        <f t="shared" ref="BW46:BX46" si="127">+BR46+BS46+BT46</f>
        <v>0.3714285714</v>
      </c>
      <c r="BX46" s="32">
        <f t="shared" si="127"/>
        <v>0.2571428571</v>
      </c>
    </row>
    <row r="47" ht="15.75" customHeight="1">
      <c r="B47" s="33">
        <v>36.0</v>
      </c>
      <c r="C47" s="2">
        <v>1.0</v>
      </c>
      <c r="D47" s="3">
        <f t="shared" si="3"/>
        <v>1.888888889</v>
      </c>
      <c r="E47" s="2">
        <f t="shared" si="17"/>
        <v>25</v>
      </c>
      <c r="F47" s="2">
        <f t="shared" si="18"/>
        <v>17</v>
      </c>
      <c r="G47" s="2">
        <f t="shared" si="19"/>
        <v>6</v>
      </c>
      <c r="H47" s="2">
        <f t="shared" si="20"/>
        <v>27</v>
      </c>
      <c r="I47" s="2">
        <f t="shared" si="21"/>
        <v>21</v>
      </c>
      <c r="J47" s="2">
        <f t="shared" si="22"/>
        <v>4</v>
      </c>
      <c r="K47" s="2">
        <f t="shared" si="23"/>
        <v>10</v>
      </c>
      <c r="L47" s="2">
        <f t="shared" si="24"/>
        <v>15</v>
      </c>
      <c r="M47" s="34">
        <f t="shared" si="25"/>
        <v>2</v>
      </c>
      <c r="N47" s="2">
        <v>3.0</v>
      </c>
      <c r="O47" s="3">
        <f t="shared" si="4"/>
        <v>2.027777778</v>
      </c>
      <c r="P47" s="2">
        <f t="shared" si="26"/>
        <v>18</v>
      </c>
      <c r="Q47" s="2">
        <f t="shared" si="27"/>
        <v>17</v>
      </c>
      <c r="R47" s="2">
        <f t="shared" si="28"/>
        <v>10</v>
      </c>
      <c r="S47" s="2">
        <f t="shared" si="29"/>
        <v>24</v>
      </c>
      <c r="T47" s="2">
        <f t="shared" si="30"/>
        <v>21</v>
      </c>
      <c r="U47" s="2">
        <f t="shared" si="31"/>
        <v>6</v>
      </c>
      <c r="V47" s="2">
        <f t="shared" si="32"/>
        <v>7</v>
      </c>
      <c r="W47" s="2">
        <f t="shared" si="33"/>
        <v>11</v>
      </c>
      <c r="X47" s="34">
        <f t="shared" si="34"/>
        <v>6</v>
      </c>
      <c r="Y47" s="2">
        <v>0.0</v>
      </c>
      <c r="Z47" s="3">
        <f t="shared" si="5"/>
        <v>1.472222222</v>
      </c>
      <c r="AA47" s="2">
        <f t="shared" si="35"/>
        <v>18</v>
      </c>
      <c r="AB47" s="2">
        <f t="shared" si="36"/>
        <v>13</v>
      </c>
      <c r="AC47" s="2">
        <f t="shared" si="37"/>
        <v>5</v>
      </c>
      <c r="AD47" s="2">
        <f t="shared" si="38"/>
        <v>20</v>
      </c>
      <c r="AE47" s="2">
        <f t="shared" si="39"/>
        <v>16</v>
      </c>
      <c r="AF47" s="2">
        <f t="shared" si="40"/>
        <v>12</v>
      </c>
      <c r="AG47" s="2">
        <f t="shared" si="41"/>
        <v>7</v>
      </c>
      <c r="AH47" s="2">
        <f t="shared" si="42"/>
        <v>11</v>
      </c>
      <c r="AI47" s="34">
        <f t="shared" si="43"/>
        <v>2</v>
      </c>
      <c r="AJ47" s="2">
        <v>2.0</v>
      </c>
      <c r="AK47" s="3">
        <f t="shared" si="6"/>
        <v>1.583333333</v>
      </c>
      <c r="AL47" s="2">
        <f t="shared" si="44"/>
        <v>24</v>
      </c>
      <c r="AM47" s="2">
        <f t="shared" si="45"/>
        <v>17</v>
      </c>
      <c r="AN47" s="2">
        <f t="shared" si="46"/>
        <v>7</v>
      </c>
      <c r="AO47" s="2">
        <f t="shared" si="47"/>
        <v>30</v>
      </c>
      <c r="AP47" s="2">
        <f t="shared" si="48"/>
        <v>18</v>
      </c>
      <c r="AQ47" s="2">
        <f t="shared" si="49"/>
        <v>5</v>
      </c>
      <c r="AR47" s="2">
        <f t="shared" si="50"/>
        <v>13</v>
      </c>
      <c r="AS47" s="2">
        <f t="shared" si="51"/>
        <v>11</v>
      </c>
      <c r="AT47" s="34">
        <f t="shared" si="52"/>
        <v>6</v>
      </c>
      <c r="AU47" s="2"/>
      <c r="AV47" s="3">
        <f t="shared" si="7"/>
        <v>1.529411765</v>
      </c>
      <c r="AW47" s="2">
        <f t="shared" si="53"/>
        <v>9</v>
      </c>
      <c r="AX47" s="2">
        <f t="shared" si="54"/>
        <v>9</v>
      </c>
      <c r="AY47" s="2">
        <f t="shared" si="55"/>
        <v>4</v>
      </c>
      <c r="AZ47" s="2">
        <f t="shared" si="56"/>
        <v>13</v>
      </c>
      <c r="BA47" s="2">
        <f t="shared" si="57"/>
        <v>9</v>
      </c>
      <c r="BB47" s="2">
        <f t="shared" si="58"/>
        <v>23</v>
      </c>
      <c r="BC47" s="2">
        <f t="shared" si="59"/>
        <v>4</v>
      </c>
      <c r="BD47" s="2">
        <f t="shared" si="60"/>
        <v>5</v>
      </c>
      <c r="BE47" s="34">
        <f t="shared" si="61"/>
        <v>4</v>
      </c>
      <c r="BF47" s="36">
        <f t="shared" ref="BF47:BO47" si="128">+(AK47+Z47+O47+D47)/4</f>
        <v>1.743055556</v>
      </c>
      <c r="BG47" s="2">
        <f t="shared" si="128"/>
        <v>21.25</v>
      </c>
      <c r="BH47" s="2">
        <f t="shared" si="128"/>
        <v>16</v>
      </c>
      <c r="BI47" s="2">
        <f t="shared" si="128"/>
        <v>7</v>
      </c>
      <c r="BJ47" s="2">
        <f t="shared" si="128"/>
        <v>25.25</v>
      </c>
      <c r="BK47" s="2">
        <f t="shared" si="128"/>
        <v>19</v>
      </c>
      <c r="BL47" s="2">
        <f t="shared" si="128"/>
        <v>6.75</v>
      </c>
      <c r="BM47" s="2">
        <f t="shared" si="128"/>
        <v>9.25</v>
      </c>
      <c r="BN47" s="2">
        <f t="shared" si="128"/>
        <v>12</v>
      </c>
      <c r="BO47" s="62">
        <f t="shared" si="128"/>
        <v>4</v>
      </c>
      <c r="BP47" s="37">
        <f t="shared" si="9"/>
        <v>-0.2136437908</v>
      </c>
      <c r="BQ47" s="38">
        <f t="shared" si="10"/>
        <v>0.1111111111</v>
      </c>
      <c r="BR47" s="38">
        <f t="shared" si="11"/>
        <v>0.1111111111</v>
      </c>
      <c r="BS47" s="38">
        <f t="shared" si="12"/>
        <v>0.1388888889</v>
      </c>
      <c r="BT47" s="38">
        <f t="shared" si="13"/>
        <v>0.1111111111</v>
      </c>
      <c r="BU47" s="38">
        <f t="shared" si="14"/>
        <v>0</v>
      </c>
      <c r="BV47" s="38">
        <f t="shared" si="15"/>
        <v>0.8888888889</v>
      </c>
      <c r="BW47" s="38">
        <f t="shared" ref="BW47:BX47" si="129">+BR47+BS47+BT47</f>
        <v>0.3611111111</v>
      </c>
      <c r="BX47" s="39">
        <f t="shared" si="129"/>
        <v>0.25</v>
      </c>
    </row>
    <row r="48" ht="15.75" customHeight="1">
      <c r="A48" s="60"/>
      <c r="B48" s="40">
        <v>37.0</v>
      </c>
      <c r="C48" s="24">
        <v>3.0</v>
      </c>
      <c r="D48" s="27">
        <f t="shared" si="3"/>
        <v>1.918918919</v>
      </c>
      <c r="E48" s="24">
        <f t="shared" si="17"/>
        <v>25</v>
      </c>
      <c r="F48" s="2">
        <f t="shared" si="18"/>
        <v>18</v>
      </c>
      <c r="G48" s="24">
        <f t="shared" si="19"/>
        <v>7</v>
      </c>
      <c r="H48" s="24">
        <f t="shared" si="20"/>
        <v>28</v>
      </c>
      <c r="I48" s="24">
        <f t="shared" si="21"/>
        <v>22</v>
      </c>
      <c r="J48" s="24">
        <f t="shared" si="22"/>
        <v>4</v>
      </c>
      <c r="K48" s="24">
        <f t="shared" si="23"/>
        <v>10</v>
      </c>
      <c r="L48" s="24">
        <f t="shared" si="24"/>
        <v>15</v>
      </c>
      <c r="M48" s="28">
        <f t="shared" si="25"/>
        <v>3</v>
      </c>
      <c r="N48" s="24">
        <v>2.0</v>
      </c>
      <c r="O48" s="27">
        <f t="shared" si="4"/>
        <v>2.027027027</v>
      </c>
      <c r="P48" s="24">
        <f t="shared" si="26"/>
        <v>19</v>
      </c>
      <c r="Q48" s="2">
        <f t="shared" si="27"/>
        <v>18</v>
      </c>
      <c r="R48" s="24">
        <f t="shared" si="28"/>
        <v>10</v>
      </c>
      <c r="S48" s="24">
        <f t="shared" si="29"/>
        <v>25</v>
      </c>
      <c r="T48" s="24">
        <f t="shared" si="30"/>
        <v>22</v>
      </c>
      <c r="U48" s="24">
        <f t="shared" si="31"/>
        <v>6</v>
      </c>
      <c r="V48" s="24">
        <f t="shared" si="32"/>
        <v>7</v>
      </c>
      <c r="W48" s="24">
        <f t="shared" si="33"/>
        <v>12</v>
      </c>
      <c r="X48" s="28">
        <f t="shared" si="34"/>
        <v>6</v>
      </c>
      <c r="Y48" s="24">
        <v>2.0</v>
      </c>
      <c r="Z48" s="27">
        <f t="shared" si="5"/>
        <v>1.486486486</v>
      </c>
      <c r="AA48" s="24">
        <f t="shared" si="35"/>
        <v>19</v>
      </c>
      <c r="AB48" s="2">
        <f t="shared" si="36"/>
        <v>14</v>
      </c>
      <c r="AC48" s="24">
        <f t="shared" si="37"/>
        <v>5</v>
      </c>
      <c r="AD48" s="24">
        <f t="shared" si="38"/>
        <v>21</v>
      </c>
      <c r="AE48" s="24">
        <f t="shared" si="39"/>
        <v>17</v>
      </c>
      <c r="AF48" s="24">
        <f t="shared" si="40"/>
        <v>12</v>
      </c>
      <c r="AG48" s="24">
        <f t="shared" si="41"/>
        <v>7</v>
      </c>
      <c r="AH48" s="24">
        <f t="shared" si="42"/>
        <v>12</v>
      </c>
      <c r="AI48" s="28">
        <f t="shared" si="43"/>
        <v>2</v>
      </c>
      <c r="AJ48" s="24">
        <v>0.0</v>
      </c>
      <c r="AK48" s="27">
        <f t="shared" si="6"/>
        <v>1.540540541</v>
      </c>
      <c r="AL48" s="24">
        <f t="shared" si="44"/>
        <v>24</v>
      </c>
      <c r="AM48" s="2">
        <f t="shared" si="45"/>
        <v>17</v>
      </c>
      <c r="AN48" s="24">
        <f t="shared" si="46"/>
        <v>7</v>
      </c>
      <c r="AO48" s="24">
        <f t="shared" si="47"/>
        <v>30</v>
      </c>
      <c r="AP48" s="24">
        <f t="shared" si="48"/>
        <v>18</v>
      </c>
      <c r="AQ48" s="24">
        <f t="shared" si="49"/>
        <v>6</v>
      </c>
      <c r="AR48" s="24">
        <f t="shared" si="50"/>
        <v>13</v>
      </c>
      <c r="AS48" s="24">
        <f t="shared" si="51"/>
        <v>11</v>
      </c>
      <c r="AT48" s="28">
        <f t="shared" si="52"/>
        <v>6</v>
      </c>
      <c r="AU48" s="24"/>
      <c r="AV48" s="27">
        <f t="shared" si="7"/>
        <v>1.529411765</v>
      </c>
      <c r="AW48" s="24">
        <f t="shared" si="53"/>
        <v>9</v>
      </c>
      <c r="AX48" s="2">
        <f t="shared" si="54"/>
        <v>9</v>
      </c>
      <c r="AY48" s="24">
        <f t="shared" si="55"/>
        <v>4</v>
      </c>
      <c r="AZ48" s="24">
        <f t="shared" si="56"/>
        <v>13</v>
      </c>
      <c r="BA48" s="24">
        <f t="shared" si="57"/>
        <v>9</v>
      </c>
      <c r="BB48" s="24">
        <f t="shared" si="58"/>
        <v>24</v>
      </c>
      <c r="BC48" s="24">
        <f t="shared" si="59"/>
        <v>4</v>
      </c>
      <c r="BD48" s="24">
        <f t="shared" si="60"/>
        <v>5</v>
      </c>
      <c r="BE48" s="28">
        <f t="shared" si="61"/>
        <v>4</v>
      </c>
      <c r="BF48" s="29">
        <f t="shared" ref="BF48:BO48" si="130">+(AK48+Z48+O48+D48)/4</f>
        <v>1.743243243</v>
      </c>
      <c r="BG48" s="24">
        <f t="shared" si="130"/>
        <v>21.75</v>
      </c>
      <c r="BH48" s="24">
        <f t="shared" si="130"/>
        <v>16.75</v>
      </c>
      <c r="BI48" s="24">
        <f t="shared" si="130"/>
        <v>7.25</v>
      </c>
      <c r="BJ48" s="24">
        <f t="shared" si="130"/>
        <v>26</v>
      </c>
      <c r="BK48" s="24">
        <f t="shared" si="130"/>
        <v>19.75</v>
      </c>
      <c r="BL48" s="24">
        <f t="shared" si="130"/>
        <v>7</v>
      </c>
      <c r="BM48" s="24">
        <f t="shared" si="130"/>
        <v>9.25</v>
      </c>
      <c r="BN48" s="24">
        <f t="shared" si="130"/>
        <v>12.5</v>
      </c>
      <c r="BO48" s="61">
        <f t="shared" si="130"/>
        <v>4.25</v>
      </c>
      <c r="BP48" s="30">
        <f t="shared" si="9"/>
        <v>-0.2138314785</v>
      </c>
      <c r="BQ48" s="31">
        <f t="shared" si="10"/>
        <v>0.1081081081</v>
      </c>
      <c r="BR48" s="31">
        <f t="shared" si="11"/>
        <v>0.1081081081</v>
      </c>
      <c r="BS48" s="31">
        <f t="shared" si="12"/>
        <v>0.1351351351</v>
      </c>
      <c r="BT48" s="31">
        <f t="shared" si="13"/>
        <v>0.1081081081</v>
      </c>
      <c r="BU48" s="31">
        <f t="shared" si="14"/>
        <v>0</v>
      </c>
      <c r="BV48" s="31">
        <f t="shared" si="15"/>
        <v>0.8918918919</v>
      </c>
      <c r="BW48" s="31">
        <f t="shared" ref="BW48:BX48" si="131">+BR48+BS48+BT48</f>
        <v>0.3513513514</v>
      </c>
      <c r="BX48" s="32">
        <f t="shared" si="131"/>
        <v>0.2432432432</v>
      </c>
    </row>
    <row r="49" ht="15.75" customHeight="1">
      <c r="B49" s="42">
        <v>38.0</v>
      </c>
      <c r="C49" s="43">
        <v>3.0</v>
      </c>
      <c r="D49" s="3">
        <f t="shared" si="3"/>
        <v>1.947368421</v>
      </c>
      <c r="E49" s="43">
        <f t="shared" si="17"/>
        <v>25</v>
      </c>
      <c r="F49" s="2">
        <f t="shared" si="18"/>
        <v>19</v>
      </c>
      <c r="G49" s="43">
        <f t="shared" si="19"/>
        <v>8</v>
      </c>
      <c r="H49" s="43">
        <f t="shared" si="20"/>
        <v>29</v>
      </c>
      <c r="I49" s="43">
        <f t="shared" si="21"/>
        <v>23</v>
      </c>
      <c r="J49" s="43">
        <f t="shared" si="22"/>
        <v>4</v>
      </c>
      <c r="K49" s="43">
        <f t="shared" si="23"/>
        <v>10</v>
      </c>
      <c r="L49" s="43">
        <f t="shared" si="24"/>
        <v>15</v>
      </c>
      <c r="M49" s="44">
        <f t="shared" si="25"/>
        <v>4</v>
      </c>
      <c r="N49" s="43">
        <v>2.0</v>
      </c>
      <c r="O49" s="3">
        <f t="shared" si="4"/>
        <v>2.026315789</v>
      </c>
      <c r="P49" s="43">
        <f t="shared" si="26"/>
        <v>20</v>
      </c>
      <c r="Q49" s="2">
        <f t="shared" si="27"/>
        <v>19</v>
      </c>
      <c r="R49" s="43">
        <f t="shared" si="28"/>
        <v>10</v>
      </c>
      <c r="S49" s="43">
        <f t="shared" si="29"/>
        <v>26</v>
      </c>
      <c r="T49" s="43">
        <f t="shared" si="30"/>
        <v>23</v>
      </c>
      <c r="U49" s="43">
        <f t="shared" si="31"/>
        <v>6</v>
      </c>
      <c r="V49" s="43">
        <f t="shared" si="32"/>
        <v>7</v>
      </c>
      <c r="W49" s="43">
        <f t="shared" si="33"/>
        <v>13</v>
      </c>
      <c r="X49" s="44">
        <f t="shared" si="34"/>
        <v>6</v>
      </c>
      <c r="Y49" s="43">
        <v>0.0</v>
      </c>
      <c r="Z49" s="3">
        <f t="shared" si="5"/>
        <v>1.447368421</v>
      </c>
      <c r="AA49" s="43">
        <f t="shared" si="35"/>
        <v>19</v>
      </c>
      <c r="AB49" s="2">
        <f t="shared" si="36"/>
        <v>14</v>
      </c>
      <c r="AC49" s="43">
        <f t="shared" si="37"/>
        <v>5</v>
      </c>
      <c r="AD49" s="43">
        <f t="shared" si="38"/>
        <v>21</v>
      </c>
      <c r="AE49" s="43">
        <f t="shared" si="39"/>
        <v>17</v>
      </c>
      <c r="AF49" s="43">
        <f t="shared" si="40"/>
        <v>13</v>
      </c>
      <c r="AG49" s="43">
        <f t="shared" si="41"/>
        <v>7</v>
      </c>
      <c r="AH49" s="43">
        <f t="shared" si="42"/>
        <v>12</v>
      </c>
      <c r="AI49" s="44">
        <f t="shared" si="43"/>
        <v>2</v>
      </c>
      <c r="AJ49" s="43">
        <v>2.0</v>
      </c>
      <c r="AK49" s="3">
        <f t="shared" si="6"/>
        <v>1.552631579</v>
      </c>
      <c r="AL49" s="43">
        <f t="shared" si="44"/>
        <v>25</v>
      </c>
      <c r="AM49" s="2">
        <f t="shared" si="45"/>
        <v>18</v>
      </c>
      <c r="AN49" s="43">
        <f t="shared" si="46"/>
        <v>7</v>
      </c>
      <c r="AO49" s="43">
        <f t="shared" si="47"/>
        <v>31</v>
      </c>
      <c r="AP49" s="43">
        <f t="shared" si="48"/>
        <v>19</v>
      </c>
      <c r="AQ49" s="43">
        <f t="shared" si="49"/>
        <v>6</v>
      </c>
      <c r="AR49" s="43">
        <f t="shared" si="50"/>
        <v>13</v>
      </c>
      <c r="AS49" s="43">
        <f t="shared" si="51"/>
        <v>12</v>
      </c>
      <c r="AT49" s="44">
        <f t="shared" si="52"/>
        <v>6</v>
      </c>
      <c r="AU49" s="43"/>
      <c r="AV49" s="3">
        <f t="shared" si="7"/>
        <v>1.529411765</v>
      </c>
      <c r="AW49" s="43">
        <f t="shared" si="53"/>
        <v>9</v>
      </c>
      <c r="AX49" s="2">
        <f t="shared" si="54"/>
        <v>9</v>
      </c>
      <c r="AY49" s="43">
        <f t="shared" si="55"/>
        <v>4</v>
      </c>
      <c r="AZ49" s="43">
        <f t="shared" si="56"/>
        <v>13</v>
      </c>
      <c r="BA49" s="43">
        <f t="shared" si="57"/>
        <v>9</v>
      </c>
      <c r="BB49" s="43">
        <f t="shared" si="58"/>
        <v>25</v>
      </c>
      <c r="BC49" s="43">
        <f t="shared" si="59"/>
        <v>4</v>
      </c>
      <c r="BD49" s="43">
        <f t="shared" si="60"/>
        <v>5</v>
      </c>
      <c r="BE49" s="44">
        <f t="shared" si="61"/>
        <v>4</v>
      </c>
      <c r="BF49" s="46">
        <f t="shared" ref="BF49:BO49" si="132">+(AK49+Z49+O49+D49)/4</f>
        <v>1.743421053</v>
      </c>
      <c r="BG49" s="43">
        <f t="shared" si="132"/>
        <v>22.25</v>
      </c>
      <c r="BH49" s="43">
        <f t="shared" si="132"/>
        <v>17.5</v>
      </c>
      <c r="BI49" s="43">
        <f t="shared" si="132"/>
        <v>7.5</v>
      </c>
      <c r="BJ49" s="43">
        <f t="shared" si="132"/>
        <v>26.75</v>
      </c>
      <c r="BK49" s="43">
        <f t="shared" si="132"/>
        <v>20.5</v>
      </c>
      <c r="BL49" s="43">
        <f t="shared" si="132"/>
        <v>7.25</v>
      </c>
      <c r="BM49" s="43">
        <f t="shared" si="132"/>
        <v>9.25</v>
      </c>
      <c r="BN49" s="43">
        <f t="shared" si="132"/>
        <v>13</v>
      </c>
      <c r="BO49" s="63">
        <f t="shared" si="132"/>
        <v>4.5</v>
      </c>
      <c r="BP49" s="48">
        <f t="shared" si="9"/>
        <v>-0.2140092879</v>
      </c>
      <c r="BQ49" s="49">
        <f t="shared" si="10"/>
        <v>0.1052631579</v>
      </c>
      <c r="BR49" s="49">
        <f t="shared" si="11"/>
        <v>0.1052631579</v>
      </c>
      <c r="BS49" s="49">
        <f t="shared" si="12"/>
        <v>0.1315789474</v>
      </c>
      <c r="BT49" s="49">
        <f t="shared" si="13"/>
        <v>0.1052631579</v>
      </c>
      <c r="BU49" s="49">
        <f t="shared" si="14"/>
        <v>0</v>
      </c>
      <c r="BV49" s="49">
        <f t="shared" si="15"/>
        <v>0.8947368421</v>
      </c>
      <c r="BW49" s="49">
        <f t="shared" ref="BW49:BX49" si="133">+BR49+BS49+BT49</f>
        <v>0.3421052632</v>
      </c>
      <c r="BX49" s="50">
        <f t="shared" si="133"/>
        <v>0.2368421053</v>
      </c>
    </row>
    <row r="50" ht="15.7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17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7">
    <mergeCell ref="B10:M10"/>
    <mergeCell ref="N10:X10"/>
    <mergeCell ref="Y10:AI10"/>
    <mergeCell ref="AJ10:AT10"/>
    <mergeCell ref="AU10:BE10"/>
    <mergeCell ref="BF10:BO10"/>
    <mergeCell ref="BP10:BX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4" width="9.14"/>
    <col customWidth="1" min="5" max="6" width="9.43"/>
    <col customWidth="1" min="7" max="7" width="12.0"/>
    <col customWidth="1" min="8" max="8" width="9.43"/>
    <col customWidth="1" min="9" max="15" width="9.14"/>
    <col customWidth="1" min="16" max="17" width="9.43"/>
    <col customWidth="1" min="18" max="18" width="12.0"/>
    <col customWidth="1" min="19" max="19" width="9.43"/>
    <col customWidth="1" min="20" max="26" width="9.14"/>
    <col customWidth="1" min="27" max="28" width="9.43"/>
    <col customWidth="1" min="29" max="29" width="12.0"/>
    <col customWidth="1" min="30" max="30" width="9.43"/>
    <col customWidth="1" min="31" max="37" width="9.14"/>
    <col customWidth="1" min="38" max="39" width="9.43"/>
    <col customWidth="1" min="40" max="40" width="12.0"/>
    <col customWidth="1" min="41" max="41" width="9.43"/>
    <col customWidth="1" min="42" max="53" width="9.14"/>
    <col customWidth="1" min="54" max="54" width="6.71"/>
    <col customWidth="1" min="55" max="55" width="7.86"/>
    <col customWidth="1" min="56" max="56" width="7.71"/>
    <col customWidth="1" min="57" max="67" width="9.14"/>
    <col customWidth="1" min="68" max="69" width="8.71"/>
    <col customWidth="1" min="70" max="70" width="9.14"/>
    <col customWidth="1" min="71" max="71" width="9.43"/>
    <col customWidth="1" min="72" max="72" width="7.43"/>
    <col customWidth="1" min="73" max="73" width="8.14"/>
    <col customWidth="1" min="74" max="74" width="8.86"/>
    <col customWidth="1" min="75" max="75" width="10.43"/>
    <col customWidth="1" min="76" max="76" width="9.29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3"/>
      <c r="BE9" s="3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>
      <c r="B10" s="4" t="s">
        <v>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8" t="s">
        <v>1</v>
      </c>
      <c r="O10" s="5"/>
      <c r="P10" s="5"/>
      <c r="Q10" s="5"/>
      <c r="R10" s="5"/>
      <c r="S10" s="5"/>
      <c r="T10" s="5"/>
      <c r="U10" s="5"/>
      <c r="V10" s="5"/>
      <c r="W10" s="5"/>
      <c r="X10" s="6"/>
      <c r="Y10" s="8" t="s">
        <v>2</v>
      </c>
      <c r="Z10" s="5"/>
      <c r="AA10" s="5"/>
      <c r="AB10" s="5"/>
      <c r="AC10" s="5"/>
      <c r="AD10" s="5"/>
      <c r="AE10" s="5"/>
      <c r="AF10" s="5"/>
      <c r="AG10" s="5"/>
      <c r="AH10" s="5"/>
      <c r="AI10" s="6"/>
      <c r="AJ10" s="8" t="s">
        <v>3</v>
      </c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8" t="s">
        <v>4</v>
      </c>
      <c r="AV10" s="5"/>
      <c r="AW10" s="5"/>
      <c r="AX10" s="5"/>
      <c r="AY10" s="5"/>
      <c r="AZ10" s="5"/>
      <c r="BA10" s="5"/>
      <c r="BB10" s="5"/>
      <c r="BC10" s="5"/>
      <c r="BD10" s="5"/>
      <c r="BE10" s="6"/>
      <c r="BF10" s="8" t="s">
        <v>5</v>
      </c>
      <c r="BG10" s="5"/>
      <c r="BH10" s="5"/>
      <c r="BI10" s="5"/>
      <c r="BJ10" s="5"/>
      <c r="BK10" s="5"/>
      <c r="BL10" s="5"/>
      <c r="BM10" s="5"/>
      <c r="BN10" s="5"/>
      <c r="BO10" s="51"/>
      <c r="BP10" s="13" t="s">
        <v>6</v>
      </c>
      <c r="BQ10" s="14"/>
      <c r="BR10" s="14"/>
      <c r="BS10" s="14"/>
      <c r="BT10" s="14"/>
      <c r="BU10" s="14"/>
      <c r="BV10" s="14"/>
      <c r="BW10" s="14"/>
      <c r="BX10" s="15"/>
    </row>
    <row r="11">
      <c r="B11" s="16"/>
      <c r="C11" s="17"/>
      <c r="D11" s="18" t="s">
        <v>7</v>
      </c>
      <c r="E11" s="19" t="s">
        <v>8</v>
      </c>
      <c r="F11" s="19" t="s">
        <v>9</v>
      </c>
      <c r="G11" s="19" t="s">
        <v>10</v>
      </c>
      <c r="H11" s="19" t="s">
        <v>11</v>
      </c>
      <c r="I11" s="19" t="s">
        <v>12</v>
      </c>
      <c r="J11" s="19" t="s">
        <v>13</v>
      </c>
      <c r="K11" s="19" t="s">
        <v>14</v>
      </c>
      <c r="L11" s="19" t="s">
        <v>15</v>
      </c>
      <c r="M11" s="20" t="s">
        <v>16</v>
      </c>
      <c r="N11" s="17"/>
      <c r="O11" s="18" t="s">
        <v>7</v>
      </c>
      <c r="P11" s="19" t="s">
        <v>8</v>
      </c>
      <c r="Q11" s="19" t="s">
        <v>9</v>
      </c>
      <c r="R11" s="19" t="s">
        <v>10</v>
      </c>
      <c r="S11" s="19" t="s">
        <v>11</v>
      </c>
      <c r="T11" s="19" t="s">
        <v>12</v>
      </c>
      <c r="U11" s="19" t="s">
        <v>13</v>
      </c>
      <c r="V11" s="19" t="s">
        <v>14</v>
      </c>
      <c r="W11" s="19" t="s">
        <v>15</v>
      </c>
      <c r="X11" s="20" t="s">
        <v>16</v>
      </c>
      <c r="Y11" s="17"/>
      <c r="Z11" s="18" t="s">
        <v>7</v>
      </c>
      <c r="AA11" s="19" t="s">
        <v>8</v>
      </c>
      <c r="AB11" s="19" t="s">
        <v>9</v>
      </c>
      <c r="AC11" s="19" t="s">
        <v>10</v>
      </c>
      <c r="AD11" s="19" t="s">
        <v>11</v>
      </c>
      <c r="AE11" s="19" t="s">
        <v>12</v>
      </c>
      <c r="AF11" s="19" t="s">
        <v>13</v>
      </c>
      <c r="AG11" s="19" t="s">
        <v>14</v>
      </c>
      <c r="AH11" s="19" t="s">
        <v>15</v>
      </c>
      <c r="AI11" s="20" t="s">
        <v>16</v>
      </c>
      <c r="AJ11" s="17"/>
      <c r="AK11" s="18" t="s">
        <v>7</v>
      </c>
      <c r="AL11" s="19" t="s">
        <v>8</v>
      </c>
      <c r="AM11" s="19" t="s">
        <v>9</v>
      </c>
      <c r="AN11" s="19" t="s">
        <v>10</v>
      </c>
      <c r="AO11" s="19" t="s">
        <v>11</v>
      </c>
      <c r="AP11" s="19" t="s">
        <v>12</v>
      </c>
      <c r="AQ11" s="19" t="s">
        <v>13</v>
      </c>
      <c r="AR11" s="19" t="s">
        <v>14</v>
      </c>
      <c r="AS11" s="19" t="s">
        <v>15</v>
      </c>
      <c r="AT11" s="20" t="s">
        <v>16</v>
      </c>
      <c r="AU11" s="17"/>
      <c r="AV11" s="18" t="s">
        <v>7</v>
      </c>
      <c r="AW11" s="19" t="s">
        <v>8</v>
      </c>
      <c r="AX11" s="19" t="s">
        <v>9</v>
      </c>
      <c r="AY11" s="19" t="s">
        <v>10</v>
      </c>
      <c r="AZ11" s="19" t="s">
        <v>11</v>
      </c>
      <c r="BA11" s="19" t="s">
        <v>12</v>
      </c>
      <c r="BB11" s="19" t="s">
        <v>13</v>
      </c>
      <c r="BC11" s="19" t="s">
        <v>14</v>
      </c>
      <c r="BD11" s="19" t="s">
        <v>15</v>
      </c>
      <c r="BE11" s="20" t="s">
        <v>16</v>
      </c>
      <c r="BF11" s="18" t="s">
        <v>7</v>
      </c>
      <c r="BG11" s="19" t="s">
        <v>8</v>
      </c>
      <c r="BH11" s="19" t="s">
        <v>9</v>
      </c>
      <c r="BI11" s="19" t="s">
        <v>10</v>
      </c>
      <c r="BJ11" s="19" t="s">
        <v>11</v>
      </c>
      <c r="BK11" s="19" t="s">
        <v>12</v>
      </c>
      <c r="BL11" s="19" t="s">
        <v>13</v>
      </c>
      <c r="BM11" s="19" t="s">
        <v>14</v>
      </c>
      <c r="BN11" s="19" t="s">
        <v>15</v>
      </c>
      <c r="BO11" s="59" t="s">
        <v>16</v>
      </c>
      <c r="BP11" s="21" t="s">
        <v>17</v>
      </c>
      <c r="BQ11" s="18" t="s">
        <v>18</v>
      </c>
      <c r="BR11" s="18" t="s">
        <v>19</v>
      </c>
      <c r="BS11" s="18" t="s">
        <v>20</v>
      </c>
      <c r="BT11" s="18" t="s">
        <v>21</v>
      </c>
      <c r="BU11" s="18" t="s">
        <v>22</v>
      </c>
      <c r="BV11" s="22" t="s">
        <v>23</v>
      </c>
      <c r="BW11" s="18" t="s">
        <v>24</v>
      </c>
      <c r="BX11" s="52" t="s">
        <v>25</v>
      </c>
    </row>
    <row r="12">
      <c r="A12" s="60"/>
      <c r="B12" s="25">
        <v>1.0</v>
      </c>
      <c r="C12" s="24">
        <v>3.0</v>
      </c>
      <c r="D12" s="27">
        <f t="shared" ref="D12:D49" si="3">AVERAGE($C$12:C12)</f>
        <v>3</v>
      </c>
      <c r="E12" s="24">
        <f>IF(AND(C12&gt;=1,C12&lt;=2),1,0)</f>
        <v>0</v>
      </c>
      <c r="F12" s="24">
        <f>IF(AND(C12&gt;=2,C12&lt;=3),1,0)</f>
        <v>1</v>
      </c>
      <c r="G12" s="24">
        <f>IF(AND(C12&gt;=3,C12&lt;=4),1,0)</f>
        <v>1</v>
      </c>
      <c r="H12" s="24">
        <f>IF(AND(C12&gt;=1,C12&lt;=3),1,0)</f>
        <v>1</v>
      </c>
      <c r="I12" s="24">
        <f>IF(AND(C12&gt;=2,C12&lt;=4),1,0)</f>
        <v>1</v>
      </c>
      <c r="J12" s="24">
        <f>IF((C12=0),1,0)</f>
        <v>0</v>
      </c>
      <c r="K12" s="24">
        <f>IF((C12=1),1,0)</f>
        <v>0</v>
      </c>
      <c r="L12" s="24">
        <f>IF((C12=2),1,0)</f>
        <v>0</v>
      </c>
      <c r="M12" s="28">
        <f>IF((C12=3),1,0)</f>
        <v>1</v>
      </c>
      <c r="N12" s="24">
        <v>1.0</v>
      </c>
      <c r="O12" s="27">
        <f t="shared" ref="O12:O49" si="4">AVERAGE($N$12:N12)</f>
        <v>1</v>
      </c>
      <c r="P12" s="24">
        <f>IF(AND(N12&gt;=1,N12&lt;=2),1,0)</f>
        <v>1</v>
      </c>
      <c r="Q12" s="24">
        <f>IF(AND(N12&gt;=2,N12&lt;=3),1,0)</f>
        <v>0</v>
      </c>
      <c r="R12" s="24">
        <f>IF(AND(N12&gt;=3,N12&lt;=4),1,0)</f>
        <v>0</v>
      </c>
      <c r="S12" s="24">
        <f>IF(AND(N12&gt;=1,N12&lt;=3),1,0)</f>
        <v>1</v>
      </c>
      <c r="T12" s="24">
        <f>IF(AND(N12&gt;=2,N12&lt;=4),1,0)</f>
        <v>0</v>
      </c>
      <c r="U12" s="24">
        <f>IF((N12=0),1,0)</f>
        <v>0</v>
      </c>
      <c r="V12" s="24">
        <f>IF((N12=1),1,0)</f>
        <v>1</v>
      </c>
      <c r="W12" s="24">
        <f>IF((N12=2),1,0)</f>
        <v>0</v>
      </c>
      <c r="X12" s="28">
        <f>IF((N12=3),1,0)</f>
        <v>0</v>
      </c>
      <c r="Y12" s="24">
        <v>2.0</v>
      </c>
      <c r="Z12" s="27">
        <f t="shared" ref="Z12:Z49" si="5">AVERAGE($Y$12:Y12)</f>
        <v>2</v>
      </c>
      <c r="AA12" s="24">
        <f>IF(AND(Y12&gt;=1,Y12&lt;=2),1,0)</f>
        <v>1</v>
      </c>
      <c r="AB12" s="24">
        <f>IF(AND(Y12&gt;=2,Y12&lt;=3),1,0)</f>
        <v>1</v>
      </c>
      <c r="AC12" s="24">
        <f>IF(AND(Y12&gt;=3,Y12&lt;=4),1,0)</f>
        <v>0</v>
      </c>
      <c r="AD12" s="24">
        <f>IF(AND(Y12&gt;=1,Y12&lt;=3),1,0)</f>
        <v>1</v>
      </c>
      <c r="AE12" s="24">
        <f>IF(AND(Y12&gt;=2,Y12&lt;=4),1,0)</f>
        <v>1</v>
      </c>
      <c r="AF12" s="24">
        <f>IF((Y12=0),1,0)</f>
        <v>0</v>
      </c>
      <c r="AG12" s="24">
        <f>IF((Y12=1),1,0)</f>
        <v>0</v>
      </c>
      <c r="AH12" s="24">
        <f>IF((Y12=2),1,0)</f>
        <v>1</v>
      </c>
      <c r="AI12" s="28">
        <f>IF((Y12=3),1,0)</f>
        <v>0</v>
      </c>
      <c r="AJ12" s="24">
        <v>0.0</v>
      </c>
      <c r="AK12" s="27">
        <f>AVERAGE($AJ$12:AJ12)</f>
        <v>0</v>
      </c>
      <c r="AL12" s="24">
        <f>IF(AND(AJ12&gt;=1,AJ12&lt;=2),1,0)</f>
        <v>0</v>
      </c>
      <c r="AM12" s="24">
        <f>IF(AND(AJ12&gt;=2,AJ12&lt;=3),1,0)</f>
        <v>0</v>
      </c>
      <c r="AN12" s="24">
        <f>IF(AND(AJ12&gt;=3,AJ12&lt;=4),1,0)</f>
        <v>0</v>
      </c>
      <c r="AO12" s="24">
        <f>IF(AND(AJ12&gt;=1,AJ12&lt;=3),1,0)</f>
        <v>0</v>
      </c>
      <c r="AP12" s="24">
        <f>IF(AND(AJ12&gt;=2,AJ12&lt;=4),1,0)</f>
        <v>0</v>
      </c>
      <c r="AQ12" s="24">
        <f>IF((AJ12=0),1,0)</f>
        <v>1</v>
      </c>
      <c r="AR12" s="24">
        <f>IF((AJ12=1),1,0)</f>
        <v>0</v>
      </c>
      <c r="AS12" s="24">
        <f>IF((AJ12=2),1,0)</f>
        <v>0</v>
      </c>
      <c r="AT12" s="28">
        <f>IF((AJ12=3),1,0)</f>
        <v>0</v>
      </c>
      <c r="AU12" s="24">
        <v>1.0</v>
      </c>
      <c r="AV12" s="27">
        <f t="shared" ref="AV12:AV49" si="6">AVERAGE($AU$12:AU12)</f>
        <v>1</v>
      </c>
      <c r="AW12" s="24">
        <f>IF(AND(AU12&gt;=1,AU12&lt;=2),1,0)</f>
        <v>1</v>
      </c>
      <c r="AX12" s="24">
        <f>IF(AND(AU12&gt;=2,AU12&lt;=3),1,0)</f>
        <v>0</v>
      </c>
      <c r="AY12" s="24">
        <f>IF(AND(AU12&gt;=3,AU12&lt;=4),1,0)</f>
        <v>0</v>
      </c>
      <c r="AZ12" s="24">
        <f>IF(AND(AU12&gt;=1,AU12&lt;=3),1,0)</f>
        <v>1</v>
      </c>
      <c r="BA12" s="24">
        <f>IF(AND(AU12&gt;=2,AU12&lt;=4),1,0)</f>
        <v>0</v>
      </c>
      <c r="BB12" s="24">
        <f>IF((AU12=0),1,0)</f>
        <v>0</v>
      </c>
      <c r="BC12" s="24">
        <f>IF((AU12=1),1,0)</f>
        <v>1</v>
      </c>
      <c r="BD12" s="24">
        <f>IF((AU12=2),1,0)</f>
        <v>0</v>
      </c>
      <c r="BE12" s="28">
        <f>IF((AU12=3),1,0)</f>
        <v>0</v>
      </c>
      <c r="BF12" s="29">
        <f t="shared" ref="BF12:BO12" si="1">+(AK12+Z12+O12+D12)/4</f>
        <v>1.5</v>
      </c>
      <c r="BG12" s="24">
        <f t="shared" si="1"/>
        <v>0.5</v>
      </c>
      <c r="BH12" s="24">
        <f t="shared" si="1"/>
        <v>0.5</v>
      </c>
      <c r="BI12" s="24">
        <f t="shared" si="1"/>
        <v>0.25</v>
      </c>
      <c r="BJ12" s="24">
        <f t="shared" si="1"/>
        <v>0.75</v>
      </c>
      <c r="BK12" s="24">
        <f t="shared" si="1"/>
        <v>0.5</v>
      </c>
      <c r="BL12" s="24">
        <f t="shared" si="1"/>
        <v>0.25</v>
      </c>
      <c r="BM12" s="24">
        <f t="shared" si="1"/>
        <v>0.25</v>
      </c>
      <c r="BN12" s="24">
        <f t="shared" si="1"/>
        <v>0.25</v>
      </c>
      <c r="BO12" s="61">
        <f t="shared" si="1"/>
        <v>0.25</v>
      </c>
      <c r="BP12" s="30">
        <f t="shared" ref="BP12:BP49" si="8">+AV12-BF12</f>
        <v>-0.5</v>
      </c>
      <c r="BQ12" s="31">
        <f t="shared" ref="BQ12:BQ49" si="9">COUNTIF($AU$12:AU12,0)/B12</f>
        <v>0</v>
      </c>
      <c r="BR12" s="31">
        <f t="shared" ref="BR12:BR49" si="10">(COUNTIF($AU$12:AU12,1))/B12</f>
        <v>1</v>
      </c>
      <c r="BS12" s="31">
        <f t="shared" ref="BS12:BS49" si="11">(COUNTIF($AU$12:AU12,2))/B12</f>
        <v>0</v>
      </c>
      <c r="BT12" s="31">
        <f t="shared" ref="BT12:BT49" si="12">(COUNTIF($AU$12:AU12,3))/B12</f>
        <v>0</v>
      </c>
      <c r="BU12" s="31">
        <f t="shared" ref="BU12:BU49" si="13">(COUNTIF($AU$12:AU12,"&gt;=4"))/B12</f>
        <v>0</v>
      </c>
      <c r="BV12" s="31">
        <f t="shared" ref="BV12:BV49" si="14">1-BQ12</f>
        <v>1</v>
      </c>
      <c r="BW12" s="31">
        <f t="shared" ref="BW12:BX12" si="2">+BR12+BS12+BT12</f>
        <v>1</v>
      </c>
      <c r="BX12" s="32">
        <f t="shared" si="2"/>
        <v>0</v>
      </c>
      <c r="BY12" s="60"/>
    </row>
    <row r="13">
      <c r="B13" s="33">
        <v>2.0</v>
      </c>
      <c r="C13" s="2">
        <v>4.0</v>
      </c>
      <c r="D13" s="3">
        <f t="shared" si="3"/>
        <v>3.5</v>
      </c>
      <c r="E13" s="2">
        <f t="shared" ref="E13:E49" si="16">IF(AND(C13&gt;=1,C13&lt;=2),(E12+1),E12)</f>
        <v>0</v>
      </c>
      <c r="F13" s="2">
        <f t="shared" ref="F13:F49" si="17">IF(AND(C13&gt;=2,C13&lt;=3),(F12+1),F12)</f>
        <v>1</v>
      </c>
      <c r="G13" s="2">
        <f t="shared" ref="G13:G49" si="18">IF(AND(C13&gt;=3,C13&lt;=4),(G12+1),G12)</f>
        <v>2</v>
      </c>
      <c r="H13" s="2">
        <f t="shared" ref="H13:H49" si="19">IF(AND(C13&gt;=1,C13&lt;=3),(H12+1),H12)</f>
        <v>1</v>
      </c>
      <c r="I13" s="2">
        <f t="shared" ref="I13:I49" si="20">IF(AND(C13&gt;=2,C13&lt;=4),(I12+1),I12)</f>
        <v>2</v>
      </c>
      <c r="J13" s="2">
        <f t="shared" ref="J13:J49" si="21">IF((C13=0),(J12+1),J12)</f>
        <v>0</v>
      </c>
      <c r="K13" s="2">
        <f t="shared" ref="K13:K49" si="22">IF((C13=1),(K12+1),K12)</f>
        <v>0</v>
      </c>
      <c r="L13" s="2">
        <f t="shared" ref="L13:L49" si="23">IF((C13=2),(L12+1),L12)</f>
        <v>0</v>
      </c>
      <c r="M13" s="34">
        <f t="shared" ref="M13:M49" si="24">IF((C13=3),(M12+1),M12)</f>
        <v>1</v>
      </c>
      <c r="N13" s="2">
        <v>1.0</v>
      </c>
      <c r="O13" s="3">
        <f t="shared" si="4"/>
        <v>1</v>
      </c>
      <c r="P13" s="2">
        <f t="shared" ref="P13:P49" si="25">IF(AND(N13&gt;=1,N13&lt;=2),(P12+1),P12)</f>
        <v>2</v>
      </c>
      <c r="Q13" s="2">
        <f t="shared" ref="Q13:Q49" si="26">IF(AND(N13&gt;=2,N13&lt;=3),(Q12+1),Q12)</f>
        <v>0</v>
      </c>
      <c r="R13" s="2">
        <f t="shared" ref="R13:R49" si="27">IF(AND(N13&gt;=3,N13&lt;=4),(R12+1),R12)</f>
        <v>0</v>
      </c>
      <c r="S13" s="2">
        <f t="shared" ref="S13:S49" si="28">IF(AND(N13&gt;=1,N13&lt;=3),(S12+1),S12)</f>
        <v>2</v>
      </c>
      <c r="T13" s="2">
        <f t="shared" ref="T13:T49" si="29">IF(AND(N13&gt;=2,N13&lt;=4),(T12+1),T12)</f>
        <v>0</v>
      </c>
      <c r="U13" s="2">
        <f t="shared" ref="U13:U49" si="30">IF((N13=0),(U12+1),U12)</f>
        <v>0</v>
      </c>
      <c r="V13" s="2">
        <f t="shared" ref="V13:V49" si="31">IF((N13=1),(V12+1),V12)</f>
        <v>2</v>
      </c>
      <c r="W13" s="2">
        <f t="shared" ref="W13:W49" si="32">IF((N13=2),(W12+1),W12)</f>
        <v>0</v>
      </c>
      <c r="X13" s="34">
        <f t="shared" ref="X13:X49" si="33">IF((N13=3),(X12+1),X12)</f>
        <v>0</v>
      </c>
      <c r="Y13" s="2">
        <v>1.0</v>
      </c>
      <c r="Z13" s="3">
        <f t="shared" si="5"/>
        <v>1.5</v>
      </c>
      <c r="AA13" s="2">
        <f t="shared" ref="AA13:AA49" si="34">IF(AND(Y13&gt;=1,Y13&lt;=2),(AA12+1),AA12)</f>
        <v>2</v>
      </c>
      <c r="AB13" s="2">
        <f t="shared" ref="AB13:AB49" si="35">IF(AND(Y13&gt;=2,Y13&lt;=3),(AB12+1),AB12)</f>
        <v>1</v>
      </c>
      <c r="AC13" s="2">
        <f t="shared" ref="AC13:AC49" si="36">IF(AND(Y13&gt;=3,Y13&lt;=4),(AC12+1),AC12)</f>
        <v>0</v>
      </c>
      <c r="AD13" s="2">
        <f t="shared" ref="AD13:AD49" si="37">IF(AND(Y13&gt;=1,Y13&lt;=3),(AD12+1),AD12)</f>
        <v>2</v>
      </c>
      <c r="AE13" s="2">
        <f t="shared" ref="AE13:AE49" si="38">IF(AND(Y13&gt;=2,Y13&lt;=4),(AE12+1),AE12)</f>
        <v>1</v>
      </c>
      <c r="AF13" s="2">
        <f t="shared" ref="AF13:AF49" si="39">IF((Y13=0),(AF12+1),AF12)</f>
        <v>0</v>
      </c>
      <c r="AG13" s="2">
        <f t="shared" ref="AG13:AG49" si="40">IF((Y13=1),(AG12+1),AG12)</f>
        <v>1</v>
      </c>
      <c r="AH13" s="2">
        <f t="shared" ref="AH13:AH49" si="41">IF((Y13=2),(AH12+1),AH12)</f>
        <v>1</v>
      </c>
      <c r="AI13" s="34">
        <f t="shared" ref="AI13:AI49" si="42">IF((Y13=3),(AI12+1),AI12)</f>
        <v>0</v>
      </c>
      <c r="AJ13" s="2">
        <v>1.0</v>
      </c>
      <c r="AK13" s="3">
        <f t="shared" ref="AK13:AK49" si="43">AVERAGE($AJ$13:AJ13)</f>
        <v>1</v>
      </c>
      <c r="AL13" s="2">
        <f t="shared" ref="AL13:AL49" si="44">IF(AND(AJ13&gt;=1,AJ13&lt;=2),(AL12+1),AL12)</f>
        <v>1</v>
      </c>
      <c r="AM13" s="2">
        <f t="shared" ref="AM13:AM49" si="45">IF(AND(AJ13&gt;=2,AJ13&lt;=3),(AM12+1),AM12)</f>
        <v>0</v>
      </c>
      <c r="AN13" s="2">
        <f t="shared" ref="AN13:AN49" si="46">IF(AND(AJ13&gt;=3,AJ13&lt;=4),(AN12+1),AN12)</f>
        <v>0</v>
      </c>
      <c r="AO13" s="2">
        <f t="shared" ref="AO13:AO49" si="47">IF(AND(AJ13&gt;=1,AJ13&lt;=3),(AO12+1),AO12)</f>
        <v>1</v>
      </c>
      <c r="AP13" s="2">
        <f t="shared" ref="AP13:AP49" si="48">IF(AND(AJ13&gt;=2,AJ13&lt;=4),(AP12+1),AP12)</f>
        <v>0</v>
      </c>
      <c r="AQ13" s="2">
        <f t="shared" ref="AQ13:AQ49" si="49">IF((AJ13=0),(AQ12+1),AQ12)</f>
        <v>1</v>
      </c>
      <c r="AR13" s="2">
        <f t="shared" ref="AR13:AR49" si="50">IF((AJ13=1),(AR12+1),AR12)</f>
        <v>1</v>
      </c>
      <c r="AS13" s="2">
        <f t="shared" ref="AS13:AS49" si="51">IF((AJ13=2),(AS12+1),AS12)</f>
        <v>0</v>
      </c>
      <c r="AT13" s="34">
        <f t="shared" ref="AT13:AT49" si="52">IF((AJ13=3),(AT12+1),AT12)</f>
        <v>0</v>
      </c>
      <c r="AU13" s="2">
        <v>1.0</v>
      </c>
      <c r="AV13" s="3">
        <f t="shared" si="6"/>
        <v>1</v>
      </c>
      <c r="AW13" s="2">
        <f t="shared" ref="AW13:AW49" si="53">IF(AND(AU13&gt;=1,AU13&lt;=2),(AW12+1),AW12)</f>
        <v>2</v>
      </c>
      <c r="AX13" s="2">
        <f t="shared" ref="AX13:AX49" si="54">IF(AND(AU13&gt;=2,AU13&lt;=3),(AX12+1),AX12)</f>
        <v>0</v>
      </c>
      <c r="AY13" s="2">
        <f t="shared" ref="AY13:AY49" si="55">IF(AND(AU13&gt;=3,AU13&lt;=4),(AY12+1),AY12)</f>
        <v>0</v>
      </c>
      <c r="AZ13" s="2">
        <f t="shared" ref="AZ13:AZ49" si="56">IF(AND(AU13&gt;=1,AU13&lt;=3),(AZ12+1),AZ12)</f>
        <v>2</v>
      </c>
      <c r="BA13" s="2">
        <f t="shared" ref="BA13:BA49" si="57">IF(AND(AU13&gt;=2,AU13&lt;=4),(BA12+1),BA12)</f>
        <v>0</v>
      </c>
      <c r="BB13" s="2">
        <f t="shared" ref="BB13:BB49" si="58">IF((AU13=0),(BB12+1),BB12)</f>
        <v>0</v>
      </c>
      <c r="BC13" s="2">
        <f t="shared" ref="BC13:BC49" si="59">IF((AU13=1),(BC12+1),BC12)</f>
        <v>2</v>
      </c>
      <c r="BD13" s="2">
        <f t="shared" ref="BD13:BD49" si="60">IF((AU13=2),(BD12+1),BD12)</f>
        <v>0</v>
      </c>
      <c r="BE13" s="34">
        <f t="shared" ref="BE13:BE49" si="61">IF((AU13=3),(BE12+1),BE12)</f>
        <v>0</v>
      </c>
      <c r="BF13" s="36">
        <f t="shared" ref="BF13:BO13" si="7">+(AK13+Z13+O13+D13)/4</f>
        <v>1.75</v>
      </c>
      <c r="BG13" s="2">
        <f t="shared" si="7"/>
        <v>1.25</v>
      </c>
      <c r="BH13" s="2">
        <f t="shared" si="7"/>
        <v>0.5</v>
      </c>
      <c r="BI13" s="2">
        <f t="shared" si="7"/>
        <v>0.5</v>
      </c>
      <c r="BJ13" s="2">
        <f t="shared" si="7"/>
        <v>1.5</v>
      </c>
      <c r="BK13" s="2">
        <f t="shared" si="7"/>
        <v>0.75</v>
      </c>
      <c r="BL13" s="2">
        <f t="shared" si="7"/>
        <v>0.25</v>
      </c>
      <c r="BM13" s="2">
        <f t="shared" si="7"/>
        <v>1</v>
      </c>
      <c r="BN13" s="2">
        <f t="shared" si="7"/>
        <v>0.25</v>
      </c>
      <c r="BO13" s="62">
        <f t="shared" si="7"/>
        <v>0.25</v>
      </c>
      <c r="BP13" s="37">
        <f t="shared" si="8"/>
        <v>-0.75</v>
      </c>
      <c r="BQ13" s="38">
        <f t="shared" si="9"/>
        <v>0</v>
      </c>
      <c r="BR13" s="38">
        <f t="shared" si="10"/>
        <v>1</v>
      </c>
      <c r="BS13" s="38">
        <f t="shared" si="11"/>
        <v>0</v>
      </c>
      <c r="BT13" s="38">
        <f t="shared" si="12"/>
        <v>0</v>
      </c>
      <c r="BU13" s="38">
        <f t="shared" si="13"/>
        <v>0</v>
      </c>
      <c r="BV13" s="38">
        <f t="shared" si="14"/>
        <v>1</v>
      </c>
      <c r="BW13" s="38">
        <f t="shared" ref="BW13:BX13" si="15">+BR13+BS13+BT13</f>
        <v>1</v>
      </c>
      <c r="BX13" s="39">
        <f t="shared" si="15"/>
        <v>0</v>
      </c>
    </row>
    <row r="14">
      <c r="A14" s="60"/>
      <c r="B14" s="40">
        <v>3.0</v>
      </c>
      <c r="C14" s="24">
        <v>2.0</v>
      </c>
      <c r="D14" s="27">
        <f t="shared" si="3"/>
        <v>3</v>
      </c>
      <c r="E14" s="24">
        <f t="shared" si="16"/>
        <v>1</v>
      </c>
      <c r="F14" s="2">
        <f t="shared" si="17"/>
        <v>2</v>
      </c>
      <c r="G14" s="24">
        <f t="shared" si="18"/>
        <v>2</v>
      </c>
      <c r="H14" s="24">
        <f t="shared" si="19"/>
        <v>2</v>
      </c>
      <c r="I14" s="24">
        <f t="shared" si="20"/>
        <v>3</v>
      </c>
      <c r="J14" s="24">
        <f t="shared" si="21"/>
        <v>0</v>
      </c>
      <c r="K14" s="24">
        <f t="shared" si="22"/>
        <v>0</v>
      </c>
      <c r="L14" s="24">
        <f t="shared" si="23"/>
        <v>1</v>
      </c>
      <c r="M14" s="28">
        <f t="shared" si="24"/>
        <v>1</v>
      </c>
      <c r="N14" s="24">
        <v>1.0</v>
      </c>
      <c r="O14" s="27">
        <f t="shared" si="4"/>
        <v>1</v>
      </c>
      <c r="P14" s="24">
        <f t="shared" si="25"/>
        <v>3</v>
      </c>
      <c r="Q14" s="2">
        <f t="shared" si="26"/>
        <v>0</v>
      </c>
      <c r="R14" s="24">
        <f t="shared" si="27"/>
        <v>0</v>
      </c>
      <c r="S14" s="24">
        <f t="shared" si="28"/>
        <v>3</v>
      </c>
      <c r="T14" s="24">
        <f t="shared" si="29"/>
        <v>0</v>
      </c>
      <c r="U14" s="24">
        <f t="shared" si="30"/>
        <v>0</v>
      </c>
      <c r="V14" s="24">
        <f t="shared" si="31"/>
        <v>3</v>
      </c>
      <c r="W14" s="24">
        <f t="shared" si="32"/>
        <v>0</v>
      </c>
      <c r="X14" s="28">
        <f t="shared" si="33"/>
        <v>0</v>
      </c>
      <c r="Y14" s="24">
        <v>1.0</v>
      </c>
      <c r="Z14" s="27">
        <f t="shared" si="5"/>
        <v>1.333333333</v>
      </c>
      <c r="AA14" s="24">
        <f t="shared" si="34"/>
        <v>3</v>
      </c>
      <c r="AB14" s="2">
        <f t="shared" si="35"/>
        <v>1</v>
      </c>
      <c r="AC14" s="24">
        <f t="shared" si="36"/>
        <v>0</v>
      </c>
      <c r="AD14" s="24">
        <f t="shared" si="37"/>
        <v>3</v>
      </c>
      <c r="AE14" s="24">
        <f t="shared" si="38"/>
        <v>1</v>
      </c>
      <c r="AF14" s="24">
        <f t="shared" si="39"/>
        <v>0</v>
      </c>
      <c r="AG14" s="24">
        <f t="shared" si="40"/>
        <v>2</v>
      </c>
      <c r="AH14" s="24">
        <f t="shared" si="41"/>
        <v>1</v>
      </c>
      <c r="AI14" s="28">
        <f t="shared" si="42"/>
        <v>0</v>
      </c>
      <c r="AJ14" s="24">
        <v>0.0</v>
      </c>
      <c r="AK14" s="27">
        <f t="shared" si="43"/>
        <v>0.5</v>
      </c>
      <c r="AL14" s="24">
        <f t="shared" si="44"/>
        <v>1</v>
      </c>
      <c r="AM14" s="2">
        <f t="shared" si="45"/>
        <v>0</v>
      </c>
      <c r="AN14" s="24">
        <f t="shared" si="46"/>
        <v>0</v>
      </c>
      <c r="AO14" s="24">
        <f t="shared" si="47"/>
        <v>1</v>
      </c>
      <c r="AP14" s="24">
        <f t="shared" si="48"/>
        <v>0</v>
      </c>
      <c r="AQ14" s="24">
        <f t="shared" si="49"/>
        <v>2</v>
      </c>
      <c r="AR14" s="24">
        <f t="shared" si="50"/>
        <v>1</v>
      </c>
      <c r="AS14" s="24">
        <f t="shared" si="51"/>
        <v>0</v>
      </c>
      <c r="AT14" s="28">
        <f t="shared" si="52"/>
        <v>0</v>
      </c>
      <c r="AU14" s="24">
        <v>0.0</v>
      </c>
      <c r="AV14" s="27">
        <f t="shared" si="6"/>
        <v>0.6666666667</v>
      </c>
      <c r="AW14" s="24">
        <f t="shared" si="53"/>
        <v>2</v>
      </c>
      <c r="AX14" s="2">
        <f t="shared" si="54"/>
        <v>0</v>
      </c>
      <c r="AY14" s="24">
        <f t="shared" si="55"/>
        <v>0</v>
      </c>
      <c r="AZ14" s="24">
        <f t="shared" si="56"/>
        <v>2</v>
      </c>
      <c r="BA14" s="24">
        <f t="shared" si="57"/>
        <v>0</v>
      </c>
      <c r="BB14" s="24">
        <f t="shared" si="58"/>
        <v>1</v>
      </c>
      <c r="BC14" s="24">
        <f t="shared" si="59"/>
        <v>2</v>
      </c>
      <c r="BD14" s="24">
        <f t="shared" si="60"/>
        <v>0</v>
      </c>
      <c r="BE14" s="28">
        <f t="shared" si="61"/>
        <v>0</v>
      </c>
      <c r="BF14" s="29">
        <f t="shared" ref="BF14:BO14" si="62">+(AK14+Z14+O14+D14)/4</f>
        <v>1.458333333</v>
      </c>
      <c r="BG14" s="24">
        <f t="shared" si="62"/>
        <v>2</v>
      </c>
      <c r="BH14" s="24">
        <f t="shared" si="62"/>
        <v>0.75</v>
      </c>
      <c r="BI14" s="24">
        <f t="shared" si="62"/>
        <v>0.5</v>
      </c>
      <c r="BJ14" s="24">
        <f t="shared" si="62"/>
        <v>2.25</v>
      </c>
      <c r="BK14" s="24">
        <f t="shared" si="62"/>
        <v>1</v>
      </c>
      <c r="BL14" s="24">
        <f t="shared" si="62"/>
        <v>0.5</v>
      </c>
      <c r="BM14" s="24">
        <f t="shared" si="62"/>
        <v>1.5</v>
      </c>
      <c r="BN14" s="24">
        <f t="shared" si="62"/>
        <v>0.5</v>
      </c>
      <c r="BO14" s="61">
        <f t="shared" si="62"/>
        <v>0.25</v>
      </c>
      <c r="BP14" s="30">
        <f t="shared" si="8"/>
        <v>-0.7916666667</v>
      </c>
      <c r="BQ14" s="31">
        <f t="shared" si="9"/>
        <v>0.3333333333</v>
      </c>
      <c r="BR14" s="31">
        <f t="shared" si="10"/>
        <v>0.6666666667</v>
      </c>
      <c r="BS14" s="31">
        <f t="shared" si="11"/>
        <v>0</v>
      </c>
      <c r="BT14" s="31">
        <f t="shared" si="12"/>
        <v>0</v>
      </c>
      <c r="BU14" s="31">
        <f t="shared" si="13"/>
        <v>0</v>
      </c>
      <c r="BV14" s="31">
        <f t="shared" si="14"/>
        <v>0.6666666667</v>
      </c>
      <c r="BW14" s="31">
        <f t="shared" ref="BW14:BX14" si="63">+BR14+BS14+BT14</f>
        <v>0.6666666667</v>
      </c>
      <c r="BX14" s="32">
        <f t="shared" si="63"/>
        <v>0</v>
      </c>
      <c r="BY14" s="60"/>
    </row>
    <row r="15">
      <c r="B15" s="33">
        <v>4.0</v>
      </c>
      <c r="C15" s="2">
        <v>2.0</v>
      </c>
      <c r="D15" s="3">
        <f t="shared" si="3"/>
        <v>2.75</v>
      </c>
      <c r="E15" s="2">
        <f t="shared" si="16"/>
        <v>2</v>
      </c>
      <c r="F15" s="2">
        <f t="shared" si="17"/>
        <v>3</v>
      </c>
      <c r="G15" s="2">
        <f t="shared" si="18"/>
        <v>2</v>
      </c>
      <c r="H15" s="2">
        <f t="shared" si="19"/>
        <v>3</v>
      </c>
      <c r="I15" s="2">
        <f t="shared" si="20"/>
        <v>4</v>
      </c>
      <c r="J15" s="2">
        <f t="shared" si="21"/>
        <v>0</v>
      </c>
      <c r="K15" s="2">
        <f t="shared" si="22"/>
        <v>0</v>
      </c>
      <c r="L15" s="2">
        <f t="shared" si="23"/>
        <v>2</v>
      </c>
      <c r="M15" s="34">
        <f t="shared" si="24"/>
        <v>1</v>
      </c>
      <c r="N15" s="2">
        <v>3.0</v>
      </c>
      <c r="O15" s="3">
        <f t="shared" si="4"/>
        <v>1.5</v>
      </c>
      <c r="P15" s="2">
        <f t="shared" si="25"/>
        <v>3</v>
      </c>
      <c r="Q15" s="2">
        <f t="shared" si="26"/>
        <v>1</v>
      </c>
      <c r="R15" s="2">
        <f t="shared" si="27"/>
        <v>1</v>
      </c>
      <c r="S15" s="2">
        <f t="shared" si="28"/>
        <v>4</v>
      </c>
      <c r="T15" s="2">
        <f t="shared" si="29"/>
        <v>1</v>
      </c>
      <c r="U15" s="2">
        <f t="shared" si="30"/>
        <v>0</v>
      </c>
      <c r="V15" s="2">
        <f t="shared" si="31"/>
        <v>3</v>
      </c>
      <c r="W15" s="2">
        <f t="shared" si="32"/>
        <v>0</v>
      </c>
      <c r="X15" s="34">
        <f t="shared" si="33"/>
        <v>1</v>
      </c>
      <c r="Y15" s="2">
        <v>7.0</v>
      </c>
      <c r="Z15" s="3">
        <f t="shared" si="5"/>
        <v>2.75</v>
      </c>
      <c r="AA15" s="2">
        <f t="shared" si="34"/>
        <v>3</v>
      </c>
      <c r="AB15" s="2">
        <f t="shared" si="35"/>
        <v>1</v>
      </c>
      <c r="AC15" s="2">
        <f t="shared" si="36"/>
        <v>0</v>
      </c>
      <c r="AD15" s="2">
        <f t="shared" si="37"/>
        <v>3</v>
      </c>
      <c r="AE15" s="2">
        <f t="shared" si="38"/>
        <v>1</v>
      </c>
      <c r="AF15" s="2">
        <f t="shared" si="39"/>
        <v>0</v>
      </c>
      <c r="AG15" s="2">
        <f t="shared" si="40"/>
        <v>2</v>
      </c>
      <c r="AH15" s="2">
        <f t="shared" si="41"/>
        <v>1</v>
      </c>
      <c r="AI15" s="34">
        <f t="shared" si="42"/>
        <v>0</v>
      </c>
      <c r="AJ15" s="2">
        <v>1.0</v>
      </c>
      <c r="AK15" s="3">
        <f t="shared" si="43"/>
        <v>0.6666666667</v>
      </c>
      <c r="AL15" s="2">
        <f t="shared" si="44"/>
        <v>2</v>
      </c>
      <c r="AM15" s="2">
        <f t="shared" si="45"/>
        <v>0</v>
      </c>
      <c r="AN15" s="2">
        <f t="shared" si="46"/>
        <v>0</v>
      </c>
      <c r="AO15" s="2">
        <f t="shared" si="47"/>
        <v>2</v>
      </c>
      <c r="AP15" s="2">
        <f t="shared" si="48"/>
        <v>0</v>
      </c>
      <c r="AQ15" s="2">
        <f t="shared" si="49"/>
        <v>2</v>
      </c>
      <c r="AR15" s="2">
        <f t="shared" si="50"/>
        <v>2</v>
      </c>
      <c r="AS15" s="2">
        <f t="shared" si="51"/>
        <v>0</v>
      </c>
      <c r="AT15" s="34">
        <f t="shared" si="52"/>
        <v>0</v>
      </c>
      <c r="AU15" s="2">
        <v>1.0</v>
      </c>
      <c r="AV15" s="3">
        <f t="shared" si="6"/>
        <v>0.75</v>
      </c>
      <c r="AW15" s="2">
        <f t="shared" si="53"/>
        <v>3</v>
      </c>
      <c r="AX15" s="2">
        <f t="shared" si="54"/>
        <v>0</v>
      </c>
      <c r="AY15" s="2">
        <f t="shared" si="55"/>
        <v>0</v>
      </c>
      <c r="AZ15" s="2">
        <f t="shared" si="56"/>
        <v>3</v>
      </c>
      <c r="BA15" s="2">
        <f t="shared" si="57"/>
        <v>0</v>
      </c>
      <c r="BB15" s="2">
        <f t="shared" si="58"/>
        <v>1</v>
      </c>
      <c r="BC15" s="2">
        <f t="shared" si="59"/>
        <v>3</v>
      </c>
      <c r="BD15" s="2">
        <f t="shared" si="60"/>
        <v>0</v>
      </c>
      <c r="BE15" s="34">
        <f t="shared" si="61"/>
        <v>0</v>
      </c>
      <c r="BF15" s="36">
        <f t="shared" ref="BF15:BO15" si="64">+(AK15+Z15+O15+D15)/4</f>
        <v>1.916666667</v>
      </c>
      <c r="BG15" s="2">
        <f t="shared" si="64"/>
        <v>2.5</v>
      </c>
      <c r="BH15" s="2">
        <f t="shared" si="64"/>
        <v>1.25</v>
      </c>
      <c r="BI15" s="2">
        <f t="shared" si="64"/>
        <v>0.75</v>
      </c>
      <c r="BJ15" s="2">
        <f t="shared" si="64"/>
        <v>3</v>
      </c>
      <c r="BK15" s="2">
        <f t="shared" si="64"/>
        <v>1.5</v>
      </c>
      <c r="BL15" s="2">
        <f t="shared" si="64"/>
        <v>0.5</v>
      </c>
      <c r="BM15" s="2">
        <f t="shared" si="64"/>
        <v>1.75</v>
      </c>
      <c r="BN15" s="2">
        <f t="shared" si="64"/>
        <v>0.75</v>
      </c>
      <c r="BO15" s="62">
        <f t="shared" si="64"/>
        <v>0.5</v>
      </c>
      <c r="BP15" s="37">
        <f t="shared" si="8"/>
        <v>-1.166666667</v>
      </c>
      <c r="BQ15" s="38">
        <f t="shared" si="9"/>
        <v>0.25</v>
      </c>
      <c r="BR15" s="38">
        <f t="shared" si="10"/>
        <v>0.75</v>
      </c>
      <c r="BS15" s="38">
        <f t="shared" si="11"/>
        <v>0</v>
      </c>
      <c r="BT15" s="38">
        <f t="shared" si="12"/>
        <v>0</v>
      </c>
      <c r="BU15" s="38">
        <f t="shared" si="13"/>
        <v>0</v>
      </c>
      <c r="BV15" s="38">
        <f t="shared" si="14"/>
        <v>0.75</v>
      </c>
      <c r="BW15" s="38">
        <f t="shared" ref="BW15:BX15" si="65">+BR15+BS15+BT15</f>
        <v>0.75</v>
      </c>
      <c r="BX15" s="39">
        <f t="shared" si="65"/>
        <v>0</v>
      </c>
    </row>
    <row r="16">
      <c r="A16" s="60"/>
      <c r="B16" s="40">
        <v>5.0</v>
      </c>
      <c r="C16" s="24">
        <v>1.0</v>
      </c>
      <c r="D16" s="27">
        <f t="shared" si="3"/>
        <v>2.4</v>
      </c>
      <c r="E16" s="24">
        <f t="shared" si="16"/>
        <v>3</v>
      </c>
      <c r="F16" s="2">
        <f t="shared" si="17"/>
        <v>3</v>
      </c>
      <c r="G16" s="24">
        <f t="shared" si="18"/>
        <v>2</v>
      </c>
      <c r="H16" s="24">
        <f t="shared" si="19"/>
        <v>4</v>
      </c>
      <c r="I16" s="24">
        <f t="shared" si="20"/>
        <v>4</v>
      </c>
      <c r="J16" s="24">
        <f t="shared" si="21"/>
        <v>0</v>
      </c>
      <c r="K16" s="24">
        <f t="shared" si="22"/>
        <v>1</v>
      </c>
      <c r="L16" s="24">
        <f t="shared" si="23"/>
        <v>2</v>
      </c>
      <c r="M16" s="28">
        <f t="shared" si="24"/>
        <v>1</v>
      </c>
      <c r="N16" s="24">
        <v>0.0</v>
      </c>
      <c r="O16" s="27">
        <f t="shared" si="4"/>
        <v>1.2</v>
      </c>
      <c r="P16" s="24">
        <f t="shared" si="25"/>
        <v>3</v>
      </c>
      <c r="Q16" s="2">
        <f t="shared" si="26"/>
        <v>1</v>
      </c>
      <c r="R16" s="24">
        <f t="shared" si="27"/>
        <v>1</v>
      </c>
      <c r="S16" s="24">
        <f t="shared" si="28"/>
        <v>4</v>
      </c>
      <c r="T16" s="24">
        <f t="shared" si="29"/>
        <v>1</v>
      </c>
      <c r="U16" s="24">
        <f t="shared" si="30"/>
        <v>1</v>
      </c>
      <c r="V16" s="24">
        <f t="shared" si="31"/>
        <v>3</v>
      </c>
      <c r="W16" s="24">
        <f t="shared" si="32"/>
        <v>0</v>
      </c>
      <c r="X16" s="28">
        <f t="shared" si="33"/>
        <v>1</v>
      </c>
      <c r="Y16" s="24">
        <v>1.0</v>
      </c>
      <c r="Z16" s="27">
        <f t="shared" si="5"/>
        <v>2.4</v>
      </c>
      <c r="AA16" s="24">
        <f t="shared" si="34"/>
        <v>4</v>
      </c>
      <c r="AB16" s="2">
        <f t="shared" si="35"/>
        <v>1</v>
      </c>
      <c r="AC16" s="24">
        <f t="shared" si="36"/>
        <v>0</v>
      </c>
      <c r="AD16" s="24">
        <f t="shared" si="37"/>
        <v>4</v>
      </c>
      <c r="AE16" s="24">
        <f t="shared" si="38"/>
        <v>1</v>
      </c>
      <c r="AF16" s="24">
        <f t="shared" si="39"/>
        <v>0</v>
      </c>
      <c r="AG16" s="24">
        <f t="shared" si="40"/>
        <v>3</v>
      </c>
      <c r="AH16" s="24">
        <f t="shared" si="41"/>
        <v>1</v>
      </c>
      <c r="AI16" s="28">
        <f t="shared" si="42"/>
        <v>0</v>
      </c>
      <c r="AJ16" s="24">
        <v>3.0</v>
      </c>
      <c r="AK16" s="27">
        <f t="shared" si="43"/>
        <v>1.25</v>
      </c>
      <c r="AL16" s="24">
        <f t="shared" si="44"/>
        <v>2</v>
      </c>
      <c r="AM16" s="2">
        <f t="shared" si="45"/>
        <v>1</v>
      </c>
      <c r="AN16" s="24">
        <f t="shared" si="46"/>
        <v>1</v>
      </c>
      <c r="AO16" s="24">
        <f t="shared" si="47"/>
        <v>3</v>
      </c>
      <c r="AP16" s="24">
        <f t="shared" si="48"/>
        <v>1</v>
      </c>
      <c r="AQ16" s="24">
        <f t="shared" si="49"/>
        <v>2</v>
      </c>
      <c r="AR16" s="24">
        <f t="shared" si="50"/>
        <v>2</v>
      </c>
      <c r="AS16" s="24">
        <f t="shared" si="51"/>
        <v>0</v>
      </c>
      <c r="AT16" s="28">
        <f t="shared" si="52"/>
        <v>1</v>
      </c>
      <c r="AU16" s="24">
        <v>2.0</v>
      </c>
      <c r="AV16" s="27">
        <f t="shared" si="6"/>
        <v>1</v>
      </c>
      <c r="AW16" s="24">
        <f t="shared" si="53"/>
        <v>4</v>
      </c>
      <c r="AX16" s="2">
        <f t="shared" si="54"/>
        <v>1</v>
      </c>
      <c r="AY16" s="24">
        <f t="shared" si="55"/>
        <v>0</v>
      </c>
      <c r="AZ16" s="24">
        <f t="shared" si="56"/>
        <v>4</v>
      </c>
      <c r="BA16" s="24">
        <f t="shared" si="57"/>
        <v>1</v>
      </c>
      <c r="BB16" s="24">
        <f t="shared" si="58"/>
        <v>1</v>
      </c>
      <c r="BC16" s="24">
        <f t="shared" si="59"/>
        <v>3</v>
      </c>
      <c r="BD16" s="24">
        <f t="shared" si="60"/>
        <v>1</v>
      </c>
      <c r="BE16" s="28">
        <f t="shared" si="61"/>
        <v>0</v>
      </c>
      <c r="BF16" s="29">
        <f t="shared" ref="BF16:BO16" si="66">+(AK16+Z16+O16+D16)/4</f>
        <v>1.8125</v>
      </c>
      <c r="BG16" s="24">
        <f t="shared" si="66"/>
        <v>3</v>
      </c>
      <c r="BH16" s="24">
        <f t="shared" si="66"/>
        <v>1.5</v>
      </c>
      <c r="BI16" s="24">
        <f t="shared" si="66"/>
        <v>1</v>
      </c>
      <c r="BJ16" s="24">
        <f t="shared" si="66"/>
        <v>3.75</v>
      </c>
      <c r="BK16" s="24">
        <f t="shared" si="66"/>
        <v>1.75</v>
      </c>
      <c r="BL16" s="24">
        <f t="shared" si="66"/>
        <v>0.75</v>
      </c>
      <c r="BM16" s="24">
        <f t="shared" si="66"/>
        <v>2.25</v>
      </c>
      <c r="BN16" s="24">
        <f t="shared" si="66"/>
        <v>0.75</v>
      </c>
      <c r="BO16" s="61">
        <f t="shared" si="66"/>
        <v>0.75</v>
      </c>
      <c r="BP16" s="30">
        <f t="shared" si="8"/>
        <v>-0.8125</v>
      </c>
      <c r="BQ16" s="31">
        <f t="shared" si="9"/>
        <v>0.2</v>
      </c>
      <c r="BR16" s="31">
        <f t="shared" si="10"/>
        <v>0.6</v>
      </c>
      <c r="BS16" s="31">
        <f t="shared" si="11"/>
        <v>0.2</v>
      </c>
      <c r="BT16" s="31">
        <f t="shared" si="12"/>
        <v>0</v>
      </c>
      <c r="BU16" s="31">
        <f t="shared" si="13"/>
        <v>0</v>
      </c>
      <c r="BV16" s="31">
        <f t="shared" si="14"/>
        <v>0.8</v>
      </c>
      <c r="BW16" s="31">
        <f t="shared" ref="BW16:BX16" si="67">+BR16+BS16+BT16</f>
        <v>0.8</v>
      </c>
      <c r="BX16" s="32">
        <f t="shared" si="67"/>
        <v>0.2</v>
      </c>
      <c r="BY16" s="60"/>
    </row>
    <row r="17">
      <c r="B17" s="33">
        <v>6.0</v>
      </c>
      <c r="C17" s="2">
        <v>2.0</v>
      </c>
      <c r="D17" s="3">
        <f t="shared" si="3"/>
        <v>2.333333333</v>
      </c>
      <c r="E17" s="2">
        <f t="shared" si="16"/>
        <v>4</v>
      </c>
      <c r="F17" s="2">
        <f t="shared" si="17"/>
        <v>4</v>
      </c>
      <c r="G17" s="2">
        <f t="shared" si="18"/>
        <v>2</v>
      </c>
      <c r="H17" s="2">
        <f t="shared" si="19"/>
        <v>5</v>
      </c>
      <c r="I17" s="2">
        <f t="shared" si="20"/>
        <v>5</v>
      </c>
      <c r="J17" s="2">
        <f t="shared" si="21"/>
        <v>0</v>
      </c>
      <c r="K17" s="2">
        <f t="shared" si="22"/>
        <v>1</v>
      </c>
      <c r="L17" s="2">
        <f t="shared" si="23"/>
        <v>3</v>
      </c>
      <c r="M17" s="34">
        <f t="shared" si="24"/>
        <v>1</v>
      </c>
      <c r="N17" s="2">
        <v>2.0</v>
      </c>
      <c r="O17" s="3">
        <f t="shared" si="4"/>
        <v>1.333333333</v>
      </c>
      <c r="P17" s="2">
        <f t="shared" si="25"/>
        <v>4</v>
      </c>
      <c r="Q17" s="2">
        <f t="shared" si="26"/>
        <v>2</v>
      </c>
      <c r="R17" s="2">
        <f t="shared" si="27"/>
        <v>1</v>
      </c>
      <c r="S17" s="2">
        <f t="shared" si="28"/>
        <v>5</v>
      </c>
      <c r="T17" s="2">
        <f t="shared" si="29"/>
        <v>2</v>
      </c>
      <c r="U17" s="2">
        <f t="shared" si="30"/>
        <v>1</v>
      </c>
      <c r="V17" s="2">
        <f t="shared" si="31"/>
        <v>3</v>
      </c>
      <c r="W17" s="2">
        <f t="shared" si="32"/>
        <v>1</v>
      </c>
      <c r="X17" s="34">
        <f t="shared" si="33"/>
        <v>1</v>
      </c>
      <c r="Y17" s="2">
        <v>1.0</v>
      </c>
      <c r="Z17" s="3">
        <f t="shared" si="5"/>
        <v>2.166666667</v>
      </c>
      <c r="AA17" s="2">
        <f t="shared" si="34"/>
        <v>5</v>
      </c>
      <c r="AB17" s="2">
        <f t="shared" si="35"/>
        <v>1</v>
      </c>
      <c r="AC17" s="2">
        <f t="shared" si="36"/>
        <v>0</v>
      </c>
      <c r="AD17" s="2">
        <f t="shared" si="37"/>
        <v>5</v>
      </c>
      <c r="AE17" s="2">
        <f t="shared" si="38"/>
        <v>1</v>
      </c>
      <c r="AF17" s="2">
        <f t="shared" si="39"/>
        <v>0</v>
      </c>
      <c r="AG17" s="2">
        <f t="shared" si="40"/>
        <v>4</v>
      </c>
      <c r="AH17" s="2">
        <f t="shared" si="41"/>
        <v>1</v>
      </c>
      <c r="AI17" s="34">
        <f t="shared" si="42"/>
        <v>0</v>
      </c>
      <c r="AJ17" s="2">
        <v>2.0</v>
      </c>
      <c r="AK17" s="3">
        <f t="shared" si="43"/>
        <v>1.4</v>
      </c>
      <c r="AL17" s="2">
        <f t="shared" si="44"/>
        <v>3</v>
      </c>
      <c r="AM17" s="2">
        <f t="shared" si="45"/>
        <v>2</v>
      </c>
      <c r="AN17" s="2">
        <f t="shared" si="46"/>
        <v>1</v>
      </c>
      <c r="AO17" s="2">
        <f t="shared" si="47"/>
        <v>4</v>
      </c>
      <c r="AP17" s="2">
        <f t="shared" si="48"/>
        <v>2</v>
      </c>
      <c r="AQ17" s="2">
        <f t="shared" si="49"/>
        <v>2</v>
      </c>
      <c r="AR17" s="2">
        <f t="shared" si="50"/>
        <v>2</v>
      </c>
      <c r="AS17" s="2">
        <f t="shared" si="51"/>
        <v>1</v>
      </c>
      <c r="AT17" s="34">
        <f t="shared" si="52"/>
        <v>1</v>
      </c>
      <c r="AU17" s="2">
        <v>2.0</v>
      </c>
      <c r="AV17" s="3">
        <f t="shared" si="6"/>
        <v>1.166666667</v>
      </c>
      <c r="AW17" s="2">
        <f t="shared" si="53"/>
        <v>5</v>
      </c>
      <c r="AX17" s="2">
        <f t="shared" si="54"/>
        <v>2</v>
      </c>
      <c r="AY17" s="2">
        <f t="shared" si="55"/>
        <v>0</v>
      </c>
      <c r="AZ17" s="2">
        <f t="shared" si="56"/>
        <v>5</v>
      </c>
      <c r="BA17" s="2">
        <f t="shared" si="57"/>
        <v>2</v>
      </c>
      <c r="BB17" s="2">
        <f t="shared" si="58"/>
        <v>1</v>
      </c>
      <c r="BC17" s="2">
        <f t="shared" si="59"/>
        <v>3</v>
      </c>
      <c r="BD17" s="2">
        <f t="shared" si="60"/>
        <v>2</v>
      </c>
      <c r="BE17" s="34">
        <f t="shared" si="61"/>
        <v>0</v>
      </c>
      <c r="BF17" s="36">
        <f t="shared" ref="BF17:BO17" si="68">+(AK17+Z17+O17+D17)/4</f>
        <v>1.808333333</v>
      </c>
      <c r="BG17" s="2">
        <f t="shared" si="68"/>
        <v>4</v>
      </c>
      <c r="BH17" s="2">
        <f t="shared" si="68"/>
        <v>2.25</v>
      </c>
      <c r="BI17" s="2">
        <f t="shared" si="68"/>
        <v>1</v>
      </c>
      <c r="BJ17" s="2">
        <f t="shared" si="68"/>
        <v>4.75</v>
      </c>
      <c r="BK17" s="2">
        <f t="shared" si="68"/>
        <v>2.5</v>
      </c>
      <c r="BL17" s="2">
        <f t="shared" si="68"/>
        <v>0.75</v>
      </c>
      <c r="BM17" s="2">
        <f t="shared" si="68"/>
        <v>2.5</v>
      </c>
      <c r="BN17" s="2">
        <f t="shared" si="68"/>
        <v>1.5</v>
      </c>
      <c r="BO17" s="62">
        <f t="shared" si="68"/>
        <v>0.75</v>
      </c>
      <c r="BP17" s="37">
        <f t="shared" si="8"/>
        <v>-0.6416666667</v>
      </c>
      <c r="BQ17" s="38">
        <f t="shared" si="9"/>
        <v>0.1666666667</v>
      </c>
      <c r="BR17" s="38">
        <f t="shared" si="10"/>
        <v>0.5</v>
      </c>
      <c r="BS17" s="38">
        <f t="shared" si="11"/>
        <v>0.3333333333</v>
      </c>
      <c r="BT17" s="38">
        <f t="shared" si="12"/>
        <v>0</v>
      </c>
      <c r="BU17" s="38">
        <f t="shared" si="13"/>
        <v>0</v>
      </c>
      <c r="BV17" s="38">
        <f t="shared" si="14"/>
        <v>0.8333333333</v>
      </c>
      <c r="BW17" s="38">
        <f t="shared" ref="BW17:BX17" si="69">+BR17+BS17+BT17</f>
        <v>0.8333333333</v>
      </c>
      <c r="BX17" s="39">
        <f t="shared" si="69"/>
        <v>0.3333333333</v>
      </c>
    </row>
    <row r="18">
      <c r="A18" s="60"/>
      <c r="B18" s="40">
        <v>7.0</v>
      </c>
      <c r="C18" s="24">
        <v>2.0</v>
      </c>
      <c r="D18" s="27">
        <f t="shared" si="3"/>
        <v>2.285714286</v>
      </c>
      <c r="E18" s="24">
        <f t="shared" si="16"/>
        <v>5</v>
      </c>
      <c r="F18" s="2">
        <f t="shared" si="17"/>
        <v>5</v>
      </c>
      <c r="G18" s="24">
        <f t="shared" si="18"/>
        <v>2</v>
      </c>
      <c r="H18" s="24">
        <f t="shared" si="19"/>
        <v>6</v>
      </c>
      <c r="I18" s="24">
        <f t="shared" si="20"/>
        <v>6</v>
      </c>
      <c r="J18" s="24">
        <f t="shared" si="21"/>
        <v>0</v>
      </c>
      <c r="K18" s="24">
        <f t="shared" si="22"/>
        <v>1</v>
      </c>
      <c r="L18" s="24">
        <f t="shared" si="23"/>
        <v>4</v>
      </c>
      <c r="M18" s="28">
        <f t="shared" si="24"/>
        <v>1</v>
      </c>
      <c r="N18" s="24">
        <v>0.0</v>
      </c>
      <c r="O18" s="27">
        <f t="shared" si="4"/>
        <v>1.142857143</v>
      </c>
      <c r="P18" s="24">
        <f t="shared" si="25"/>
        <v>4</v>
      </c>
      <c r="Q18" s="2">
        <f t="shared" si="26"/>
        <v>2</v>
      </c>
      <c r="R18" s="24">
        <f t="shared" si="27"/>
        <v>1</v>
      </c>
      <c r="S18" s="24">
        <f t="shared" si="28"/>
        <v>5</v>
      </c>
      <c r="T18" s="24">
        <f t="shared" si="29"/>
        <v>2</v>
      </c>
      <c r="U18" s="24">
        <f t="shared" si="30"/>
        <v>2</v>
      </c>
      <c r="V18" s="24">
        <f t="shared" si="31"/>
        <v>3</v>
      </c>
      <c r="W18" s="24">
        <f t="shared" si="32"/>
        <v>1</v>
      </c>
      <c r="X18" s="28">
        <f t="shared" si="33"/>
        <v>1</v>
      </c>
      <c r="Y18" s="24">
        <v>2.0</v>
      </c>
      <c r="Z18" s="27">
        <f t="shared" si="5"/>
        <v>2.142857143</v>
      </c>
      <c r="AA18" s="24">
        <f t="shared" si="34"/>
        <v>6</v>
      </c>
      <c r="AB18" s="2">
        <f t="shared" si="35"/>
        <v>2</v>
      </c>
      <c r="AC18" s="24">
        <f t="shared" si="36"/>
        <v>0</v>
      </c>
      <c r="AD18" s="24">
        <f t="shared" si="37"/>
        <v>6</v>
      </c>
      <c r="AE18" s="24">
        <f t="shared" si="38"/>
        <v>2</v>
      </c>
      <c r="AF18" s="24">
        <f t="shared" si="39"/>
        <v>0</v>
      </c>
      <c r="AG18" s="24">
        <f t="shared" si="40"/>
        <v>4</v>
      </c>
      <c r="AH18" s="24">
        <f t="shared" si="41"/>
        <v>2</v>
      </c>
      <c r="AI18" s="28">
        <f t="shared" si="42"/>
        <v>0</v>
      </c>
      <c r="AJ18" s="24">
        <v>1.0</v>
      </c>
      <c r="AK18" s="27">
        <f t="shared" si="43"/>
        <v>1.333333333</v>
      </c>
      <c r="AL18" s="24">
        <f t="shared" si="44"/>
        <v>4</v>
      </c>
      <c r="AM18" s="2">
        <f t="shared" si="45"/>
        <v>2</v>
      </c>
      <c r="AN18" s="24">
        <f t="shared" si="46"/>
        <v>1</v>
      </c>
      <c r="AO18" s="24">
        <f t="shared" si="47"/>
        <v>5</v>
      </c>
      <c r="AP18" s="24">
        <f t="shared" si="48"/>
        <v>2</v>
      </c>
      <c r="AQ18" s="24">
        <f t="shared" si="49"/>
        <v>2</v>
      </c>
      <c r="AR18" s="24">
        <f t="shared" si="50"/>
        <v>3</v>
      </c>
      <c r="AS18" s="24">
        <f t="shared" si="51"/>
        <v>1</v>
      </c>
      <c r="AT18" s="28">
        <f t="shared" si="52"/>
        <v>1</v>
      </c>
      <c r="AU18" s="24">
        <v>0.0</v>
      </c>
      <c r="AV18" s="27">
        <f t="shared" si="6"/>
        <v>1</v>
      </c>
      <c r="AW18" s="24">
        <f t="shared" si="53"/>
        <v>5</v>
      </c>
      <c r="AX18" s="2">
        <f t="shared" si="54"/>
        <v>2</v>
      </c>
      <c r="AY18" s="24">
        <f t="shared" si="55"/>
        <v>0</v>
      </c>
      <c r="AZ18" s="24">
        <f t="shared" si="56"/>
        <v>5</v>
      </c>
      <c r="BA18" s="24">
        <f t="shared" si="57"/>
        <v>2</v>
      </c>
      <c r="BB18" s="24">
        <f t="shared" si="58"/>
        <v>2</v>
      </c>
      <c r="BC18" s="24">
        <f t="shared" si="59"/>
        <v>3</v>
      </c>
      <c r="BD18" s="24">
        <f t="shared" si="60"/>
        <v>2</v>
      </c>
      <c r="BE18" s="28">
        <f t="shared" si="61"/>
        <v>0</v>
      </c>
      <c r="BF18" s="29">
        <f t="shared" ref="BF18:BO18" si="70">+(AK18+Z18+O18+D18)/4</f>
        <v>1.726190476</v>
      </c>
      <c r="BG18" s="24">
        <f t="shared" si="70"/>
        <v>4.75</v>
      </c>
      <c r="BH18" s="24">
        <f t="shared" si="70"/>
        <v>2.75</v>
      </c>
      <c r="BI18" s="24">
        <f t="shared" si="70"/>
        <v>1</v>
      </c>
      <c r="BJ18" s="24">
        <f t="shared" si="70"/>
        <v>5.5</v>
      </c>
      <c r="BK18" s="24">
        <f t="shared" si="70"/>
        <v>3</v>
      </c>
      <c r="BL18" s="24">
        <f t="shared" si="70"/>
        <v>1</v>
      </c>
      <c r="BM18" s="24">
        <f t="shared" si="70"/>
        <v>2.75</v>
      </c>
      <c r="BN18" s="24">
        <f t="shared" si="70"/>
        <v>2</v>
      </c>
      <c r="BO18" s="61">
        <f t="shared" si="70"/>
        <v>0.75</v>
      </c>
      <c r="BP18" s="30">
        <f t="shared" si="8"/>
        <v>-0.7261904762</v>
      </c>
      <c r="BQ18" s="31">
        <f t="shared" si="9"/>
        <v>0.2857142857</v>
      </c>
      <c r="BR18" s="31">
        <f t="shared" si="10"/>
        <v>0.4285714286</v>
      </c>
      <c r="BS18" s="31">
        <f t="shared" si="11"/>
        <v>0.2857142857</v>
      </c>
      <c r="BT18" s="31">
        <f t="shared" si="12"/>
        <v>0</v>
      </c>
      <c r="BU18" s="31">
        <f t="shared" si="13"/>
        <v>0</v>
      </c>
      <c r="BV18" s="31">
        <f t="shared" si="14"/>
        <v>0.7142857143</v>
      </c>
      <c r="BW18" s="31">
        <f t="shared" ref="BW18:BX18" si="71">+BR18+BS18+BT18</f>
        <v>0.7142857143</v>
      </c>
      <c r="BX18" s="32">
        <f t="shared" si="71"/>
        <v>0.2857142857</v>
      </c>
      <c r="BY18" s="60"/>
    </row>
    <row r="19">
      <c r="B19" s="33">
        <v>8.0</v>
      </c>
      <c r="C19" s="2">
        <v>0.0</v>
      </c>
      <c r="D19" s="3">
        <f t="shared" si="3"/>
        <v>2</v>
      </c>
      <c r="E19" s="2">
        <f t="shared" si="16"/>
        <v>5</v>
      </c>
      <c r="F19" s="2">
        <f t="shared" si="17"/>
        <v>5</v>
      </c>
      <c r="G19" s="2">
        <f t="shared" si="18"/>
        <v>2</v>
      </c>
      <c r="H19" s="2">
        <f t="shared" si="19"/>
        <v>6</v>
      </c>
      <c r="I19" s="2">
        <f t="shared" si="20"/>
        <v>6</v>
      </c>
      <c r="J19" s="2">
        <f t="shared" si="21"/>
        <v>1</v>
      </c>
      <c r="K19" s="2">
        <f t="shared" si="22"/>
        <v>1</v>
      </c>
      <c r="L19" s="2">
        <f t="shared" si="23"/>
        <v>4</v>
      </c>
      <c r="M19" s="34">
        <f t="shared" si="24"/>
        <v>1</v>
      </c>
      <c r="N19" s="2">
        <v>2.0</v>
      </c>
      <c r="O19" s="3">
        <f t="shared" si="4"/>
        <v>1.25</v>
      </c>
      <c r="P19" s="2">
        <f t="shared" si="25"/>
        <v>5</v>
      </c>
      <c r="Q19" s="2">
        <f t="shared" si="26"/>
        <v>3</v>
      </c>
      <c r="R19" s="2">
        <f t="shared" si="27"/>
        <v>1</v>
      </c>
      <c r="S19" s="2">
        <f t="shared" si="28"/>
        <v>6</v>
      </c>
      <c r="T19" s="2">
        <f t="shared" si="29"/>
        <v>3</v>
      </c>
      <c r="U19" s="2">
        <f t="shared" si="30"/>
        <v>2</v>
      </c>
      <c r="V19" s="2">
        <f t="shared" si="31"/>
        <v>3</v>
      </c>
      <c r="W19" s="2">
        <f t="shared" si="32"/>
        <v>2</v>
      </c>
      <c r="X19" s="34">
        <f t="shared" si="33"/>
        <v>1</v>
      </c>
      <c r="Y19" s="2">
        <v>4.0</v>
      </c>
      <c r="Z19" s="3">
        <f t="shared" si="5"/>
        <v>2.375</v>
      </c>
      <c r="AA19" s="2">
        <f t="shared" si="34"/>
        <v>6</v>
      </c>
      <c r="AB19" s="2">
        <f t="shared" si="35"/>
        <v>2</v>
      </c>
      <c r="AC19" s="2">
        <f t="shared" si="36"/>
        <v>1</v>
      </c>
      <c r="AD19" s="2">
        <f t="shared" si="37"/>
        <v>6</v>
      </c>
      <c r="AE19" s="2">
        <f t="shared" si="38"/>
        <v>3</v>
      </c>
      <c r="AF19" s="2">
        <f t="shared" si="39"/>
        <v>0</v>
      </c>
      <c r="AG19" s="2">
        <f t="shared" si="40"/>
        <v>4</v>
      </c>
      <c r="AH19" s="2">
        <f t="shared" si="41"/>
        <v>2</v>
      </c>
      <c r="AI19" s="34">
        <f t="shared" si="42"/>
        <v>0</v>
      </c>
      <c r="AJ19" s="2">
        <v>0.0</v>
      </c>
      <c r="AK19" s="3">
        <f t="shared" si="43"/>
        <v>1.142857143</v>
      </c>
      <c r="AL19" s="2">
        <f t="shared" si="44"/>
        <v>4</v>
      </c>
      <c r="AM19" s="2">
        <f t="shared" si="45"/>
        <v>2</v>
      </c>
      <c r="AN19" s="2">
        <f t="shared" si="46"/>
        <v>1</v>
      </c>
      <c r="AO19" s="2">
        <f t="shared" si="47"/>
        <v>5</v>
      </c>
      <c r="AP19" s="2">
        <f t="shared" si="48"/>
        <v>2</v>
      </c>
      <c r="AQ19" s="2">
        <f t="shared" si="49"/>
        <v>3</v>
      </c>
      <c r="AR19" s="2">
        <f t="shared" si="50"/>
        <v>3</v>
      </c>
      <c r="AS19" s="2">
        <f t="shared" si="51"/>
        <v>1</v>
      </c>
      <c r="AT19" s="34">
        <f t="shared" si="52"/>
        <v>1</v>
      </c>
      <c r="AU19" s="2">
        <v>1.0</v>
      </c>
      <c r="AV19" s="3">
        <f t="shared" si="6"/>
        <v>1</v>
      </c>
      <c r="AW19" s="2">
        <f t="shared" si="53"/>
        <v>6</v>
      </c>
      <c r="AX19" s="2">
        <f t="shared" si="54"/>
        <v>2</v>
      </c>
      <c r="AY19" s="2">
        <f t="shared" si="55"/>
        <v>0</v>
      </c>
      <c r="AZ19" s="2">
        <f t="shared" si="56"/>
        <v>6</v>
      </c>
      <c r="BA19" s="2">
        <f t="shared" si="57"/>
        <v>2</v>
      </c>
      <c r="BB19" s="2">
        <f t="shared" si="58"/>
        <v>2</v>
      </c>
      <c r="BC19" s="2">
        <f t="shared" si="59"/>
        <v>4</v>
      </c>
      <c r="BD19" s="2">
        <f t="shared" si="60"/>
        <v>2</v>
      </c>
      <c r="BE19" s="34">
        <f t="shared" si="61"/>
        <v>0</v>
      </c>
      <c r="BF19" s="36">
        <f t="shared" ref="BF19:BO19" si="72">+(AK19+Z19+O19+D19)/4</f>
        <v>1.691964286</v>
      </c>
      <c r="BG19" s="2">
        <f t="shared" si="72"/>
        <v>5</v>
      </c>
      <c r="BH19" s="2">
        <f t="shared" si="72"/>
        <v>3</v>
      </c>
      <c r="BI19" s="2">
        <f t="shared" si="72"/>
        <v>1.25</v>
      </c>
      <c r="BJ19" s="2">
        <f t="shared" si="72"/>
        <v>5.75</v>
      </c>
      <c r="BK19" s="2">
        <f t="shared" si="72"/>
        <v>3.5</v>
      </c>
      <c r="BL19" s="2">
        <f t="shared" si="72"/>
        <v>1.5</v>
      </c>
      <c r="BM19" s="2">
        <f t="shared" si="72"/>
        <v>2.75</v>
      </c>
      <c r="BN19" s="2">
        <f t="shared" si="72"/>
        <v>2.25</v>
      </c>
      <c r="BO19" s="62">
        <f t="shared" si="72"/>
        <v>0.75</v>
      </c>
      <c r="BP19" s="37">
        <f t="shared" si="8"/>
        <v>-0.6919642857</v>
      </c>
      <c r="BQ19" s="38">
        <f t="shared" si="9"/>
        <v>0.25</v>
      </c>
      <c r="BR19" s="38">
        <f t="shared" si="10"/>
        <v>0.5</v>
      </c>
      <c r="BS19" s="38">
        <f t="shared" si="11"/>
        <v>0.25</v>
      </c>
      <c r="BT19" s="38">
        <f t="shared" si="12"/>
        <v>0</v>
      </c>
      <c r="BU19" s="38">
        <f t="shared" si="13"/>
        <v>0</v>
      </c>
      <c r="BV19" s="38">
        <f t="shared" si="14"/>
        <v>0.75</v>
      </c>
      <c r="BW19" s="38">
        <f t="shared" ref="BW19:BX19" si="73">+BR19+BS19+BT19</f>
        <v>0.75</v>
      </c>
      <c r="BX19" s="39">
        <f t="shared" si="73"/>
        <v>0.25</v>
      </c>
    </row>
    <row r="20">
      <c r="A20" s="60"/>
      <c r="B20" s="40">
        <v>9.0</v>
      </c>
      <c r="C20" s="24">
        <v>0.0</v>
      </c>
      <c r="D20" s="27">
        <f t="shared" si="3"/>
        <v>1.777777778</v>
      </c>
      <c r="E20" s="24">
        <f t="shared" si="16"/>
        <v>5</v>
      </c>
      <c r="F20" s="2">
        <f t="shared" si="17"/>
        <v>5</v>
      </c>
      <c r="G20" s="24">
        <f t="shared" si="18"/>
        <v>2</v>
      </c>
      <c r="H20" s="24">
        <f t="shared" si="19"/>
        <v>6</v>
      </c>
      <c r="I20" s="24">
        <f t="shared" si="20"/>
        <v>6</v>
      </c>
      <c r="J20" s="24">
        <f t="shared" si="21"/>
        <v>2</v>
      </c>
      <c r="K20" s="24">
        <f t="shared" si="22"/>
        <v>1</v>
      </c>
      <c r="L20" s="24">
        <f t="shared" si="23"/>
        <v>4</v>
      </c>
      <c r="M20" s="28">
        <f t="shared" si="24"/>
        <v>1</v>
      </c>
      <c r="N20" s="24">
        <v>2.0</v>
      </c>
      <c r="O20" s="27">
        <f t="shared" si="4"/>
        <v>1.333333333</v>
      </c>
      <c r="P20" s="24">
        <f t="shared" si="25"/>
        <v>6</v>
      </c>
      <c r="Q20" s="2">
        <f t="shared" si="26"/>
        <v>4</v>
      </c>
      <c r="R20" s="24">
        <f t="shared" si="27"/>
        <v>1</v>
      </c>
      <c r="S20" s="24">
        <f t="shared" si="28"/>
        <v>7</v>
      </c>
      <c r="T20" s="24">
        <f t="shared" si="29"/>
        <v>4</v>
      </c>
      <c r="U20" s="24">
        <f t="shared" si="30"/>
        <v>2</v>
      </c>
      <c r="V20" s="24">
        <f t="shared" si="31"/>
        <v>3</v>
      </c>
      <c r="W20" s="24">
        <f t="shared" si="32"/>
        <v>3</v>
      </c>
      <c r="X20" s="28">
        <f t="shared" si="33"/>
        <v>1</v>
      </c>
      <c r="Y20" s="24">
        <v>1.0</v>
      </c>
      <c r="Z20" s="27">
        <f t="shared" si="5"/>
        <v>2.222222222</v>
      </c>
      <c r="AA20" s="24">
        <f t="shared" si="34"/>
        <v>7</v>
      </c>
      <c r="AB20" s="2">
        <f t="shared" si="35"/>
        <v>2</v>
      </c>
      <c r="AC20" s="24">
        <f t="shared" si="36"/>
        <v>1</v>
      </c>
      <c r="AD20" s="24">
        <f t="shared" si="37"/>
        <v>7</v>
      </c>
      <c r="AE20" s="24">
        <f t="shared" si="38"/>
        <v>3</v>
      </c>
      <c r="AF20" s="24">
        <f t="shared" si="39"/>
        <v>0</v>
      </c>
      <c r="AG20" s="24">
        <f t="shared" si="40"/>
        <v>5</v>
      </c>
      <c r="AH20" s="24">
        <f t="shared" si="41"/>
        <v>2</v>
      </c>
      <c r="AI20" s="28">
        <f t="shared" si="42"/>
        <v>0</v>
      </c>
      <c r="AJ20" s="24">
        <v>1.0</v>
      </c>
      <c r="AK20" s="27">
        <f t="shared" si="43"/>
        <v>1.125</v>
      </c>
      <c r="AL20" s="24">
        <f t="shared" si="44"/>
        <v>5</v>
      </c>
      <c r="AM20" s="2">
        <f t="shared" si="45"/>
        <v>2</v>
      </c>
      <c r="AN20" s="24">
        <f t="shared" si="46"/>
        <v>1</v>
      </c>
      <c r="AO20" s="24">
        <f t="shared" si="47"/>
        <v>6</v>
      </c>
      <c r="AP20" s="24">
        <f t="shared" si="48"/>
        <v>2</v>
      </c>
      <c r="AQ20" s="24">
        <f t="shared" si="49"/>
        <v>3</v>
      </c>
      <c r="AR20" s="24">
        <f t="shared" si="50"/>
        <v>4</v>
      </c>
      <c r="AS20" s="24">
        <f t="shared" si="51"/>
        <v>1</v>
      </c>
      <c r="AT20" s="28">
        <f t="shared" si="52"/>
        <v>1</v>
      </c>
      <c r="AU20" s="24">
        <v>2.0</v>
      </c>
      <c r="AV20" s="27">
        <f t="shared" si="6"/>
        <v>1.111111111</v>
      </c>
      <c r="AW20" s="24">
        <f t="shared" si="53"/>
        <v>7</v>
      </c>
      <c r="AX20" s="2">
        <f t="shared" si="54"/>
        <v>3</v>
      </c>
      <c r="AY20" s="24">
        <f t="shared" si="55"/>
        <v>0</v>
      </c>
      <c r="AZ20" s="24">
        <f t="shared" si="56"/>
        <v>7</v>
      </c>
      <c r="BA20" s="24">
        <f t="shared" si="57"/>
        <v>3</v>
      </c>
      <c r="BB20" s="24">
        <f t="shared" si="58"/>
        <v>2</v>
      </c>
      <c r="BC20" s="24">
        <f t="shared" si="59"/>
        <v>4</v>
      </c>
      <c r="BD20" s="24">
        <f t="shared" si="60"/>
        <v>3</v>
      </c>
      <c r="BE20" s="28">
        <f t="shared" si="61"/>
        <v>0</v>
      </c>
      <c r="BF20" s="29">
        <f t="shared" ref="BF20:BO20" si="74">+(AK20+Z20+O20+D20)/4</f>
        <v>1.614583333</v>
      </c>
      <c r="BG20" s="24">
        <f t="shared" si="74"/>
        <v>5.75</v>
      </c>
      <c r="BH20" s="24">
        <f t="shared" si="74"/>
        <v>3.25</v>
      </c>
      <c r="BI20" s="24">
        <f t="shared" si="74"/>
        <v>1.25</v>
      </c>
      <c r="BJ20" s="24">
        <f t="shared" si="74"/>
        <v>6.5</v>
      </c>
      <c r="BK20" s="24">
        <f t="shared" si="74"/>
        <v>3.75</v>
      </c>
      <c r="BL20" s="24">
        <f t="shared" si="74"/>
        <v>1.75</v>
      </c>
      <c r="BM20" s="24">
        <f t="shared" si="74"/>
        <v>3.25</v>
      </c>
      <c r="BN20" s="24">
        <f t="shared" si="74"/>
        <v>2.5</v>
      </c>
      <c r="BO20" s="61">
        <f t="shared" si="74"/>
        <v>0.75</v>
      </c>
      <c r="BP20" s="30">
        <f t="shared" si="8"/>
        <v>-0.5034722222</v>
      </c>
      <c r="BQ20" s="31">
        <f t="shared" si="9"/>
        <v>0.2222222222</v>
      </c>
      <c r="BR20" s="31">
        <f t="shared" si="10"/>
        <v>0.4444444444</v>
      </c>
      <c r="BS20" s="31">
        <f t="shared" si="11"/>
        <v>0.3333333333</v>
      </c>
      <c r="BT20" s="31">
        <f t="shared" si="12"/>
        <v>0</v>
      </c>
      <c r="BU20" s="31">
        <f t="shared" si="13"/>
        <v>0</v>
      </c>
      <c r="BV20" s="31">
        <f t="shared" si="14"/>
        <v>0.7777777778</v>
      </c>
      <c r="BW20" s="31">
        <f t="shared" ref="BW20:BX20" si="75">+BR20+BS20+BT20</f>
        <v>0.7777777778</v>
      </c>
      <c r="BX20" s="32">
        <f t="shared" si="75"/>
        <v>0.3333333333</v>
      </c>
      <c r="BY20" s="60"/>
    </row>
    <row r="21">
      <c r="B21" s="42">
        <v>10.0</v>
      </c>
      <c r="C21" s="43">
        <v>2.0</v>
      </c>
      <c r="D21" s="3">
        <f t="shared" si="3"/>
        <v>1.8</v>
      </c>
      <c r="E21" s="43">
        <f t="shared" si="16"/>
        <v>6</v>
      </c>
      <c r="F21" s="2">
        <f t="shared" si="17"/>
        <v>6</v>
      </c>
      <c r="G21" s="43">
        <f t="shared" si="18"/>
        <v>2</v>
      </c>
      <c r="H21" s="43">
        <f t="shared" si="19"/>
        <v>7</v>
      </c>
      <c r="I21" s="43">
        <f t="shared" si="20"/>
        <v>7</v>
      </c>
      <c r="J21" s="43">
        <f t="shared" si="21"/>
        <v>2</v>
      </c>
      <c r="K21" s="43">
        <f t="shared" si="22"/>
        <v>1</v>
      </c>
      <c r="L21" s="43">
        <f t="shared" si="23"/>
        <v>5</v>
      </c>
      <c r="M21" s="44">
        <f t="shared" si="24"/>
        <v>1</v>
      </c>
      <c r="N21" s="43">
        <v>1.0</v>
      </c>
      <c r="O21" s="3">
        <f t="shared" si="4"/>
        <v>1.3</v>
      </c>
      <c r="P21" s="43">
        <f t="shared" si="25"/>
        <v>7</v>
      </c>
      <c r="Q21" s="2">
        <f t="shared" si="26"/>
        <v>4</v>
      </c>
      <c r="R21" s="43">
        <f t="shared" si="27"/>
        <v>1</v>
      </c>
      <c r="S21" s="43">
        <f t="shared" si="28"/>
        <v>8</v>
      </c>
      <c r="T21" s="43">
        <f t="shared" si="29"/>
        <v>4</v>
      </c>
      <c r="U21" s="43">
        <f t="shared" si="30"/>
        <v>2</v>
      </c>
      <c r="V21" s="43">
        <f t="shared" si="31"/>
        <v>4</v>
      </c>
      <c r="W21" s="43">
        <f t="shared" si="32"/>
        <v>3</v>
      </c>
      <c r="X21" s="44">
        <f t="shared" si="33"/>
        <v>1</v>
      </c>
      <c r="Y21" s="43">
        <v>0.0</v>
      </c>
      <c r="Z21" s="3">
        <f t="shared" si="5"/>
        <v>2</v>
      </c>
      <c r="AA21" s="43">
        <f t="shared" si="34"/>
        <v>7</v>
      </c>
      <c r="AB21" s="2">
        <f t="shared" si="35"/>
        <v>2</v>
      </c>
      <c r="AC21" s="43">
        <f t="shared" si="36"/>
        <v>1</v>
      </c>
      <c r="AD21" s="43">
        <f t="shared" si="37"/>
        <v>7</v>
      </c>
      <c r="AE21" s="43">
        <f t="shared" si="38"/>
        <v>3</v>
      </c>
      <c r="AF21" s="43">
        <f t="shared" si="39"/>
        <v>1</v>
      </c>
      <c r="AG21" s="43">
        <f t="shared" si="40"/>
        <v>5</v>
      </c>
      <c r="AH21" s="43">
        <f t="shared" si="41"/>
        <v>2</v>
      </c>
      <c r="AI21" s="44">
        <f t="shared" si="42"/>
        <v>0</v>
      </c>
      <c r="AJ21" s="43">
        <v>1.0</v>
      </c>
      <c r="AK21" s="3">
        <f t="shared" si="43"/>
        <v>1.111111111</v>
      </c>
      <c r="AL21" s="43">
        <f t="shared" si="44"/>
        <v>6</v>
      </c>
      <c r="AM21" s="2">
        <f t="shared" si="45"/>
        <v>2</v>
      </c>
      <c r="AN21" s="43">
        <f t="shared" si="46"/>
        <v>1</v>
      </c>
      <c r="AO21" s="43">
        <f t="shared" si="47"/>
        <v>7</v>
      </c>
      <c r="AP21" s="43">
        <f t="shared" si="48"/>
        <v>2</v>
      </c>
      <c r="AQ21" s="43">
        <f t="shared" si="49"/>
        <v>3</v>
      </c>
      <c r="AR21" s="43">
        <f t="shared" si="50"/>
        <v>5</v>
      </c>
      <c r="AS21" s="43">
        <f t="shared" si="51"/>
        <v>1</v>
      </c>
      <c r="AT21" s="44">
        <f t="shared" si="52"/>
        <v>1</v>
      </c>
      <c r="AU21" s="43">
        <v>0.0</v>
      </c>
      <c r="AV21" s="3">
        <f t="shared" si="6"/>
        <v>1</v>
      </c>
      <c r="AW21" s="43">
        <f t="shared" si="53"/>
        <v>7</v>
      </c>
      <c r="AX21" s="2">
        <f t="shared" si="54"/>
        <v>3</v>
      </c>
      <c r="AY21" s="43">
        <f t="shared" si="55"/>
        <v>0</v>
      </c>
      <c r="AZ21" s="43">
        <f t="shared" si="56"/>
        <v>7</v>
      </c>
      <c r="BA21" s="43">
        <f t="shared" si="57"/>
        <v>3</v>
      </c>
      <c r="BB21" s="43">
        <f t="shared" si="58"/>
        <v>3</v>
      </c>
      <c r="BC21" s="43">
        <f t="shared" si="59"/>
        <v>4</v>
      </c>
      <c r="BD21" s="43">
        <f t="shared" si="60"/>
        <v>3</v>
      </c>
      <c r="BE21" s="44">
        <f t="shared" si="61"/>
        <v>0</v>
      </c>
      <c r="BF21" s="46">
        <f t="shared" ref="BF21:BO21" si="76">+(AK21+Z21+O21+D21)/4</f>
        <v>1.552777778</v>
      </c>
      <c r="BG21" s="43">
        <f t="shared" si="76"/>
        <v>6.5</v>
      </c>
      <c r="BH21" s="43">
        <f t="shared" si="76"/>
        <v>3.5</v>
      </c>
      <c r="BI21" s="43">
        <f t="shared" si="76"/>
        <v>1.25</v>
      </c>
      <c r="BJ21" s="43">
        <f t="shared" si="76"/>
        <v>7.25</v>
      </c>
      <c r="BK21" s="43">
        <f t="shared" si="76"/>
        <v>4</v>
      </c>
      <c r="BL21" s="43">
        <f t="shared" si="76"/>
        <v>2</v>
      </c>
      <c r="BM21" s="43">
        <f t="shared" si="76"/>
        <v>3.75</v>
      </c>
      <c r="BN21" s="43">
        <f t="shared" si="76"/>
        <v>2.75</v>
      </c>
      <c r="BO21" s="63">
        <f t="shared" si="76"/>
        <v>0.75</v>
      </c>
      <c r="BP21" s="37">
        <f t="shared" si="8"/>
        <v>-0.5527777778</v>
      </c>
      <c r="BQ21" s="38">
        <f t="shared" si="9"/>
        <v>0.3</v>
      </c>
      <c r="BR21" s="38">
        <f t="shared" si="10"/>
        <v>0.4</v>
      </c>
      <c r="BS21" s="38">
        <f t="shared" si="11"/>
        <v>0.3</v>
      </c>
      <c r="BT21" s="38">
        <f t="shared" si="12"/>
        <v>0</v>
      </c>
      <c r="BU21" s="38">
        <f t="shared" si="13"/>
        <v>0</v>
      </c>
      <c r="BV21" s="38">
        <f t="shared" si="14"/>
        <v>0.7</v>
      </c>
      <c r="BW21" s="38">
        <f t="shared" ref="BW21:BX21" si="77">+BR21+BS21+BT21</f>
        <v>0.7</v>
      </c>
      <c r="BX21" s="39">
        <f t="shared" si="77"/>
        <v>0.3</v>
      </c>
    </row>
    <row r="22">
      <c r="A22" s="60"/>
      <c r="B22" s="40">
        <v>11.0</v>
      </c>
      <c r="C22" s="24">
        <v>1.0</v>
      </c>
      <c r="D22" s="27">
        <f t="shared" si="3"/>
        <v>1.727272727</v>
      </c>
      <c r="E22" s="24">
        <f t="shared" si="16"/>
        <v>7</v>
      </c>
      <c r="F22" s="2">
        <f t="shared" si="17"/>
        <v>6</v>
      </c>
      <c r="G22" s="24">
        <f t="shared" si="18"/>
        <v>2</v>
      </c>
      <c r="H22" s="24">
        <f t="shared" si="19"/>
        <v>8</v>
      </c>
      <c r="I22" s="24">
        <f t="shared" si="20"/>
        <v>7</v>
      </c>
      <c r="J22" s="24">
        <f t="shared" si="21"/>
        <v>2</v>
      </c>
      <c r="K22" s="24">
        <f t="shared" si="22"/>
        <v>2</v>
      </c>
      <c r="L22" s="24">
        <f t="shared" si="23"/>
        <v>5</v>
      </c>
      <c r="M22" s="28">
        <f t="shared" si="24"/>
        <v>1</v>
      </c>
      <c r="N22" s="24">
        <v>0.0</v>
      </c>
      <c r="O22" s="27">
        <f t="shared" si="4"/>
        <v>1.181818182</v>
      </c>
      <c r="P22" s="24">
        <f t="shared" si="25"/>
        <v>7</v>
      </c>
      <c r="Q22" s="2">
        <f t="shared" si="26"/>
        <v>4</v>
      </c>
      <c r="R22" s="24">
        <f t="shared" si="27"/>
        <v>1</v>
      </c>
      <c r="S22" s="24">
        <f t="shared" si="28"/>
        <v>8</v>
      </c>
      <c r="T22" s="24">
        <f t="shared" si="29"/>
        <v>4</v>
      </c>
      <c r="U22" s="24">
        <f t="shared" si="30"/>
        <v>3</v>
      </c>
      <c r="V22" s="24">
        <f t="shared" si="31"/>
        <v>4</v>
      </c>
      <c r="W22" s="24">
        <f t="shared" si="32"/>
        <v>3</v>
      </c>
      <c r="X22" s="28">
        <f t="shared" si="33"/>
        <v>1</v>
      </c>
      <c r="Y22" s="24">
        <v>2.0</v>
      </c>
      <c r="Z22" s="27">
        <f t="shared" si="5"/>
        <v>2</v>
      </c>
      <c r="AA22" s="24">
        <f t="shared" si="34"/>
        <v>8</v>
      </c>
      <c r="AB22" s="2">
        <f t="shared" si="35"/>
        <v>3</v>
      </c>
      <c r="AC22" s="24">
        <f t="shared" si="36"/>
        <v>1</v>
      </c>
      <c r="AD22" s="24">
        <f t="shared" si="37"/>
        <v>8</v>
      </c>
      <c r="AE22" s="24">
        <f t="shared" si="38"/>
        <v>4</v>
      </c>
      <c r="AF22" s="24">
        <f t="shared" si="39"/>
        <v>1</v>
      </c>
      <c r="AG22" s="24">
        <f t="shared" si="40"/>
        <v>5</v>
      </c>
      <c r="AH22" s="24">
        <f t="shared" si="41"/>
        <v>3</v>
      </c>
      <c r="AI22" s="28">
        <f t="shared" si="42"/>
        <v>0</v>
      </c>
      <c r="AJ22" s="24">
        <v>2.0</v>
      </c>
      <c r="AK22" s="27">
        <f t="shared" si="43"/>
        <v>1.2</v>
      </c>
      <c r="AL22" s="24">
        <f t="shared" si="44"/>
        <v>7</v>
      </c>
      <c r="AM22" s="2">
        <f t="shared" si="45"/>
        <v>3</v>
      </c>
      <c r="AN22" s="24">
        <f t="shared" si="46"/>
        <v>1</v>
      </c>
      <c r="AO22" s="24">
        <f t="shared" si="47"/>
        <v>8</v>
      </c>
      <c r="AP22" s="24">
        <f t="shared" si="48"/>
        <v>3</v>
      </c>
      <c r="AQ22" s="24">
        <f t="shared" si="49"/>
        <v>3</v>
      </c>
      <c r="AR22" s="24">
        <f t="shared" si="50"/>
        <v>5</v>
      </c>
      <c r="AS22" s="24">
        <f t="shared" si="51"/>
        <v>2</v>
      </c>
      <c r="AT22" s="28">
        <f t="shared" si="52"/>
        <v>1</v>
      </c>
      <c r="AU22" s="24">
        <v>2.0</v>
      </c>
      <c r="AV22" s="27">
        <f t="shared" si="6"/>
        <v>1.090909091</v>
      </c>
      <c r="AW22" s="24">
        <f t="shared" si="53"/>
        <v>8</v>
      </c>
      <c r="AX22" s="2">
        <f t="shared" si="54"/>
        <v>4</v>
      </c>
      <c r="AY22" s="24">
        <f t="shared" si="55"/>
        <v>0</v>
      </c>
      <c r="AZ22" s="24">
        <f t="shared" si="56"/>
        <v>8</v>
      </c>
      <c r="BA22" s="24">
        <f t="shared" si="57"/>
        <v>4</v>
      </c>
      <c r="BB22" s="24">
        <f t="shared" si="58"/>
        <v>3</v>
      </c>
      <c r="BC22" s="24">
        <f t="shared" si="59"/>
        <v>4</v>
      </c>
      <c r="BD22" s="24">
        <f t="shared" si="60"/>
        <v>4</v>
      </c>
      <c r="BE22" s="28">
        <f t="shared" si="61"/>
        <v>0</v>
      </c>
      <c r="BF22" s="29">
        <f t="shared" ref="BF22:BO22" si="78">+(AK22+Z22+O22+D22)/4</f>
        <v>1.527272727</v>
      </c>
      <c r="BG22" s="24">
        <f t="shared" si="78"/>
        <v>7.25</v>
      </c>
      <c r="BH22" s="24">
        <f t="shared" si="78"/>
        <v>4</v>
      </c>
      <c r="BI22" s="24">
        <f t="shared" si="78"/>
        <v>1.25</v>
      </c>
      <c r="BJ22" s="24">
        <f t="shared" si="78"/>
        <v>8</v>
      </c>
      <c r="BK22" s="24">
        <f t="shared" si="78"/>
        <v>4.5</v>
      </c>
      <c r="BL22" s="24">
        <f t="shared" si="78"/>
        <v>2.25</v>
      </c>
      <c r="BM22" s="24">
        <f t="shared" si="78"/>
        <v>4</v>
      </c>
      <c r="BN22" s="24">
        <f t="shared" si="78"/>
        <v>3.25</v>
      </c>
      <c r="BO22" s="61">
        <f t="shared" si="78"/>
        <v>0.75</v>
      </c>
      <c r="BP22" s="30">
        <f t="shared" si="8"/>
        <v>-0.4363636364</v>
      </c>
      <c r="BQ22" s="31">
        <f t="shared" si="9"/>
        <v>0.2727272727</v>
      </c>
      <c r="BR22" s="31">
        <f t="shared" si="10"/>
        <v>0.3636363636</v>
      </c>
      <c r="BS22" s="31">
        <f t="shared" si="11"/>
        <v>0.3636363636</v>
      </c>
      <c r="BT22" s="31">
        <f t="shared" si="12"/>
        <v>0</v>
      </c>
      <c r="BU22" s="31">
        <f t="shared" si="13"/>
        <v>0</v>
      </c>
      <c r="BV22" s="31">
        <f t="shared" si="14"/>
        <v>0.7272727273</v>
      </c>
      <c r="BW22" s="31">
        <f t="shared" ref="BW22:BX22" si="79">+BR22+BS22+BT22</f>
        <v>0.7272727273</v>
      </c>
      <c r="BX22" s="32">
        <f t="shared" si="79"/>
        <v>0.3636363636</v>
      </c>
      <c r="BY22" s="60"/>
    </row>
    <row r="23">
      <c r="B23" s="33">
        <v>12.0</v>
      </c>
      <c r="C23" s="2">
        <v>2.0</v>
      </c>
      <c r="D23" s="3">
        <f t="shared" si="3"/>
        <v>1.75</v>
      </c>
      <c r="E23" s="2">
        <f t="shared" si="16"/>
        <v>8</v>
      </c>
      <c r="F23" s="2">
        <f t="shared" si="17"/>
        <v>7</v>
      </c>
      <c r="G23" s="2">
        <f t="shared" si="18"/>
        <v>2</v>
      </c>
      <c r="H23" s="2">
        <f t="shared" si="19"/>
        <v>9</v>
      </c>
      <c r="I23" s="2">
        <f t="shared" si="20"/>
        <v>8</v>
      </c>
      <c r="J23" s="2">
        <f t="shared" si="21"/>
        <v>2</v>
      </c>
      <c r="K23" s="2">
        <f t="shared" si="22"/>
        <v>2</v>
      </c>
      <c r="L23" s="2">
        <f t="shared" si="23"/>
        <v>6</v>
      </c>
      <c r="M23" s="34">
        <f t="shared" si="24"/>
        <v>1</v>
      </c>
      <c r="N23" s="2">
        <v>3.0</v>
      </c>
      <c r="O23" s="3">
        <f t="shared" si="4"/>
        <v>1.333333333</v>
      </c>
      <c r="P23" s="2">
        <f t="shared" si="25"/>
        <v>7</v>
      </c>
      <c r="Q23" s="2">
        <f t="shared" si="26"/>
        <v>5</v>
      </c>
      <c r="R23" s="2">
        <f t="shared" si="27"/>
        <v>2</v>
      </c>
      <c r="S23" s="2">
        <f t="shared" si="28"/>
        <v>9</v>
      </c>
      <c r="T23" s="2">
        <f t="shared" si="29"/>
        <v>5</v>
      </c>
      <c r="U23" s="2">
        <f t="shared" si="30"/>
        <v>3</v>
      </c>
      <c r="V23" s="2">
        <f t="shared" si="31"/>
        <v>4</v>
      </c>
      <c r="W23" s="2">
        <f t="shared" si="32"/>
        <v>3</v>
      </c>
      <c r="X23" s="34">
        <f t="shared" si="33"/>
        <v>2</v>
      </c>
      <c r="Y23" s="2">
        <v>0.0</v>
      </c>
      <c r="Z23" s="3">
        <f t="shared" si="5"/>
        <v>1.833333333</v>
      </c>
      <c r="AA23" s="2">
        <f t="shared" si="34"/>
        <v>8</v>
      </c>
      <c r="AB23" s="2">
        <f t="shared" si="35"/>
        <v>3</v>
      </c>
      <c r="AC23" s="2">
        <f t="shared" si="36"/>
        <v>1</v>
      </c>
      <c r="AD23" s="2">
        <f t="shared" si="37"/>
        <v>8</v>
      </c>
      <c r="AE23" s="2">
        <f t="shared" si="38"/>
        <v>4</v>
      </c>
      <c r="AF23" s="2">
        <f t="shared" si="39"/>
        <v>2</v>
      </c>
      <c r="AG23" s="2">
        <f t="shared" si="40"/>
        <v>5</v>
      </c>
      <c r="AH23" s="2">
        <f t="shared" si="41"/>
        <v>3</v>
      </c>
      <c r="AI23" s="34">
        <f t="shared" si="42"/>
        <v>0</v>
      </c>
      <c r="AJ23" s="2">
        <v>2.0</v>
      </c>
      <c r="AK23" s="3">
        <f t="shared" si="43"/>
        <v>1.272727273</v>
      </c>
      <c r="AL23" s="2">
        <f t="shared" si="44"/>
        <v>8</v>
      </c>
      <c r="AM23" s="2">
        <f t="shared" si="45"/>
        <v>4</v>
      </c>
      <c r="AN23" s="2">
        <f t="shared" si="46"/>
        <v>1</v>
      </c>
      <c r="AO23" s="2">
        <f t="shared" si="47"/>
        <v>9</v>
      </c>
      <c r="AP23" s="2">
        <f t="shared" si="48"/>
        <v>4</v>
      </c>
      <c r="AQ23" s="2">
        <f t="shared" si="49"/>
        <v>3</v>
      </c>
      <c r="AR23" s="2">
        <f t="shared" si="50"/>
        <v>5</v>
      </c>
      <c r="AS23" s="2">
        <f t="shared" si="51"/>
        <v>3</v>
      </c>
      <c r="AT23" s="34">
        <f t="shared" si="52"/>
        <v>1</v>
      </c>
      <c r="AU23" s="2">
        <v>3.0</v>
      </c>
      <c r="AV23" s="3">
        <f t="shared" si="6"/>
        <v>1.25</v>
      </c>
      <c r="AW23" s="2">
        <f t="shared" si="53"/>
        <v>8</v>
      </c>
      <c r="AX23" s="2">
        <f t="shared" si="54"/>
        <v>5</v>
      </c>
      <c r="AY23" s="2">
        <f t="shared" si="55"/>
        <v>1</v>
      </c>
      <c r="AZ23" s="2">
        <f t="shared" si="56"/>
        <v>9</v>
      </c>
      <c r="BA23" s="2">
        <f t="shared" si="57"/>
        <v>5</v>
      </c>
      <c r="BB23" s="2">
        <f t="shared" si="58"/>
        <v>3</v>
      </c>
      <c r="BC23" s="2">
        <f t="shared" si="59"/>
        <v>4</v>
      </c>
      <c r="BD23" s="2">
        <f t="shared" si="60"/>
        <v>4</v>
      </c>
      <c r="BE23" s="34">
        <f t="shared" si="61"/>
        <v>1</v>
      </c>
      <c r="BF23" s="36">
        <f t="shared" ref="BF23:BO23" si="80">+(AK23+Z23+O23+D23)/4</f>
        <v>1.547348485</v>
      </c>
      <c r="BG23" s="2">
        <f t="shared" si="80"/>
        <v>7.75</v>
      </c>
      <c r="BH23" s="2">
        <f t="shared" si="80"/>
        <v>4.75</v>
      </c>
      <c r="BI23" s="2">
        <f t="shared" si="80"/>
        <v>1.5</v>
      </c>
      <c r="BJ23" s="2">
        <f t="shared" si="80"/>
        <v>8.75</v>
      </c>
      <c r="BK23" s="2">
        <f t="shared" si="80"/>
        <v>5.25</v>
      </c>
      <c r="BL23" s="2">
        <f t="shared" si="80"/>
        <v>2.5</v>
      </c>
      <c r="BM23" s="2">
        <f t="shared" si="80"/>
        <v>4</v>
      </c>
      <c r="BN23" s="2">
        <f t="shared" si="80"/>
        <v>3.75</v>
      </c>
      <c r="BO23" s="62">
        <f t="shared" si="80"/>
        <v>1</v>
      </c>
      <c r="BP23" s="37">
        <f t="shared" si="8"/>
        <v>-0.2973484848</v>
      </c>
      <c r="BQ23" s="38">
        <f t="shared" si="9"/>
        <v>0.25</v>
      </c>
      <c r="BR23" s="38">
        <f t="shared" si="10"/>
        <v>0.3333333333</v>
      </c>
      <c r="BS23" s="38">
        <f t="shared" si="11"/>
        <v>0.3333333333</v>
      </c>
      <c r="BT23" s="38">
        <f t="shared" si="12"/>
        <v>0.08333333333</v>
      </c>
      <c r="BU23" s="38">
        <f t="shared" si="13"/>
        <v>0</v>
      </c>
      <c r="BV23" s="38">
        <f t="shared" si="14"/>
        <v>0.75</v>
      </c>
      <c r="BW23" s="38">
        <f t="shared" ref="BW23:BX23" si="81">+BR23+BS23+BT23</f>
        <v>0.75</v>
      </c>
      <c r="BX23" s="39">
        <f t="shared" si="81"/>
        <v>0.4166666667</v>
      </c>
    </row>
    <row r="24" ht="15.75" customHeight="1">
      <c r="A24" s="60"/>
      <c r="B24" s="40">
        <v>13.0</v>
      </c>
      <c r="C24" s="24">
        <v>2.0</v>
      </c>
      <c r="D24" s="27">
        <f t="shared" si="3"/>
        <v>1.769230769</v>
      </c>
      <c r="E24" s="24">
        <f t="shared" si="16"/>
        <v>9</v>
      </c>
      <c r="F24" s="2">
        <f t="shared" si="17"/>
        <v>8</v>
      </c>
      <c r="G24" s="24">
        <f t="shared" si="18"/>
        <v>2</v>
      </c>
      <c r="H24" s="24">
        <f t="shared" si="19"/>
        <v>10</v>
      </c>
      <c r="I24" s="24">
        <f t="shared" si="20"/>
        <v>9</v>
      </c>
      <c r="J24" s="24">
        <f t="shared" si="21"/>
        <v>2</v>
      </c>
      <c r="K24" s="24">
        <f t="shared" si="22"/>
        <v>2</v>
      </c>
      <c r="L24" s="24">
        <f t="shared" si="23"/>
        <v>7</v>
      </c>
      <c r="M24" s="28">
        <f t="shared" si="24"/>
        <v>1</v>
      </c>
      <c r="N24" s="24">
        <v>0.0</v>
      </c>
      <c r="O24" s="27">
        <f t="shared" si="4"/>
        <v>1.230769231</v>
      </c>
      <c r="P24" s="24">
        <f t="shared" si="25"/>
        <v>7</v>
      </c>
      <c r="Q24" s="2">
        <f t="shared" si="26"/>
        <v>5</v>
      </c>
      <c r="R24" s="24">
        <f t="shared" si="27"/>
        <v>2</v>
      </c>
      <c r="S24" s="24">
        <f t="shared" si="28"/>
        <v>9</v>
      </c>
      <c r="T24" s="24">
        <f t="shared" si="29"/>
        <v>5</v>
      </c>
      <c r="U24" s="24">
        <f t="shared" si="30"/>
        <v>4</v>
      </c>
      <c r="V24" s="24">
        <f t="shared" si="31"/>
        <v>4</v>
      </c>
      <c r="W24" s="24">
        <f t="shared" si="32"/>
        <v>3</v>
      </c>
      <c r="X24" s="28">
        <f t="shared" si="33"/>
        <v>2</v>
      </c>
      <c r="Y24" s="24">
        <v>3.0</v>
      </c>
      <c r="Z24" s="27">
        <f t="shared" si="5"/>
        <v>1.923076923</v>
      </c>
      <c r="AA24" s="24">
        <f t="shared" si="34"/>
        <v>8</v>
      </c>
      <c r="AB24" s="2">
        <f t="shared" si="35"/>
        <v>4</v>
      </c>
      <c r="AC24" s="24">
        <f t="shared" si="36"/>
        <v>2</v>
      </c>
      <c r="AD24" s="24">
        <f t="shared" si="37"/>
        <v>9</v>
      </c>
      <c r="AE24" s="24">
        <f t="shared" si="38"/>
        <v>5</v>
      </c>
      <c r="AF24" s="24">
        <f t="shared" si="39"/>
        <v>2</v>
      </c>
      <c r="AG24" s="24">
        <f t="shared" si="40"/>
        <v>5</v>
      </c>
      <c r="AH24" s="24">
        <f t="shared" si="41"/>
        <v>3</v>
      </c>
      <c r="AI24" s="28">
        <f t="shared" si="42"/>
        <v>1</v>
      </c>
      <c r="AJ24" s="24">
        <v>0.0</v>
      </c>
      <c r="AK24" s="27">
        <f t="shared" si="43"/>
        <v>1.166666667</v>
      </c>
      <c r="AL24" s="24">
        <f t="shared" si="44"/>
        <v>8</v>
      </c>
      <c r="AM24" s="2">
        <f t="shared" si="45"/>
        <v>4</v>
      </c>
      <c r="AN24" s="24">
        <f t="shared" si="46"/>
        <v>1</v>
      </c>
      <c r="AO24" s="24">
        <f t="shared" si="47"/>
        <v>9</v>
      </c>
      <c r="AP24" s="24">
        <f t="shared" si="48"/>
        <v>4</v>
      </c>
      <c r="AQ24" s="24">
        <f t="shared" si="49"/>
        <v>4</v>
      </c>
      <c r="AR24" s="24">
        <f t="shared" si="50"/>
        <v>5</v>
      </c>
      <c r="AS24" s="24">
        <f t="shared" si="51"/>
        <v>3</v>
      </c>
      <c r="AT24" s="28">
        <f t="shared" si="52"/>
        <v>1</v>
      </c>
      <c r="AU24" s="24">
        <v>0.0</v>
      </c>
      <c r="AV24" s="27">
        <f t="shared" si="6"/>
        <v>1.153846154</v>
      </c>
      <c r="AW24" s="24">
        <f t="shared" si="53"/>
        <v>8</v>
      </c>
      <c r="AX24" s="2">
        <f t="shared" si="54"/>
        <v>5</v>
      </c>
      <c r="AY24" s="24">
        <f t="shared" si="55"/>
        <v>1</v>
      </c>
      <c r="AZ24" s="24">
        <f t="shared" si="56"/>
        <v>9</v>
      </c>
      <c r="BA24" s="24">
        <f t="shared" si="57"/>
        <v>5</v>
      </c>
      <c r="BB24" s="24">
        <f t="shared" si="58"/>
        <v>4</v>
      </c>
      <c r="BC24" s="24">
        <f t="shared" si="59"/>
        <v>4</v>
      </c>
      <c r="BD24" s="24">
        <f t="shared" si="60"/>
        <v>4</v>
      </c>
      <c r="BE24" s="28">
        <f t="shared" si="61"/>
        <v>1</v>
      </c>
      <c r="BF24" s="29">
        <f t="shared" ref="BF24:BO24" si="82">+(AK24+Z24+O24+D24)/4</f>
        <v>1.522435897</v>
      </c>
      <c r="BG24" s="24">
        <f t="shared" si="82"/>
        <v>8</v>
      </c>
      <c r="BH24" s="24">
        <f t="shared" si="82"/>
        <v>5.25</v>
      </c>
      <c r="BI24" s="24">
        <f t="shared" si="82"/>
        <v>1.75</v>
      </c>
      <c r="BJ24" s="24">
        <f t="shared" si="82"/>
        <v>9.25</v>
      </c>
      <c r="BK24" s="24">
        <f t="shared" si="82"/>
        <v>5.75</v>
      </c>
      <c r="BL24" s="24">
        <f t="shared" si="82"/>
        <v>3</v>
      </c>
      <c r="BM24" s="24">
        <f t="shared" si="82"/>
        <v>4</v>
      </c>
      <c r="BN24" s="24">
        <f t="shared" si="82"/>
        <v>4</v>
      </c>
      <c r="BO24" s="61">
        <f t="shared" si="82"/>
        <v>1.25</v>
      </c>
      <c r="BP24" s="30">
        <f t="shared" si="8"/>
        <v>-0.3685897436</v>
      </c>
      <c r="BQ24" s="31">
        <f t="shared" si="9"/>
        <v>0.3076923077</v>
      </c>
      <c r="BR24" s="31">
        <f t="shared" si="10"/>
        <v>0.3076923077</v>
      </c>
      <c r="BS24" s="31">
        <f t="shared" si="11"/>
        <v>0.3076923077</v>
      </c>
      <c r="BT24" s="31">
        <f t="shared" si="12"/>
        <v>0.07692307692</v>
      </c>
      <c r="BU24" s="31">
        <f t="shared" si="13"/>
        <v>0</v>
      </c>
      <c r="BV24" s="31">
        <f t="shared" si="14"/>
        <v>0.6923076923</v>
      </c>
      <c r="BW24" s="31">
        <f t="shared" ref="BW24:BX24" si="83">+BR24+BS24+BT24</f>
        <v>0.6923076923</v>
      </c>
      <c r="BX24" s="32">
        <f t="shared" si="83"/>
        <v>0.3846153846</v>
      </c>
      <c r="BY24" s="60"/>
    </row>
    <row r="25">
      <c r="B25" s="33">
        <v>14.0</v>
      </c>
      <c r="C25" s="2">
        <v>1.0</v>
      </c>
      <c r="D25" s="3">
        <f t="shared" si="3"/>
        <v>1.714285714</v>
      </c>
      <c r="E25" s="2">
        <f t="shared" si="16"/>
        <v>10</v>
      </c>
      <c r="F25" s="2">
        <f t="shared" si="17"/>
        <v>8</v>
      </c>
      <c r="G25" s="2">
        <f t="shared" si="18"/>
        <v>2</v>
      </c>
      <c r="H25" s="2">
        <f t="shared" si="19"/>
        <v>11</v>
      </c>
      <c r="I25" s="2">
        <f t="shared" si="20"/>
        <v>9</v>
      </c>
      <c r="J25" s="2">
        <f t="shared" si="21"/>
        <v>2</v>
      </c>
      <c r="K25" s="2">
        <f t="shared" si="22"/>
        <v>3</v>
      </c>
      <c r="L25" s="2">
        <f t="shared" si="23"/>
        <v>7</v>
      </c>
      <c r="M25" s="34">
        <f t="shared" si="24"/>
        <v>1</v>
      </c>
      <c r="N25" s="2">
        <v>1.0</v>
      </c>
      <c r="O25" s="3">
        <f t="shared" si="4"/>
        <v>1.214285714</v>
      </c>
      <c r="P25" s="2">
        <f t="shared" si="25"/>
        <v>8</v>
      </c>
      <c r="Q25" s="2">
        <f t="shared" si="26"/>
        <v>5</v>
      </c>
      <c r="R25" s="2">
        <f t="shared" si="27"/>
        <v>2</v>
      </c>
      <c r="S25" s="2">
        <f t="shared" si="28"/>
        <v>10</v>
      </c>
      <c r="T25" s="2">
        <f t="shared" si="29"/>
        <v>5</v>
      </c>
      <c r="U25" s="2">
        <f t="shared" si="30"/>
        <v>4</v>
      </c>
      <c r="V25" s="2">
        <f t="shared" si="31"/>
        <v>5</v>
      </c>
      <c r="W25" s="2">
        <f t="shared" si="32"/>
        <v>3</v>
      </c>
      <c r="X25" s="34">
        <f t="shared" si="33"/>
        <v>2</v>
      </c>
      <c r="Y25" s="2">
        <v>2.0</v>
      </c>
      <c r="Z25" s="3">
        <f t="shared" si="5"/>
        <v>1.928571429</v>
      </c>
      <c r="AA25" s="2">
        <f t="shared" si="34"/>
        <v>9</v>
      </c>
      <c r="AB25" s="2">
        <f t="shared" si="35"/>
        <v>5</v>
      </c>
      <c r="AC25" s="2">
        <f t="shared" si="36"/>
        <v>2</v>
      </c>
      <c r="AD25" s="2">
        <f t="shared" si="37"/>
        <v>10</v>
      </c>
      <c r="AE25" s="2">
        <f t="shared" si="38"/>
        <v>6</v>
      </c>
      <c r="AF25" s="2">
        <f t="shared" si="39"/>
        <v>2</v>
      </c>
      <c r="AG25" s="2">
        <f t="shared" si="40"/>
        <v>5</v>
      </c>
      <c r="AH25" s="2">
        <f t="shared" si="41"/>
        <v>4</v>
      </c>
      <c r="AI25" s="34">
        <f t="shared" si="42"/>
        <v>1</v>
      </c>
      <c r="AJ25" s="2">
        <v>0.0</v>
      </c>
      <c r="AK25" s="3">
        <f t="shared" si="43"/>
        <v>1.076923077</v>
      </c>
      <c r="AL25" s="2">
        <f t="shared" si="44"/>
        <v>8</v>
      </c>
      <c r="AM25" s="2">
        <f t="shared" si="45"/>
        <v>4</v>
      </c>
      <c r="AN25" s="2">
        <f t="shared" si="46"/>
        <v>1</v>
      </c>
      <c r="AO25" s="2">
        <f t="shared" si="47"/>
        <v>9</v>
      </c>
      <c r="AP25" s="2">
        <f t="shared" si="48"/>
        <v>4</v>
      </c>
      <c r="AQ25" s="2">
        <f t="shared" si="49"/>
        <v>5</v>
      </c>
      <c r="AR25" s="2">
        <f t="shared" si="50"/>
        <v>5</v>
      </c>
      <c r="AS25" s="2">
        <f t="shared" si="51"/>
        <v>3</v>
      </c>
      <c r="AT25" s="34">
        <f t="shared" si="52"/>
        <v>1</v>
      </c>
      <c r="AU25" s="2">
        <v>0.0</v>
      </c>
      <c r="AV25" s="3">
        <f t="shared" si="6"/>
        <v>1.071428571</v>
      </c>
      <c r="AW25" s="2">
        <f t="shared" si="53"/>
        <v>8</v>
      </c>
      <c r="AX25" s="2">
        <f t="shared" si="54"/>
        <v>5</v>
      </c>
      <c r="AY25" s="2">
        <f t="shared" si="55"/>
        <v>1</v>
      </c>
      <c r="AZ25" s="2">
        <f t="shared" si="56"/>
        <v>9</v>
      </c>
      <c r="BA25" s="2">
        <f t="shared" si="57"/>
        <v>5</v>
      </c>
      <c r="BB25" s="2">
        <f t="shared" si="58"/>
        <v>5</v>
      </c>
      <c r="BC25" s="2">
        <f t="shared" si="59"/>
        <v>4</v>
      </c>
      <c r="BD25" s="2">
        <f t="shared" si="60"/>
        <v>4</v>
      </c>
      <c r="BE25" s="34">
        <f t="shared" si="61"/>
        <v>1</v>
      </c>
      <c r="BF25" s="36">
        <f t="shared" ref="BF25:BO25" si="84">+(AK25+Z25+O25+D25)/4</f>
        <v>1.483516484</v>
      </c>
      <c r="BG25" s="2">
        <f t="shared" si="84"/>
        <v>8.75</v>
      </c>
      <c r="BH25" s="2">
        <f t="shared" si="84"/>
        <v>5.5</v>
      </c>
      <c r="BI25" s="2">
        <f t="shared" si="84"/>
        <v>1.75</v>
      </c>
      <c r="BJ25" s="2">
        <f t="shared" si="84"/>
        <v>10</v>
      </c>
      <c r="BK25" s="2">
        <f t="shared" si="84"/>
        <v>6</v>
      </c>
      <c r="BL25" s="2">
        <f t="shared" si="84"/>
        <v>3.25</v>
      </c>
      <c r="BM25" s="2">
        <f t="shared" si="84"/>
        <v>4.5</v>
      </c>
      <c r="BN25" s="2">
        <f t="shared" si="84"/>
        <v>4.25</v>
      </c>
      <c r="BO25" s="62">
        <f t="shared" si="84"/>
        <v>1.25</v>
      </c>
      <c r="BP25" s="37">
        <f t="shared" si="8"/>
        <v>-0.4120879121</v>
      </c>
      <c r="BQ25" s="38">
        <f t="shared" si="9"/>
        <v>0.3571428571</v>
      </c>
      <c r="BR25" s="38">
        <f t="shared" si="10"/>
        <v>0.2857142857</v>
      </c>
      <c r="BS25" s="38">
        <f t="shared" si="11"/>
        <v>0.2857142857</v>
      </c>
      <c r="BT25" s="38">
        <f t="shared" si="12"/>
        <v>0.07142857143</v>
      </c>
      <c r="BU25" s="38">
        <f t="shared" si="13"/>
        <v>0</v>
      </c>
      <c r="BV25" s="38">
        <f t="shared" si="14"/>
        <v>0.6428571429</v>
      </c>
      <c r="BW25" s="38">
        <f t="shared" ref="BW25:BX25" si="85">+BR25+BS25+BT25</f>
        <v>0.6428571429</v>
      </c>
      <c r="BX25" s="39">
        <f t="shared" si="85"/>
        <v>0.3571428571</v>
      </c>
    </row>
    <row r="26">
      <c r="A26" s="60"/>
      <c r="B26" s="40">
        <v>15.0</v>
      </c>
      <c r="C26" s="24">
        <v>0.0</v>
      </c>
      <c r="D26" s="27">
        <f t="shared" si="3"/>
        <v>1.6</v>
      </c>
      <c r="E26" s="24">
        <f t="shared" si="16"/>
        <v>10</v>
      </c>
      <c r="F26" s="2">
        <f t="shared" si="17"/>
        <v>8</v>
      </c>
      <c r="G26" s="24">
        <f t="shared" si="18"/>
        <v>2</v>
      </c>
      <c r="H26" s="24">
        <f t="shared" si="19"/>
        <v>11</v>
      </c>
      <c r="I26" s="24">
        <f t="shared" si="20"/>
        <v>9</v>
      </c>
      <c r="J26" s="24">
        <f t="shared" si="21"/>
        <v>3</v>
      </c>
      <c r="K26" s="24">
        <f t="shared" si="22"/>
        <v>3</v>
      </c>
      <c r="L26" s="24">
        <f t="shared" si="23"/>
        <v>7</v>
      </c>
      <c r="M26" s="28">
        <f t="shared" si="24"/>
        <v>1</v>
      </c>
      <c r="N26" s="24">
        <v>1.0</v>
      </c>
      <c r="O26" s="27">
        <f t="shared" si="4"/>
        <v>1.2</v>
      </c>
      <c r="P26" s="24">
        <f t="shared" si="25"/>
        <v>9</v>
      </c>
      <c r="Q26" s="2">
        <f t="shared" si="26"/>
        <v>5</v>
      </c>
      <c r="R26" s="24">
        <f t="shared" si="27"/>
        <v>2</v>
      </c>
      <c r="S26" s="24">
        <f t="shared" si="28"/>
        <v>11</v>
      </c>
      <c r="T26" s="24">
        <f t="shared" si="29"/>
        <v>5</v>
      </c>
      <c r="U26" s="24">
        <f t="shared" si="30"/>
        <v>4</v>
      </c>
      <c r="V26" s="24">
        <f t="shared" si="31"/>
        <v>6</v>
      </c>
      <c r="W26" s="24">
        <f t="shared" si="32"/>
        <v>3</v>
      </c>
      <c r="X26" s="28">
        <f t="shared" si="33"/>
        <v>2</v>
      </c>
      <c r="Y26" s="24">
        <v>1.0</v>
      </c>
      <c r="Z26" s="27">
        <f t="shared" si="5"/>
        <v>1.866666667</v>
      </c>
      <c r="AA26" s="24">
        <f t="shared" si="34"/>
        <v>10</v>
      </c>
      <c r="AB26" s="2">
        <f t="shared" si="35"/>
        <v>5</v>
      </c>
      <c r="AC26" s="24">
        <f t="shared" si="36"/>
        <v>2</v>
      </c>
      <c r="AD26" s="24">
        <f t="shared" si="37"/>
        <v>11</v>
      </c>
      <c r="AE26" s="24">
        <f t="shared" si="38"/>
        <v>6</v>
      </c>
      <c r="AF26" s="24">
        <f t="shared" si="39"/>
        <v>2</v>
      </c>
      <c r="AG26" s="24">
        <f t="shared" si="40"/>
        <v>6</v>
      </c>
      <c r="AH26" s="24">
        <f t="shared" si="41"/>
        <v>4</v>
      </c>
      <c r="AI26" s="28">
        <f t="shared" si="42"/>
        <v>1</v>
      </c>
      <c r="AJ26" s="24">
        <v>4.0</v>
      </c>
      <c r="AK26" s="27">
        <f t="shared" si="43"/>
        <v>1.285714286</v>
      </c>
      <c r="AL26" s="24">
        <f t="shared" si="44"/>
        <v>8</v>
      </c>
      <c r="AM26" s="2">
        <f t="shared" si="45"/>
        <v>4</v>
      </c>
      <c r="AN26" s="24">
        <f t="shared" si="46"/>
        <v>2</v>
      </c>
      <c r="AO26" s="24">
        <f t="shared" si="47"/>
        <v>9</v>
      </c>
      <c r="AP26" s="24">
        <f t="shared" si="48"/>
        <v>5</v>
      </c>
      <c r="AQ26" s="24">
        <f t="shared" si="49"/>
        <v>5</v>
      </c>
      <c r="AR26" s="24">
        <f t="shared" si="50"/>
        <v>5</v>
      </c>
      <c r="AS26" s="24">
        <f t="shared" si="51"/>
        <v>3</v>
      </c>
      <c r="AT26" s="28">
        <f t="shared" si="52"/>
        <v>1</v>
      </c>
      <c r="AU26" s="24">
        <v>1.0</v>
      </c>
      <c r="AV26" s="27">
        <f t="shared" si="6"/>
        <v>1.066666667</v>
      </c>
      <c r="AW26" s="24">
        <f t="shared" si="53"/>
        <v>9</v>
      </c>
      <c r="AX26" s="2">
        <f t="shared" si="54"/>
        <v>5</v>
      </c>
      <c r="AY26" s="24">
        <f t="shared" si="55"/>
        <v>1</v>
      </c>
      <c r="AZ26" s="24">
        <f t="shared" si="56"/>
        <v>10</v>
      </c>
      <c r="BA26" s="24">
        <f t="shared" si="57"/>
        <v>5</v>
      </c>
      <c r="BB26" s="24">
        <f t="shared" si="58"/>
        <v>5</v>
      </c>
      <c r="BC26" s="24">
        <f t="shared" si="59"/>
        <v>5</v>
      </c>
      <c r="BD26" s="24">
        <f t="shared" si="60"/>
        <v>4</v>
      </c>
      <c r="BE26" s="28">
        <f t="shared" si="61"/>
        <v>1</v>
      </c>
      <c r="BF26" s="29">
        <f t="shared" ref="BF26:BO26" si="86">+(AK26+Z26+O26+D26)/4</f>
        <v>1.488095238</v>
      </c>
      <c r="BG26" s="24">
        <f t="shared" si="86"/>
        <v>9.25</v>
      </c>
      <c r="BH26" s="24">
        <f t="shared" si="86"/>
        <v>5.5</v>
      </c>
      <c r="BI26" s="24">
        <f t="shared" si="86"/>
        <v>2</v>
      </c>
      <c r="BJ26" s="24">
        <f t="shared" si="86"/>
        <v>10.5</v>
      </c>
      <c r="BK26" s="24">
        <f t="shared" si="86"/>
        <v>6.25</v>
      </c>
      <c r="BL26" s="24">
        <f t="shared" si="86"/>
        <v>3.5</v>
      </c>
      <c r="BM26" s="24">
        <f t="shared" si="86"/>
        <v>5</v>
      </c>
      <c r="BN26" s="24">
        <f t="shared" si="86"/>
        <v>4.25</v>
      </c>
      <c r="BO26" s="61">
        <f t="shared" si="86"/>
        <v>1.25</v>
      </c>
      <c r="BP26" s="30">
        <f t="shared" si="8"/>
        <v>-0.4214285714</v>
      </c>
      <c r="BQ26" s="31">
        <f t="shared" si="9"/>
        <v>0.3333333333</v>
      </c>
      <c r="BR26" s="31">
        <f t="shared" si="10"/>
        <v>0.3333333333</v>
      </c>
      <c r="BS26" s="31">
        <f t="shared" si="11"/>
        <v>0.2666666667</v>
      </c>
      <c r="BT26" s="31">
        <f t="shared" si="12"/>
        <v>0.06666666667</v>
      </c>
      <c r="BU26" s="31">
        <f t="shared" si="13"/>
        <v>0</v>
      </c>
      <c r="BV26" s="31">
        <f t="shared" si="14"/>
        <v>0.6666666667</v>
      </c>
      <c r="BW26" s="31">
        <f t="shared" ref="BW26:BX26" si="87">+BR26+BS26+BT26</f>
        <v>0.6666666667</v>
      </c>
      <c r="BX26" s="32">
        <f t="shared" si="87"/>
        <v>0.3333333333</v>
      </c>
      <c r="BY26" s="60"/>
    </row>
    <row r="27">
      <c r="B27" s="33">
        <v>16.0</v>
      </c>
      <c r="C27" s="2">
        <v>0.0</v>
      </c>
      <c r="D27" s="3">
        <f t="shared" si="3"/>
        <v>1.5</v>
      </c>
      <c r="E27" s="2">
        <f t="shared" si="16"/>
        <v>10</v>
      </c>
      <c r="F27" s="2">
        <f t="shared" si="17"/>
        <v>8</v>
      </c>
      <c r="G27" s="2">
        <f t="shared" si="18"/>
        <v>2</v>
      </c>
      <c r="H27" s="2">
        <f t="shared" si="19"/>
        <v>11</v>
      </c>
      <c r="I27" s="2">
        <f t="shared" si="20"/>
        <v>9</v>
      </c>
      <c r="J27" s="2">
        <f t="shared" si="21"/>
        <v>4</v>
      </c>
      <c r="K27" s="2">
        <f t="shared" si="22"/>
        <v>3</v>
      </c>
      <c r="L27" s="2">
        <f t="shared" si="23"/>
        <v>7</v>
      </c>
      <c r="M27" s="34">
        <f t="shared" si="24"/>
        <v>1</v>
      </c>
      <c r="N27" s="2">
        <v>1.0</v>
      </c>
      <c r="O27" s="3">
        <f t="shared" si="4"/>
        <v>1.1875</v>
      </c>
      <c r="P27" s="2">
        <f t="shared" si="25"/>
        <v>10</v>
      </c>
      <c r="Q27" s="2">
        <f t="shared" si="26"/>
        <v>5</v>
      </c>
      <c r="R27" s="2">
        <f t="shared" si="27"/>
        <v>2</v>
      </c>
      <c r="S27" s="2">
        <f t="shared" si="28"/>
        <v>12</v>
      </c>
      <c r="T27" s="2">
        <f t="shared" si="29"/>
        <v>5</v>
      </c>
      <c r="U27" s="2">
        <f t="shared" si="30"/>
        <v>4</v>
      </c>
      <c r="V27" s="2">
        <f t="shared" si="31"/>
        <v>7</v>
      </c>
      <c r="W27" s="2">
        <f t="shared" si="32"/>
        <v>3</v>
      </c>
      <c r="X27" s="34">
        <f t="shared" si="33"/>
        <v>2</v>
      </c>
      <c r="Y27" s="2">
        <v>0.0</v>
      </c>
      <c r="Z27" s="3">
        <f t="shared" si="5"/>
        <v>1.75</v>
      </c>
      <c r="AA27" s="2">
        <f t="shared" si="34"/>
        <v>10</v>
      </c>
      <c r="AB27" s="2">
        <f t="shared" si="35"/>
        <v>5</v>
      </c>
      <c r="AC27" s="2">
        <f t="shared" si="36"/>
        <v>2</v>
      </c>
      <c r="AD27" s="2">
        <f t="shared" si="37"/>
        <v>11</v>
      </c>
      <c r="AE27" s="2">
        <f t="shared" si="38"/>
        <v>6</v>
      </c>
      <c r="AF27" s="2">
        <f t="shared" si="39"/>
        <v>3</v>
      </c>
      <c r="AG27" s="2">
        <f t="shared" si="40"/>
        <v>6</v>
      </c>
      <c r="AH27" s="2">
        <f t="shared" si="41"/>
        <v>4</v>
      </c>
      <c r="AI27" s="34">
        <f t="shared" si="42"/>
        <v>1</v>
      </c>
      <c r="AJ27" s="2">
        <v>0.0</v>
      </c>
      <c r="AK27" s="3">
        <f t="shared" si="43"/>
        <v>1.2</v>
      </c>
      <c r="AL27" s="2">
        <f t="shared" si="44"/>
        <v>8</v>
      </c>
      <c r="AM27" s="2">
        <f t="shared" si="45"/>
        <v>4</v>
      </c>
      <c r="AN27" s="2">
        <f t="shared" si="46"/>
        <v>2</v>
      </c>
      <c r="AO27" s="2">
        <f t="shared" si="47"/>
        <v>9</v>
      </c>
      <c r="AP27" s="2">
        <f t="shared" si="48"/>
        <v>5</v>
      </c>
      <c r="AQ27" s="2">
        <f t="shared" si="49"/>
        <v>6</v>
      </c>
      <c r="AR27" s="2">
        <f t="shared" si="50"/>
        <v>5</v>
      </c>
      <c r="AS27" s="2">
        <f t="shared" si="51"/>
        <v>3</v>
      </c>
      <c r="AT27" s="34">
        <f t="shared" si="52"/>
        <v>1</v>
      </c>
      <c r="AU27" s="2">
        <v>1.0</v>
      </c>
      <c r="AV27" s="3">
        <f t="shared" si="6"/>
        <v>1.0625</v>
      </c>
      <c r="AW27" s="2">
        <f t="shared" si="53"/>
        <v>10</v>
      </c>
      <c r="AX27" s="2">
        <f t="shared" si="54"/>
        <v>5</v>
      </c>
      <c r="AY27" s="2">
        <f t="shared" si="55"/>
        <v>1</v>
      </c>
      <c r="AZ27" s="2">
        <f t="shared" si="56"/>
        <v>11</v>
      </c>
      <c r="BA27" s="2">
        <f t="shared" si="57"/>
        <v>5</v>
      </c>
      <c r="BB27" s="2">
        <f t="shared" si="58"/>
        <v>5</v>
      </c>
      <c r="BC27" s="2">
        <f t="shared" si="59"/>
        <v>6</v>
      </c>
      <c r="BD27" s="2">
        <f t="shared" si="60"/>
        <v>4</v>
      </c>
      <c r="BE27" s="34">
        <f t="shared" si="61"/>
        <v>1</v>
      </c>
      <c r="BF27" s="36">
        <f t="shared" ref="BF27:BO27" si="88">+(AK27+Z27+O27+D27)/4</f>
        <v>1.409375</v>
      </c>
      <c r="BG27" s="2">
        <f t="shared" si="88"/>
        <v>9.5</v>
      </c>
      <c r="BH27" s="2">
        <f t="shared" si="88"/>
        <v>5.5</v>
      </c>
      <c r="BI27" s="2">
        <f t="shared" si="88"/>
        <v>2</v>
      </c>
      <c r="BJ27" s="2">
        <f t="shared" si="88"/>
        <v>10.75</v>
      </c>
      <c r="BK27" s="2">
        <f t="shared" si="88"/>
        <v>6.25</v>
      </c>
      <c r="BL27" s="2">
        <f t="shared" si="88"/>
        <v>4.25</v>
      </c>
      <c r="BM27" s="2">
        <f t="shared" si="88"/>
        <v>5.25</v>
      </c>
      <c r="BN27" s="2">
        <f t="shared" si="88"/>
        <v>4.25</v>
      </c>
      <c r="BO27" s="62">
        <f t="shared" si="88"/>
        <v>1.25</v>
      </c>
      <c r="BP27" s="37">
        <f t="shared" si="8"/>
        <v>-0.346875</v>
      </c>
      <c r="BQ27" s="38">
        <f t="shared" si="9"/>
        <v>0.3125</v>
      </c>
      <c r="BR27" s="38">
        <f t="shared" si="10"/>
        <v>0.375</v>
      </c>
      <c r="BS27" s="38">
        <f t="shared" si="11"/>
        <v>0.25</v>
      </c>
      <c r="BT27" s="38">
        <f t="shared" si="12"/>
        <v>0.0625</v>
      </c>
      <c r="BU27" s="38">
        <f t="shared" si="13"/>
        <v>0</v>
      </c>
      <c r="BV27" s="38">
        <f t="shared" si="14"/>
        <v>0.6875</v>
      </c>
      <c r="BW27" s="38">
        <f t="shared" ref="BW27:BX27" si="89">+BR27+BS27+BT27</f>
        <v>0.6875</v>
      </c>
      <c r="BX27" s="39">
        <f t="shared" si="89"/>
        <v>0.3125</v>
      </c>
    </row>
    <row r="28" ht="15.75" customHeight="1">
      <c r="A28" s="60"/>
      <c r="B28" s="40">
        <v>17.0</v>
      </c>
      <c r="C28" s="24">
        <v>2.0</v>
      </c>
      <c r="D28" s="27">
        <f t="shared" si="3"/>
        <v>1.529411765</v>
      </c>
      <c r="E28" s="24">
        <f t="shared" si="16"/>
        <v>11</v>
      </c>
      <c r="F28" s="2">
        <f t="shared" si="17"/>
        <v>9</v>
      </c>
      <c r="G28" s="24">
        <f t="shared" si="18"/>
        <v>2</v>
      </c>
      <c r="H28" s="24">
        <f t="shared" si="19"/>
        <v>12</v>
      </c>
      <c r="I28" s="24">
        <f t="shared" si="20"/>
        <v>10</v>
      </c>
      <c r="J28" s="24">
        <f t="shared" si="21"/>
        <v>4</v>
      </c>
      <c r="K28" s="24">
        <f t="shared" si="22"/>
        <v>3</v>
      </c>
      <c r="L28" s="24">
        <f t="shared" si="23"/>
        <v>8</v>
      </c>
      <c r="M28" s="28">
        <f t="shared" si="24"/>
        <v>1</v>
      </c>
      <c r="N28" s="24">
        <v>2.0</v>
      </c>
      <c r="O28" s="27">
        <f t="shared" si="4"/>
        <v>1.235294118</v>
      </c>
      <c r="P28" s="24">
        <f t="shared" si="25"/>
        <v>11</v>
      </c>
      <c r="Q28" s="2">
        <f t="shared" si="26"/>
        <v>6</v>
      </c>
      <c r="R28" s="24">
        <f t="shared" si="27"/>
        <v>2</v>
      </c>
      <c r="S28" s="24">
        <f t="shared" si="28"/>
        <v>13</v>
      </c>
      <c r="T28" s="24">
        <f t="shared" si="29"/>
        <v>6</v>
      </c>
      <c r="U28" s="24">
        <f t="shared" si="30"/>
        <v>4</v>
      </c>
      <c r="V28" s="24">
        <f t="shared" si="31"/>
        <v>7</v>
      </c>
      <c r="W28" s="24">
        <f t="shared" si="32"/>
        <v>4</v>
      </c>
      <c r="X28" s="28">
        <f t="shared" si="33"/>
        <v>2</v>
      </c>
      <c r="Y28" s="24">
        <v>2.0</v>
      </c>
      <c r="Z28" s="27">
        <f t="shared" si="5"/>
        <v>1.764705882</v>
      </c>
      <c r="AA28" s="24">
        <f t="shared" si="34"/>
        <v>11</v>
      </c>
      <c r="AB28" s="2">
        <f t="shared" si="35"/>
        <v>6</v>
      </c>
      <c r="AC28" s="24">
        <f t="shared" si="36"/>
        <v>2</v>
      </c>
      <c r="AD28" s="24">
        <f t="shared" si="37"/>
        <v>12</v>
      </c>
      <c r="AE28" s="24">
        <f t="shared" si="38"/>
        <v>7</v>
      </c>
      <c r="AF28" s="24">
        <f t="shared" si="39"/>
        <v>3</v>
      </c>
      <c r="AG28" s="24">
        <f t="shared" si="40"/>
        <v>6</v>
      </c>
      <c r="AH28" s="24">
        <f t="shared" si="41"/>
        <v>5</v>
      </c>
      <c r="AI28" s="28">
        <f t="shared" si="42"/>
        <v>1</v>
      </c>
      <c r="AJ28" s="24">
        <v>5.0</v>
      </c>
      <c r="AK28" s="27">
        <f t="shared" si="43"/>
        <v>1.4375</v>
      </c>
      <c r="AL28" s="24">
        <f t="shared" si="44"/>
        <v>8</v>
      </c>
      <c r="AM28" s="2">
        <f t="shared" si="45"/>
        <v>4</v>
      </c>
      <c r="AN28" s="24">
        <f t="shared" si="46"/>
        <v>2</v>
      </c>
      <c r="AO28" s="24">
        <f t="shared" si="47"/>
        <v>9</v>
      </c>
      <c r="AP28" s="24">
        <f t="shared" si="48"/>
        <v>5</v>
      </c>
      <c r="AQ28" s="24">
        <f t="shared" si="49"/>
        <v>6</v>
      </c>
      <c r="AR28" s="24">
        <f t="shared" si="50"/>
        <v>5</v>
      </c>
      <c r="AS28" s="24">
        <f t="shared" si="51"/>
        <v>3</v>
      </c>
      <c r="AT28" s="28">
        <f t="shared" si="52"/>
        <v>1</v>
      </c>
      <c r="AU28" s="41">
        <v>3.0</v>
      </c>
      <c r="AV28" s="27">
        <f t="shared" si="6"/>
        <v>1.176470588</v>
      </c>
      <c r="AW28" s="24">
        <f t="shared" si="53"/>
        <v>10</v>
      </c>
      <c r="AX28" s="2">
        <f t="shared" si="54"/>
        <v>6</v>
      </c>
      <c r="AY28" s="24">
        <f t="shared" si="55"/>
        <v>2</v>
      </c>
      <c r="AZ28" s="24">
        <f t="shared" si="56"/>
        <v>12</v>
      </c>
      <c r="BA28" s="24">
        <f t="shared" si="57"/>
        <v>6</v>
      </c>
      <c r="BB28" s="24">
        <f t="shared" si="58"/>
        <v>5</v>
      </c>
      <c r="BC28" s="24">
        <f t="shared" si="59"/>
        <v>6</v>
      </c>
      <c r="BD28" s="24">
        <f t="shared" si="60"/>
        <v>4</v>
      </c>
      <c r="BE28" s="28">
        <f t="shared" si="61"/>
        <v>2</v>
      </c>
      <c r="BF28" s="29">
        <f t="shared" ref="BF28:BO28" si="90">+(AK28+Z28+O28+D28)/4</f>
        <v>1.491727941</v>
      </c>
      <c r="BG28" s="24">
        <f t="shared" si="90"/>
        <v>10.25</v>
      </c>
      <c r="BH28" s="24">
        <f t="shared" si="90"/>
        <v>6.25</v>
      </c>
      <c r="BI28" s="24">
        <f t="shared" si="90"/>
        <v>2</v>
      </c>
      <c r="BJ28" s="24">
        <f t="shared" si="90"/>
        <v>11.5</v>
      </c>
      <c r="BK28" s="24">
        <f t="shared" si="90"/>
        <v>7</v>
      </c>
      <c r="BL28" s="24">
        <f t="shared" si="90"/>
        <v>4.25</v>
      </c>
      <c r="BM28" s="24">
        <f t="shared" si="90"/>
        <v>5.25</v>
      </c>
      <c r="BN28" s="24">
        <f t="shared" si="90"/>
        <v>5</v>
      </c>
      <c r="BO28" s="61">
        <f t="shared" si="90"/>
        <v>1.25</v>
      </c>
      <c r="BP28" s="30">
        <f t="shared" si="8"/>
        <v>-0.3152573529</v>
      </c>
      <c r="BQ28" s="31">
        <f t="shared" si="9"/>
        <v>0.2941176471</v>
      </c>
      <c r="BR28" s="31">
        <f t="shared" si="10"/>
        <v>0.3529411765</v>
      </c>
      <c r="BS28" s="31">
        <f t="shared" si="11"/>
        <v>0.2352941176</v>
      </c>
      <c r="BT28" s="31">
        <f t="shared" si="12"/>
        <v>0.1176470588</v>
      </c>
      <c r="BU28" s="31">
        <f t="shared" si="13"/>
        <v>0</v>
      </c>
      <c r="BV28" s="31">
        <f t="shared" si="14"/>
        <v>0.7058823529</v>
      </c>
      <c r="BW28" s="31">
        <f t="shared" ref="BW28:BX28" si="91">+BR28+BS28+BT28</f>
        <v>0.7058823529</v>
      </c>
      <c r="BX28" s="32">
        <f t="shared" si="91"/>
        <v>0.3529411765</v>
      </c>
      <c r="BY28" s="60"/>
    </row>
    <row r="29" ht="15.75" customHeight="1">
      <c r="B29" s="33">
        <v>18.0</v>
      </c>
      <c r="C29" s="2">
        <v>4.0</v>
      </c>
      <c r="D29" s="3">
        <f t="shared" si="3"/>
        <v>1.666666667</v>
      </c>
      <c r="E29" s="2">
        <f t="shared" si="16"/>
        <v>11</v>
      </c>
      <c r="F29" s="2">
        <f t="shared" si="17"/>
        <v>9</v>
      </c>
      <c r="G29" s="2">
        <f t="shared" si="18"/>
        <v>3</v>
      </c>
      <c r="H29" s="2">
        <f t="shared" si="19"/>
        <v>12</v>
      </c>
      <c r="I29" s="2">
        <f t="shared" si="20"/>
        <v>11</v>
      </c>
      <c r="J29" s="2">
        <f t="shared" si="21"/>
        <v>4</v>
      </c>
      <c r="K29" s="2">
        <f t="shared" si="22"/>
        <v>3</v>
      </c>
      <c r="L29" s="2">
        <f t="shared" si="23"/>
        <v>8</v>
      </c>
      <c r="M29" s="34">
        <f t="shared" si="24"/>
        <v>1</v>
      </c>
      <c r="N29" s="2">
        <v>2.0</v>
      </c>
      <c r="O29" s="3">
        <f t="shared" si="4"/>
        <v>1.277777778</v>
      </c>
      <c r="P29" s="2">
        <f t="shared" si="25"/>
        <v>12</v>
      </c>
      <c r="Q29" s="2">
        <f t="shared" si="26"/>
        <v>7</v>
      </c>
      <c r="R29" s="2">
        <f t="shared" si="27"/>
        <v>2</v>
      </c>
      <c r="S29" s="2">
        <f t="shared" si="28"/>
        <v>14</v>
      </c>
      <c r="T29" s="2">
        <f t="shared" si="29"/>
        <v>7</v>
      </c>
      <c r="U29" s="2">
        <f t="shared" si="30"/>
        <v>4</v>
      </c>
      <c r="V29" s="2">
        <f t="shared" si="31"/>
        <v>7</v>
      </c>
      <c r="W29" s="2">
        <f t="shared" si="32"/>
        <v>5</v>
      </c>
      <c r="X29" s="34">
        <f t="shared" si="33"/>
        <v>2</v>
      </c>
      <c r="Y29" s="2">
        <v>0.0</v>
      </c>
      <c r="Z29" s="3">
        <f t="shared" si="5"/>
        <v>1.666666667</v>
      </c>
      <c r="AA29" s="2">
        <f t="shared" si="34"/>
        <v>11</v>
      </c>
      <c r="AB29" s="2">
        <f t="shared" si="35"/>
        <v>6</v>
      </c>
      <c r="AC29" s="2">
        <f t="shared" si="36"/>
        <v>2</v>
      </c>
      <c r="AD29" s="2">
        <f t="shared" si="37"/>
        <v>12</v>
      </c>
      <c r="AE29" s="2">
        <f t="shared" si="38"/>
        <v>7</v>
      </c>
      <c r="AF29" s="2">
        <f t="shared" si="39"/>
        <v>4</v>
      </c>
      <c r="AG29" s="2">
        <f t="shared" si="40"/>
        <v>6</v>
      </c>
      <c r="AH29" s="2">
        <f t="shared" si="41"/>
        <v>5</v>
      </c>
      <c r="AI29" s="34">
        <f t="shared" si="42"/>
        <v>1</v>
      </c>
      <c r="AJ29" s="2">
        <v>1.0</v>
      </c>
      <c r="AK29" s="3">
        <f t="shared" si="43"/>
        <v>1.411764706</v>
      </c>
      <c r="AL29" s="2">
        <f t="shared" si="44"/>
        <v>9</v>
      </c>
      <c r="AM29" s="2">
        <f t="shared" si="45"/>
        <v>4</v>
      </c>
      <c r="AN29" s="2">
        <f t="shared" si="46"/>
        <v>2</v>
      </c>
      <c r="AO29" s="2">
        <f t="shared" si="47"/>
        <v>10</v>
      </c>
      <c r="AP29" s="2">
        <f t="shared" si="48"/>
        <v>5</v>
      </c>
      <c r="AQ29" s="2">
        <f t="shared" si="49"/>
        <v>6</v>
      </c>
      <c r="AR29" s="2">
        <f t="shared" si="50"/>
        <v>6</v>
      </c>
      <c r="AS29" s="2">
        <f t="shared" si="51"/>
        <v>3</v>
      </c>
      <c r="AT29" s="34">
        <f t="shared" si="52"/>
        <v>1</v>
      </c>
      <c r="AU29" s="47">
        <v>0.0</v>
      </c>
      <c r="AV29" s="3">
        <f t="shared" si="6"/>
        <v>1.111111111</v>
      </c>
      <c r="AW29" s="2">
        <f t="shared" si="53"/>
        <v>10</v>
      </c>
      <c r="AX29" s="2">
        <f t="shared" si="54"/>
        <v>6</v>
      </c>
      <c r="AY29" s="2">
        <f t="shared" si="55"/>
        <v>2</v>
      </c>
      <c r="AZ29" s="2">
        <f t="shared" si="56"/>
        <v>12</v>
      </c>
      <c r="BA29" s="2">
        <f t="shared" si="57"/>
        <v>6</v>
      </c>
      <c r="BB29" s="2">
        <f t="shared" si="58"/>
        <v>6</v>
      </c>
      <c r="BC29" s="2">
        <f t="shared" si="59"/>
        <v>6</v>
      </c>
      <c r="BD29" s="2">
        <f t="shared" si="60"/>
        <v>4</v>
      </c>
      <c r="BE29" s="34">
        <f t="shared" si="61"/>
        <v>2</v>
      </c>
      <c r="BF29" s="36">
        <f t="shared" ref="BF29:BO29" si="92">+(AK29+Z29+O29+D29)/4</f>
        <v>1.505718954</v>
      </c>
      <c r="BG29" s="2">
        <f t="shared" si="92"/>
        <v>10.75</v>
      </c>
      <c r="BH29" s="2">
        <f t="shared" si="92"/>
        <v>6.5</v>
      </c>
      <c r="BI29" s="2">
        <f t="shared" si="92"/>
        <v>2.25</v>
      </c>
      <c r="BJ29" s="2">
        <f t="shared" si="92"/>
        <v>12</v>
      </c>
      <c r="BK29" s="2">
        <f t="shared" si="92"/>
        <v>7.5</v>
      </c>
      <c r="BL29" s="2">
        <f t="shared" si="92"/>
        <v>4.5</v>
      </c>
      <c r="BM29" s="2">
        <f t="shared" si="92"/>
        <v>5.5</v>
      </c>
      <c r="BN29" s="2">
        <f t="shared" si="92"/>
        <v>5.25</v>
      </c>
      <c r="BO29" s="62">
        <f t="shared" si="92"/>
        <v>1.25</v>
      </c>
      <c r="BP29" s="37">
        <f t="shared" si="8"/>
        <v>-0.3946078431</v>
      </c>
      <c r="BQ29" s="38">
        <f t="shared" si="9"/>
        <v>0.3333333333</v>
      </c>
      <c r="BR29" s="38">
        <f t="shared" si="10"/>
        <v>0.3333333333</v>
      </c>
      <c r="BS29" s="38">
        <f t="shared" si="11"/>
        <v>0.2222222222</v>
      </c>
      <c r="BT29" s="38">
        <f t="shared" si="12"/>
        <v>0.1111111111</v>
      </c>
      <c r="BU29" s="38">
        <f t="shared" si="13"/>
        <v>0</v>
      </c>
      <c r="BV29" s="38">
        <f t="shared" si="14"/>
        <v>0.6666666667</v>
      </c>
      <c r="BW29" s="38">
        <f t="shared" ref="BW29:BX29" si="93">+BR29+BS29+BT29</f>
        <v>0.6666666667</v>
      </c>
      <c r="BX29" s="39">
        <f t="shared" si="93"/>
        <v>0.3333333333</v>
      </c>
    </row>
    <row r="30" ht="15.75" customHeight="1">
      <c r="A30" s="60"/>
      <c r="B30" s="40">
        <v>19.0</v>
      </c>
      <c r="C30" s="24">
        <v>1.0</v>
      </c>
      <c r="D30" s="27">
        <f t="shared" si="3"/>
        <v>1.631578947</v>
      </c>
      <c r="E30" s="24">
        <f t="shared" si="16"/>
        <v>12</v>
      </c>
      <c r="F30" s="2">
        <f t="shared" si="17"/>
        <v>9</v>
      </c>
      <c r="G30" s="24">
        <f t="shared" si="18"/>
        <v>3</v>
      </c>
      <c r="H30" s="24">
        <f t="shared" si="19"/>
        <v>13</v>
      </c>
      <c r="I30" s="24">
        <f t="shared" si="20"/>
        <v>11</v>
      </c>
      <c r="J30" s="24">
        <f t="shared" si="21"/>
        <v>4</v>
      </c>
      <c r="K30" s="24">
        <f t="shared" si="22"/>
        <v>4</v>
      </c>
      <c r="L30" s="24">
        <f t="shared" si="23"/>
        <v>8</v>
      </c>
      <c r="M30" s="28">
        <f t="shared" si="24"/>
        <v>1</v>
      </c>
      <c r="N30" s="24">
        <v>2.0</v>
      </c>
      <c r="O30" s="27">
        <f t="shared" si="4"/>
        <v>1.315789474</v>
      </c>
      <c r="P30" s="24">
        <f t="shared" si="25"/>
        <v>13</v>
      </c>
      <c r="Q30" s="2">
        <f t="shared" si="26"/>
        <v>8</v>
      </c>
      <c r="R30" s="24">
        <f t="shared" si="27"/>
        <v>2</v>
      </c>
      <c r="S30" s="24">
        <f t="shared" si="28"/>
        <v>15</v>
      </c>
      <c r="T30" s="24">
        <f t="shared" si="29"/>
        <v>8</v>
      </c>
      <c r="U30" s="24">
        <f t="shared" si="30"/>
        <v>4</v>
      </c>
      <c r="V30" s="24">
        <f t="shared" si="31"/>
        <v>7</v>
      </c>
      <c r="W30" s="24">
        <f t="shared" si="32"/>
        <v>6</v>
      </c>
      <c r="X30" s="28">
        <f t="shared" si="33"/>
        <v>2</v>
      </c>
      <c r="Y30" s="24">
        <v>1.0</v>
      </c>
      <c r="Z30" s="27">
        <f t="shared" si="5"/>
        <v>1.631578947</v>
      </c>
      <c r="AA30" s="24">
        <f t="shared" si="34"/>
        <v>12</v>
      </c>
      <c r="AB30" s="2">
        <f t="shared" si="35"/>
        <v>6</v>
      </c>
      <c r="AC30" s="24">
        <f t="shared" si="36"/>
        <v>2</v>
      </c>
      <c r="AD30" s="24">
        <f t="shared" si="37"/>
        <v>13</v>
      </c>
      <c r="AE30" s="24">
        <f t="shared" si="38"/>
        <v>7</v>
      </c>
      <c r="AF30" s="24">
        <f t="shared" si="39"/>
        <v>4</v>
      </c>
      <c r="AG30" s="24">
        <f t="shared" si="40"/>
        <v>7</v>
      </c>
      <c r="AH30" s="24">
        <f t="shared" si="41"/>
        <v>5</v>
      </c>
      <c r="AI30" s="28">
        <f t="shared" si="42"/>
        <v>1</v>
      </c>
      <c r="AJ30" s="24">
        <v>2.0</v>
      </c>
      <c r="AK30" s="27">
        <f t="shared" si="43"/>
        <v>1.444444444</v>
      </c>
      <c r="AL30" s="24">
        <f t="shared" si="44"/>
        <v>10</v>
      </c>
      <c r="AM30" s="2">
        <f t="shared" si="45"/>
        <v>5</v>
      </c>
      <c r="AN30" s="24">
        <f t="shared" si="46"/>
        <v>2</v>
      </c>
      <c r="AO30" s="24">
        <f t="shared" si="47"/>
        <v>11</v>
      </c>
      <c r="AP30" s="24">
        <f t="shared" si="48"/>
        <v>6</v>
      </c>
      <c r="AQ30" s="24">
        <f t="shared" si="49"/>
        <v>6</v>
      </c>
      <c r="AR30" s="24">
        <f t="shared" si="50"/>
        <v>6</v>
      </c>
      <c r="AS30" s="24">
        <f t="shared" si="51"/>
        <v>4</v>
      </c>
      <c r="AT30" s="28">
        <f t="shared" si="52"/>
        <v>1</v>
      </c>
      <c r="AU30" s="41">
        <v>2.0</v>
      </c>
      <c r="AV30" s="27">
        <f t="shared" si="6"/>
        <v>1.157894737</v>
      </c>
      <c r="AW30" s="24">
        <f t="shared" si="53"/>
        <v>11</v>
      </c>
      <c r="AX30" s="2">
        <f t="shared" si="54"/>
        <v>7</v>
      </c>
      <c r="AY30" s="24">
        <f t="shared" si="55"/>
        <v>2</v>
      </c>
      <c r="AZ30" s="24">
        <f t="shared" si="56"/>
        <v>13</v>
      </c>
      <c r="BA30" s="24">
        <f t="shared" si="57"/>
        <v>7</v>
      </c>
      <c r="BB30" s="24">
        <f t="shared" si="58"/>
        <v>6</v>
      </c>
      <c r="BC30" s="24">
        <f t="shared" si="59"/>
        <v>6</v>
      </c>
      <c r="BD30" s="24">
        <f t="shared" si="60"/>
        <v>5</v>
      </c>
      <c r="BE30" s="28">
        <f t="shared" si="61"/>
        <v>2</v>
      </c>
      <c r="BF30" s="29">
        <f t="shared" ref="BF30:BO30" si="94">+(AK30+Z30+O30+D30)/4</f>
        <v>1.505847953</v>
      </c>
      <c r="BG30" s="24">
        <f t="shared" si="94"/>
        <v>11.75</v>
      </c>
      <c r="BH30" s="24">
        <f t="shared" si="94"/>
        <v>7</v>
      </c>
      <c r="BI30" s="24">
        <f t="shared" si="94"/>
        <v>2.25</v>
      </c>
      <c r="BJ30" s="24">
        <f t="shared" si="94"/>
        <v>13</v>
      </c>
      <c r="BK30" s="24">
        <f t="shared" si="94"/>
        <v>8</v>
      </c>
      <c r="BL30" s="24">
        <f t="shared" si="94"/>
        <v>4.5</v>
      </c>
      <c r="BM30" s="24">
        <f t="shared" si="94"/>
        <v>6</v>
      </c>
      <c r="BN30" s="24">
        <f t="shared" si="94"/>
        <v>5.75</v>
      </c>
      <c r="BO30" s="61">
        <f t="shared" si="94"/>
        <v>1.25</v>
      </c>
      <c r="BP30" s="30">
        <f t="shared" si="8"/>
        <v>-0.3479532164</v>
      </c>
      <c r="BQ30" s="31">
        <f t="shared" si="9"/>
        <v>0.3157894737</v>
      </c>
      <c r="BR30" s="31">
        <f t="shared" si="10"/>
        <v>0.3157894737</v>
      </c>
      <c r="BS30" s="31">
        <f t="shared" si="11"/>
        <v>0.2631578947</v>
      </c>
      <c r="BT30" s="31">
        <f t="shared" si="12"/>
        <v>0.1052631579</v>
      </c>
      <c r="BU30" s="31">
        <f t="shared" si="13"/>
        <v>0</v>
      </c>
      <c r="BV30" s="31">
        <f t="shared" si="14"/>
        <v>0.6842105263</v>
      </c>
      <c r="BW30" s="31">
        <f t="shared" ref="BW30:BX30" si="95">+BR30+BS30+BT30</f>
        <v>0.6842105263</v>
      </c>
      <c r="BX30" s="32">
        <f t="shared" si="95"/>
        <v>0.3684210526</v>
      </c>
      <c r="BY30" s="60"/>
    </row>
    <row r="31" ht="15.75" customHeight="1">
      <c r="B31" s="33">
        <v>20.0</v>
      </c>
      <c r="C31" s="2">
        <v>1.0</v>
      </c>
      <c r="D31" s="3">
        <f t="shared" si="3"/>
        <v>1.6</v>
      </c>
      <c r="E31" s="2">
        <f t="shared" si="16"/>
        <v>13</v>
      </c>
      <c r="F31" s="2">
        <f t="shared" si="17"/>
        <v>9</v>
      </c>
      <c r="G31" s="2">
        <f t="shared" si="18"/>
        <v>3</v>
      </c>
      <c r="H31" s="2">
        <f t="shared" si="19"/>
        <v>14</v>
      </c>
      <c r="I31" s="2">
        <f t="shared" si="20"/>
        <v>11</v>
      </c>
      <c r="J31" s="2">
        <f t="shared" si="21"/>
        <v>4</v>
      </c>
      <c r="K31" s="2">
        <f t="shared" si="22"/>
        <v>5</v>
      </c>
      <c r="L31" s="2">
        <f t="shared" si="23"/>
        <v>8</v>
      </c>
      <c r="M31" s="34">
        <f t="shared" si="24"/>
        <v>1</v>
      </c>
      <c r="N31" s="2">
        <v>1.0</v>
      </c>
      <c r="O31" s="3">
        <f t="shared" si="4"/>
        <v>1.3</v>
      </c>
      <c r="P31" s="2">
        <f t="shared" si="25"/>
        <v>14</v>
      </c>
      <c r="Q31" s="2">
        <f t="shared" si="26"/>
        <v>8</v>
      </c>
      <c r="R31" s="2">
        <f t="shared" si="27"/>
        <v>2</v>
      </c>
      <c r="S31" s="2">
        <f t="shared" si="28"/>
        <v>16</v>
      </c>
      <c r="T31" s="2">
        <f t="shared" si="29"/>
        <v>8</v>
      </c>
      <c r="U31" s="2">
        <f t="shared" si="30"/>
        <v>4</v>
      </c>
      <c r="V31" s="2">
        <f t="shared" si="31"/>
        <v>8</v>
      </c>
      <c r="W31" s="2">
        <f t="shared" si="32"/>
        <v>6</v>
      </c>
      <c r="X31" s="34">
        <f t="shared" si="33"/>
        <v>2</v>
      </c>
      <c r="Y31" s="2">
        <v>1.0</v>
      </c>
      <c r="Z31" s="3">
        <f t="shared" si="5"/>
        <v>1.6</v>
      </c>
      <c r="AA31" s="2">
        <f t="shared" si="34"/>
        <v>13</v>
      </c>
      <c r="AB31" s="2">
        <f t="shared" si="35"/>
        <v>6</v>
      </c>
      <c r="AC31" s="2">
        <f t="shared" si="36"/>
        <v>2</v>
      </c>
      <c r="AD31" s="2">
        <f t="shared" si="37"/>
        <v>14</v>
      </c>
      <c r="AE31" s="2">
        <f t="shared" si="38"/>
        <v>7</v>
      </c>
      <c r="AF31" s="2">
        <f t="shared" si="39"/>
        <v>4</v>
      </c>
      <c r="AG31" s="2">
        <f t="shared" si="40"/>
        <v>8</v>
      </c>
      <c r="AH31" s="2">
        <f t="shared" si="41"/>
        <v>5</v>
      </c>
      <c r="AI31" s="34">
        <f t="shared" si="42"/>
        <v>1</v>
      </c>
      <c r="AJ31" s="2">
        <v>2.0</v>
      </c>
      <c r="AK31" s="3">
        <f t="shared" si="43"/>
        <v>1.473684211</v>
      </c>
      <c r="AL31" s="2">
        <f t="shared" si="44"/>
        <v>11</v>
      </c>
      <c r="AM31" s="2">
        <f t="shared" si="45"/>
        <v>6</v>
      </c>
      <c r="AN31" s="2">
        <f t="shared" si="46"/>
        <v>2</v>
      </c>
      <c r="AO31" s="2">
        <f t="shared" si="47"/>
        <v>12</v>
      </c>
      <c r="AP31" s="2">
        <f t="shared" si="48"/>
        <v>7</v>
      </c>
      <c r="AQ31" s="2">
        <f t="shared" si="49"/>
        <v>6</v>
      </c>
      <c r="AR31" s="2">
        <f t="shared" si="50"/>
        <v>6</v>
      </c>
      <c r="AS31" s="2">
        <f t="shared" si="51"/>
        <v>5</v>
      </c>
      <c r="AT31" s="34">
        <f t="shared" si="52"/>
        <v>1</v>
      </c>
      <c r="AU31" s="2"/>
      <c r="AV31" s="3">
        <f t="shared" si="6"/>
        <v>1.157894737</v>
      </c>
      <c r="AW31" s="2">
        <f t="shared" si="53"/>
        <v>11</v>
      </c>
      <c r="AX31" s="2">
        <f t="shared" si="54"/>
        <v>7</v>
      </c>
      <c r="AY31" s="2">
        <f t="shared" si="55"/>
        <v>2</v>
      </c>
      <c r="AZ31" s="2">
        <f t="shared" si="56"/>
        <v>13</v>
      </c>
      <c r="BA31" s="2">
        <f t="shared" si="57"/>
        <v>7</v>
      </c>
      <c r="BB31" s="2">
        <f t="shared" si="58"/>
        <v>7</v>
      </c>
      <c r="BC31" s="2">
        <f t="shared" si="59"/>
        <v>6</v>
      </c>
      <c r="BD31" s="2">
        <f t="shared" si="60"/>
        <v>5</v>
      </c>
      <c r="BE31" s="34">
        <f t="shared" si="61"/>
        <v>2</v>
      </c>
      <c r="BF31" s="36">
        <f t="shared" ref="BF31:BO31" si="96">+(AK31+Z31+O31+D31)/4</f>
        <v>1.493421053</v>
      </c>
      <c r="BG31" s="2">
        <f t="shared" si="96"/>
        <v>12.75</v>
      </c>
      <c r="BH31" s="2">
        <f t="shared" si="96"/>
        <v>7.25</v>
      </c>
      <c r="BI31" s="2">
        <f t="shared" si="96"/>
        <v>2.25</v>
      </c>
      <c r="BJ31" s="2">
        <f t="shared" si="96"/>
        <v>14</v>
      </c>
      <c r="BK31" s="2">
        <f t="shared" si="96"/>
        <v>8.25</v>
      </c>
      <c r="BL31" s="2">
        <f t="shared" si="96"/>
        <v>4.5</v>
      </c>
      <c r="BM31" s="2">
        <f t="shared" si="96"/>
        <v>6.75</v>
      </c>
      <c r="BN31" s="2">
        <f t="shared" si="96"/>
        <v>6</v>
      </c>
      <c r="BO31" s="62">
        <f t="shared" si="96"/>
        <v>1.25</v>
      </c>
      <c r="BP31" s="37">
        <f t="shared" si="8"/>
        <v>-0.3355263158</v>
      </c>
      <c r="BQ31" s="38">
        <f t="shared" si="9"/>
        <v>0.3</v>
      </c>
      <c r="BR31" s="38">
        <f t="shared" si="10"/>
        <v>0.3</v>
      </c>
      <c r="BS31" s="38">
        <f t="shared" si="11"/>
        <v>0.25</v>
      </c>
      <c r="BT31" s="38">
        <f t="shared" si="12"/>
        <v>0.1</v>
      </c>
      <c r="BU31" s="38">
        <f t="shared" si="13"/>
        <v>0</v>
      </c>
      <c r="BV31" s="38">
        <f t="shared" si="14"/>
        <v>0.7</v>
      </c>
      <c r="BW31" s="38">
        <f t="shared" ref="BW31:BX31" si="97">+BR31+BS31+BT31</f>
        <v>0.65</v>
      </c>
      <c r="BX31" s="39">
        <f t="shared" si="97"/>
        <v>0.35</v>
      </c>
    </row>
    <row r="32" ht="15.75" customHeight="1">
      <c r="A32" s="60"/>
      <c r="B32" s="40">
        <v>21.0</v>
      </c>
      <c r="C32" s="24">
        <v>3.0</v>
      </c>
      <c r="D32" s="27">
        <f t="shared" si="3"/>
        <v>1.666666667</v>
      </c>
      <c r="E32" s="24">
        <f t="shared" si="16"/>
        <v>13</v>
      </c>
      <c r="F32" s="2">
        <f t="shared" si="17"/>
        <v>10</v>
      </c>
      <c r="G32" s="24">
        <f t="shared" si="18"/>
        <v>4</v>
      </c>
      <c r="H32" s="24">
        <f t="shared" si="19"/>
        <v>15</v>
      </c>
      <c r="I32" s="24">
        <f t="shared" si="20"/>
        <v>12</v>
      </c>
      <c r="J32" s="24">
        <f t="shared" si="21"/>
        <v>4</v>
      </c>
      <c r="K32" s="24">
        <f t="shared" si="22"/>
        <v>5</v>
      </c>
      <c r="L32" s="24">
        <f t="shared" si="23"/>
        <v>8</v>
      </c>
      <c r="M32" s="28">
        <f t="shared" si="24"/>
        <v>2</v>
      </c>
      <c r="N32" s="24">
        <v>2.0</v>
      </c>
      <c r="O32" s="27">
        <f t="shared" si="4"/>
        <v>1.333333333</v>
      </c>
      <c r="P32" s="24">
        <f t="shared" si="25"/>
        <v>15</v>
      </c>
      <c r="Q32" s="2">
        <f t="shared" si="26"/>
        <v>9</v>
      </c>
      <c r="R32" s="24">
        <f t="shared" si="27"/>
        <v>2</v>
      </c>
      <c r="S32" s="24">
        <f t="shared" si="28"/>
        <v>17</v>
      </c>
      <c r="T32" s="24">
        <f t="shared" si="29"/>
        <v>9</v>
      </c>
      <c r="U32" s="24">
        <f t="shared" si="30"/>
        <v>4</v>
      </c>
      <c r="V32" s="24">
        <f t="shared" si="31"/>
        <v>8</v>
      </c>
      <c r="W32" s="24">
        <f t="shared" si="32"/>
        <v>7</v>
      </c>
      <c r="X32" s="28">
        <f t="shared" si="33"/>
        <v>2</v>
      </c>
      <c r="Y32" s="24">
        <v>2.0</v>
      </c>
      <c r="Z32" s="27">
        <f t="shared" si="5"/>
        <v>1.619047619</v>
      </c>
      <c r="AA32" s="24">
        <f t="shared" si="34"/>
        <v>14</v>
      </c>
      <c r="AB32" s="2">
        <f t="shared" si="35"/>
        <v>7</v>
      </c>
      <c r="AC32" s="24">
        <f t="shared" si="36"/>
        <v>2</v>
      </c>
      <c r="AD32" s="24">
        <f t="shared" si="37"/>
        <v>15</v>
      </c>
      <c r="AE32" s="24">
        <f t="shared" si="38"/>
        <v>8</v>
      </c>
      <c r="AF32" s="24">
        <f t="shared" si="39"/>
        <v>4</v>
      </c>
      <c r="AG32" s="24">
        <f t="shared" si="40"/>
        <v>8</v>
      </c>
      <c r="AH32" s="24">
        <f t="shared" si="41"/>
        <v>6</v>
      </c>
      <c r="AI32" s="28">
        <f t="shared" si="42"/>
        <v>1</v>
      </c>
      <c r="AJ32" s="24">
        <v>3.0</v>
      </c>
      <c r="AK32" s="27">
        <f t="shared" si="43"/>
        <v>1.55</v>
      </c>
      <c r="AL32" s="24">
        <f t="shared" si="44"/>
        <v>11</v>
      </c>
      <c r="AM32" s="2">
        <f t="shared" si="45"/>
        <v>7</v>
      </c>
      <c r="AN32" s="24">
        <f t="shared" si="46"/>
        <v>3</v>
      </c>
      <c r="AO32" s="24">
        <f t="shared" si="47"/>
        <v>13</v>
      </c>
      <c r="AP32" s="24">
        <f t="shared" si="48"/>
        <v>8</v>
      </c>
      <c r="AQ32" s="24">
        <f t="shared" si="49"/>
        <v>6</v>
      </c>
      <c r="AR32" s="24">
        <f t="shared" si="50"/>
        <v>6</v>
      </c>
      <c r="AS32" s="24">
        <f t="shared" si="51"/>
        <v>5</v>
      </c>
      <c r="AT32" s="28">
        <f t="shared" si="52"/>
        <v>2</v>
      </c>
      <c r="AU32" s="24"/>
      <c r="AV32" s="27">
        <f t="shared" si="6"/>
        <v>1.157894737</v>
      </c>
      <c r="AW32" s="24">
        <f t="shared" si="53"/>
        <v>11</v>
      </c>
      <c r="AX32" s="2">
        <f t="shared" si="54"/>
        <v>7</v>
      </c>
      <c r="AY32" s="24">
        <f t="shared" si="55"/>
        <v>2</v>
      </c>
      <c r="AZ32" s="24">
        <f t="shared" si="56"/>
        <v>13</v>
      </c>
      <c r="BA32" s="24">
        <f t="shared" si="57"/>
        <v>7</v>
      </c>
      <c r="BB32" s="24">
        <f t="shared" si="58"/>
        <v>8</v>
      </c>
      <c r="BC32" s="24">
        <f t="shared" si="59"/>
        <v>6</v>
      </c>
      <c r="BD32" s="24">
        <f t="shared" si="60"/>
        <v>5</v>
      </c>
      <c r="BE32" s="28">
        <f t="shared" si="61"/>
        <v>2</v>
      </c>
      <c r="BF32" s="29">
        <f t="shared" ref="BF32:BO32" si="98">+(AK32+Z32+O32+D32)/4</f>
        <v>1.542261905</v>
      </c>
      <c r="BG32" s="24">
        <f t="shared" si="98"/>
        <v>13.25</v>
      </c>
      <c r="BH32" s="24">
        <f t="shared" si="98"/>
        <v>8.25</v>
      </c>
      <c r="BI32" s="24">
        <f t="shared" si="98"/>
        <v>2.75</v>
      </c>
      <c r="BJ32" s="24">
        <f t="shared" si="98"/>
        <v>15</v>
      </c>
      <c r="BK32" s="24">
        <f t="shared" si="98"/>
        <v>9.25</v>
      </c>
      <c r="BL32" s="24">
        <f t="shared" si="98"/>
        <v>4.5</v>
      </c>
      <c r="BM32" s="24">
        <f t="shared" si="98"/>
        <v>6.75</v>
      </c>
      <c r="BN32" s="24">
        <f t="shared" si="98"/>
        <v>6.5</v>
      </c>
      <c r="BO32" s="61">
        <f t="shared" si="98"/>
        <v>1.75</v>
      </c>
      <c r="BP32" s="30">
        <f t="shared" si="8"/>
        <v>-0.3843671679</v>
      </c>
      <c r="BQ32" s="31">
        <f t="shared" si="9"/>
        <v>0.2857142857</v>
      </c>
      <c r="BR32" s="31">
        <f t="shared" si="10"/>
        <v>0.2857142857</v>
      </c>
      <c r="BS32" s="31">
        <f t="shared" si="11"/>
        <v>0.2380952381</v>
      </c>
      <c r="BT32" s="31">
        <f t="shared" si="12"/>
        <v>0.09523809524</v>
      </c>
      <c r="BU32" s="31">
        <f t="shared" si="13"/>
        <v>0</v>
      </c>
      <c r="BV32" s="31">
        <f t="shared" si="14"/>
        <v>0.7142857143</v>
      </c>
      <c r="BW32" s="31">
        <f t="shared" ref="BW32:BX32" si="99">+BR32+BS32+BT32</f>
        <v>0.619047619</v>
      </c>
      <c r="BX32" s="32">
        <f t="shared" si="99"/>
        <v>0.3333333333</v>
      </c>
      <c r="BY32" s="60"/>
    </row>
    <row r="33" ht="15.75" customHeight="1">
      <c r="B33" s="33">
        <v>22.0</v>
      </c>
      <c r="C33" s="2">
        <v>1.0</v>
      </c>
      <c r="D33" s="3">
        <f t="shared" si="3"/>
        <v>1.636363636</v>
      </c>
      <c r="E33" s="2">
        <f t="shared" si="16"/>
        <v>14</v>
      </c>
      <c r="F33" s="2">
        <f t="shared" si="17"/>
        <v>10</v>
      </c>
      <c r="G33" s="2">
        <f t="shared" si="18"/>
        <v>4</v>
      </c>
      <c r="H33" s="2">
        <f t="shared" si="19"/>
        <v>16</v>
      </c>
      <c r="I33" s="2">
        <f t="shared" si="20"/>
        <v>12</v>
      </c>
      <c r="J33" s="2">
        <f t="shared" si="21"/>
        <v>4</v>
      </c>
      <c r="K33" s="2">
        <f t="shared" si="22"/>
        <v>6</v>
      </c>
      <c r="L33" s="2">
        <f t="shared" si="23"/>
        <v>8</v>
      </c>
      <c r="M33" s="34">
        <f t="shared" si="24"/>
        <v>2</v>
      </c>
      <c r="N33" s="2">
        <v>1.0</v>
      </c>
      <c r="O33" s="3">
        <f t="shared" si="4"/>
        <v>1.318181818</v>
      </c>
      <c r="P33" s="2">
        <f t="shared" si="25"/>
        <v>16</v>
      </c>
      <c r="Q33" s="2">
        <f t="shared" si="26"/>
        <v>9</v>
      </c>
      <c r="R33" s="2">
        <f t="shared" si="27"/>
        <v>2</v>
      </c>
      <c r="S33" s="2">
        <f t="shared" si="28"/>
        <v>18</v>
      </c>
      <c r="T33" s="2">
        <f t="shared" si="29"/>
        <v>9</v>
      </c>
      <c r="U33" s="2">
        <f t="shared" si="30"/>
        <v>4</v>
      </c>
      <c r="V33" s="2">
        <f t="shared" si="31"/>
        <v>9</v>
      </c>
      <c r="W33" s="2">
        <f t="shared" si="32"/>
        <v>7</v>
      </c>
      <c r="X33" s="34">
        <f t="shared" si="33"/>
        <v>2</v>
      </c>
      <c r="Y33" s="2">
        <v>2.0</v>
      </c>
      <c r="Z33" s="3">
        <f t="shared" si="5"/>
        <v>1.636363636</v>
      </c>
      <c r="AA33" s="2">
        <f t="shared" si="34"/>
        <v>15</v>
      </c>
      <c r="AB33" s="2">
        <f t="shared" si="35"/>
        <v>8</v>
      </c>
      <c r="AC33" s="2">
        <f t="shared" si="36"/>
        <v>2</v>
      </c>
      <c r="AD33" s="2">
        <f t="shared" si="37"/>
        <v>16</v>
      </c>
      <c r="AE33" s="2">
        <f t="shared" si="38"/>
        <v>9</v>
      </c>
      <c r="AF33" s="2">
        <f t="shared" si="39"/>
        <v>4</v>
      </c>
      <c r="AG33" s="2">
        <f t="shared" si="40"/>
        <v>8</v>
      </c>
      <c r="AH33" s="2">
        <f t="shared" si="41"/>
        <v>7</v>
      </c>
      <c r="AI33" s="34">
        <f t="shared" si="42"/>
        <v>1</v>
      </c>
      <c r="AJ33" s="2">
        <v>2.0</v>
      </c>
      <c r="AK33" s="3">
        <f t="shared" si="43"/>
        <v>1.571428571</v>
      </c>
      <c r="AL33" s="2">
        <f t="shared" si="44"/>
        <v>12</v>
      </c>
      <c r="AM33" s="2">
        <f t="shared" si="45"/>
        <v>8</v>
      </c>
      <c r="AN33" s="2">
        <f t="shared" si="46"/>
        <v>3</v>
      </c>
      <c r="AO33" s="2">
        <f t="shared" si="47"/>
        <v>14</v>
      </c>
      <c r="AP33" s="2">
        <f t="shared" si="48"/>
        <v>9</v>
      </c>
      <c r="AQ33" s="2">
        <f t="shared" si="49"/>
        <v>6</v>
      </c>
      <c r="AR33" s="2">
        <f t="shared" si="50"/>
        <v>6</v>
      </c>
      <c r="AS33" s="2">
        <f t="shared" si="51"/>
        <v>6</v>
      </c>
      <c r="AT33" s="34">
        <f t="shared" si="52"/>
        <v>2</v>
      </c>
      <c r="AU33" s="2"/>
      <c r="AV33" s="3">
        <f t="shared" si="6"/>
        <v>1.157894737</v>
      </c>
      <c r="AW33" s="2">
        <f t="shared" si="53"/>
        <v>11</v>
      </c>
      <c r="AX33" s="2">
        <f t="shared" si="54"/>
        <v>7</v>
      </c>
      <c r="AY33" s="2">
        <f t="shared" si="55"/>
        <v>2</v>
      </c>
      <c r="AZ33" s="2">
        <f t="shared" si="56"/>
        <v>13</v>
      </c>
      <c r="BA33" s="2">
        <f t="shared" si="57"/>
        <v>7</v>
      </c>
      <c r="BB33" s="2">
        <f t="shared" si="58"/>
        <v>9</v>
      </c>
      <c r="BC33" s="2">
        <f t="shared" si="59"/>
        <v>6</v>
      </c>
      <c r="BD33" s="2">
        <f t="shared" si="60"/>
        <v>5</v>
      </c>
      <c r="BE33" s="34">
        <f t="shared" si="61"/>
        <v>2</v>
      </c>
      <c r="BF33" s="36">
        <f t="shared" ref="BF33:BO33" si="100">+(AK33+Z33+O33+D33)/4</f>
        <v>1.540584416</v>
      </c>
      <c r="BG33" s="2">
        <f t="shared" si="100"/>
        <v>14.25</v>
      </c>
      <c r="BH33" s="2">
        <f t="shared" si="100"/>
        <v>8.75</v>
      </c>
      <c r="BI33" s="2">
        <f t="shared" si="100"/>
        <v>2.75</v>
      </c>
      <c r="BJ33" s="2">
        <f t="shared" si="100"/>
        <v>16</v>
      </c>
      <c r="BK33" s="2">
        <f t="shared" si="100"/>
        <v>9.75</v>
      </c>
      <c r="BL33" s="2">
        <f t="shared" si="100"/>
        <v>4.5</v>
      </c>
      <c r="BM33" s="2">
        <f t="shared" si="100"/>
        <v>7.25</v>
      </c>
      <c r="BN33" s="2">
        <f t="shared" si="100"/>
        <v>7</v>
      </c>
      <c r="BO33" s="62">
        <f t="shared" si="100"/>
        <v>1.75</v>
      </c>
      <c r="BP33" s="37">
        <f t="shared" si="8"/>
        <v>-0.3826896787</v>
      </c>
      <c r="BQ33" s="38">
        <f t="shared" si="9"/>
        <v>0.2727272727</v>
      </c>
      <c r="BR33" s="38">
        <f t="shared" si="10"/>
        <v>0.2727272727</v>
      </c>
      <c r="BS33" s="38">
        <f t="shared" si="11"/>
        <v>0.2272727273</v>
      </c>
      <c r="BT33" s="38">
        <f t="shared" si="12"/>
        <v>0.09090909091</v>
      </c>
      <c r="BU33" s="38">
        <f t="shared" si="13"/>
        <v>0</v>
      </c>
      <c r="BV33" s="38">
        <f t="shared" si="14"/>
        <v>0.7272727273</v>
      </c>
      <c r="BW33" s="38">
        <f t="shared" ref="BW33:BX33" si="101">+BR33+BS33+BT33</f>
        <v>0.5909090909</v>
      </c>
      <c r="BX33" s="39">
        <f t="shared" si="101"/>
        <v>0.3181818182</v>
      </c>
    </row>
    <row r="34" ht="15.75" customHeight="1">
      <c r="A34" s="60"/>
      <c r="B34" s="40">
        <v>23.0</v>
      </c>
      <c r="C34" s="24">
        <v>4.0</v>
      </c>
      <c r="D34" s="27">
        <f t="shared" si="3"/>
        <v>1.739130435</v>
      </c>
      <c r="E34" s="24">
        <f t="shared" si="16"/>
        <v>14</v>
      </c>
      <c r="F34" s="2">
        <f t="shared" si="17"/>
        <v>10</v>
      </c>
      <c r="G34" s="24">
        <f t="shared" si="18"/>
        <v>5</v>
      </c>
      <c r="H34" s="24">
        <f t="shared" si="19"/>
        <v>16</v>
      </c>
      <c r="I34" s="24">
        <f t="shared" si="20"/>
        <v>13</v>
      </c>
      <c r="J34" s="24">
        <f t="shared" si="21"/>
        <v>4</v>
      </c>
      <c r="K34" s="24">
        <f t="shared" si="22"/>
        <v>6</v>
      </c>
      <c r="L34" s="24">
        <f t="shared" si="23"/>
        <v>8</v>
      </c>
      <c r="M34" s="28">
        <f t="shared" si="24"/>
        <v>2</v>
      </c>
      <c r="N34" s="24">
        <v>1.0</v>
      </c>
      <c r="O34" s="27">
        <f t="shared" si="4"/>
        <v>1.304347826</v>
      </c>
      <c r="P34" s="24">
        <f t="shared" si="25"/>
        <v>17</v>
      </c>
      <c r="Q34" s="2">
        <f t="shared" si="26"/>
        <v>9</v>
      </c>
      <c r="R34" s="24">
        <f t="shared" si="27"/>
        <v>2</v>
      </c>
      <c r="S34" s="24">
        <f t="shared" si="28"/>
        <v>19</v>
      </c>
      <c r="T34" s="24">
        <f t="shared" si="29"/>
        <v>9</v>
      </c>
      <c r="U34" s="24">
        <f t="shared" si="30"/>
        <v>4</v>
      </c>
      <c r="V34" s="24">
        <f t="shared" si="31"/>
        <v>10</v>
      </c>
      <c r="W34" s="24">
        <f t="shared" si="32"/>
        <v>7</v>
      </c>
      <c r="X34" s="28">
        <f t="shared" si="33"/>
        <v>2</v>
      </c>
      <c r="Y34" s="24">
        <v>4.0</v>
      </c>
      <c r="Z34" s="27">
        <f t="shared" si="5"/>
        <v>1.739130435</v>
      </c>
      <c r="AA34" s="24">
        <f t="shared" si="34"/>
        <v>15</v>
      </c>
      <c r="AB34" s="2">
        <f t="shared" si="35"/>
        <v>8</v>
      </c>
      <c r="AC34" s="24">
        <f t="shared" si="36"/>
        <v>3</v>
      </c>
      <c r="AD34" s="24">
        <f t="shared" si="37"/>
        <v>16</v>
      </c>
      <c r="AE34" s="24">
        <f t="shared" si="38"/>
        <v>10</v>
      </c>
      <c r="AF34" s="24">
        <f t="shared" si="39"/>
        <v>4</v>
      </c>
      <c r="AG34" s="24">
        <f t="shared" si="40"/>
        <v>8</v>
      </c>
      <c r="AH34" s="24">
        <f t="shared" si="41"/>
        <v>7</v>
      </c>
      <c r="AI34" s="28">
        <f t="shared" si="42"/>
        <v>1</v>
      </c>
      <c r="AJ34" s="24">
        <v>1.0</v>
      </c>
      <c r="AK34" s="27">
        <f t="shared" si="43"/>
        <v>1.545454545</v>
      </c>
      <c r="AL34" s="24">
        <f t="shared" si="44"/>
        <v>13</v>
      </c>
      <c r="AM34" s="2">
        <f t="shared" si="45"/>
        <v>8</v>
      </c>
      <c r="AN34" s="24">
        <f t="shared" si="46"/>
        <v>3</v>
      </c>
      <c r="AO34" s="24">
        <f t="shared" si="47"/>
        <v>15</v>
      </c>
      <c r="AP34" s="24">
        <f t="shared" si="48"/>
        <v>9</v>
      </c>
      <c r="AQ34" s="24">
        <f t="shared" si="49"/>
        <v>6</v>
      </c>
      <c r="AR34" s="24">
        <f t="shared" si="50"/>
        <v>7</v>
      </c>
      <c r="AS34" s="24">
        <f t="shared" si="51"/>
        <v>6</v>
      </c>
      <c r="AT34" s="28">
        <f t="shared" si="52"/>
        <v>2</v>
      </c>
      <c r="AU34" s="24"/>
      <c r="AV34" s="27">
        <f t="shared" si="6"/>
        <v>1.157894737</v>
      </c>
      <c r="AW34" s="24">
        <f t="shared" si="53"/>
        <v>11</v>
      </c>
      <c r="AX34" s="2">
        <f t="shared" si="54"/>
        <v>7</v>
      </c>
      <c r="AY34" s="24">
        <f t="shared" si="55"/>
        <v>2</v>
      </c>
      <c r="AZ34" s="24">
        <f t="shared" si="56"/>
        <v>13</v>
      </c>
      <c r="BA34" s="24">
        <f t="shared" si="57"/>
        <v>7</v>
      </c>
      <c r="BB34" s="24">
        <f t="shared" si="58"/>
        <v>10</v>
      </c>
      <c r="BC34" s="24">
        <f t="shared" si="59"/>
        <v>6</v>
      </c>
      <c r="BD34" s="24">
        <f t="shared" si="60"/>
        <v>5</v>
      </c>
      <c r="BE34" s="28">
        <f t="shared" si="61"/>
        <v>2</v>
      </c>
      <c r="BF34" s="29">
        <f t="shared" ref="BF34:BO34" si="102">+(AK34+Z34+O34+D34)/4</f>
        <v>1.58201581</v>
      </c>
      <c r="BG34" s="24">
        <f t="shared" si="102"/>
        <v>14.75</v>
      </c>
      <c r="BH34" s="24">
        <f t="shared" si="102"/>
        <v>8.75</v>
      </c>
      <c r="BI34" s="24">
        <f t="shared" si="102"/>
        <v>3.25</v>
      </c>
      <c r="BJ34" s="24">
        <f t="shared" si="102"/>
        <v>16.5</v>
      </c>
      <c r="BK34" s="24">
        <f t="shared" si="102"/>
        <v>10.25</v>
      </c>
      <c r="BL34" s="24">
        <f t="shared" si="102"/>
        <v>4.5</v>
      </c>
      <c r="BM34" s="24">
        <f t="shared" si="102"/>
        <v>7.75</v>
      </c>
      <c r="BN34" s="24">
        <f t="shared" si="102"/>
        <v>7</v>
      </c>
      <c r="BO34" s="61">
        <f t="shared" si="102"/>
        <v>1.75</v>
      </c>
      <c r="BP34" s="30">
        <f t="shared" si="8"/>
        <v>-0.4241210734</v>
      </c>
      <c r="BQ34" s="31">
        <f t="shared" si="9"/>
        <v>0.2608695652</v>
      </c>
      <c r="BR34" s="31">
        <f t="shared" si="10"/>
        <v>0.2608695652</v>
      </c>
      <c r="BS34" s="31">
        <f t="shared" si="11"/>
        <v>0.2173913043</v>
      </c>
      <c r="BT34" s="31">
        <f t="shared" si="12"/>
        <v>0.08695652174</v>
      </c>
      <c r="BU34" s="31">
        <f t="shared" si="13"/>
        <v>0</v>
      </c>
      <c r="BV34" s="31">
        <f t="shared" si="14"/>
        <v>0.7391304348</v>
      </c>
      <c r="BW34" s="31">
        <f t="shared" ref="BW34:BX34" si="103">+BR34+BS34+BT34</f>
        <v>0.5652173913</v>
      </c>
      <c r="BX34" s="32">
        <f t="shared" si="103"/>
        <v>0.3043478261</v>
      </c>
      <c r="BY34" s="60"/>
    </row>
    <row r="35" ht="15.75" customHeight="1">
      <c r="B35" s="33">
        <v>24.0</v>
      </c>
      <c r="C35" s="2">
        <v>0.0</v>
      </c>
      <c r="D35" s="3">
        <f t="shared" si="3"/>
        <v>1.666666667</v>
      </c>
      <c r="E35" s="2">
        <f t="shared" si="16"/>
        <v>14</v>
      </c>
      <c r="F35" s="2">
        <f t="shared" si="17"/>
        <v>10</v>
      </c>
      <c r="G35" s="2">
        <f t="shared" si="18"/>
        <v>5</v>
      </c>
      <c r="H35" s="2">
        <f t="shared" si="19"/>
        <v>16</v>
      </c>
      <c r="I35" s="2">
        <f t="shared" si="20"/>
        <v>13</v>
      </c>
      <c r="J35" s="2">
        <f t="shared" si="21"/>
        <v>5</v>
      </c>
      <c r="K35" s="2">
        <f t="shared" si="22"/>
        <v>6</v>
      </c>
      <c r="L35" s="2">
        <f t="shared" si="23"/>
        <v>8</v>
      </c>
      <c r="M35" s="34">
        <f t="shared" si="24"/>
        <v>2</v>
      </c>
      <c r="N35" s="2">
        <v>1.0</v>
      </c>
      <c r="O35" s="3">
        <f t="shared" si="4"/>
        <v>1.291666667</v>
      </c>
      <c r="P35" s="2">
        <f t="shared" si="25"/>
        <v>18</v>
      </c>
      <c r="Q35" s="2">
        <f t="shared" si="26"/>
        <v>9</v>
      </c>
      <c r="R35" s="2">
        <f t="shared" si="27"/>
        <v>2</v>
      </c>
      <c r="S35" s="2">
        <f t="shared" si="28"/>
        <v>20</v>
      </c>
      <c r="T35" s="2">
        <f t="shared" si="29"/>
        <v>9</v>
      </c>
      <c r="U35" s="2">
        <f t="shared" si="30"/>
        <v>4</v>
      </c>
      <c r="V35" s="2">
        <f t="shared" si="31"/>
        <v>11</v>
      </c>
      <c r="W35" s="2">
        <f t="shared" si="32"/>
        <v>7</v>
      </c>
      <c r="X35" s="34">
        <f t="shared" si="33"/>
        <v>2</v>
      </c>
      <c r="Y35" s="2">
        <v>2.0</v>
      </c>
      <c r="Z35" s="3">
        <f t="shared" si="5"/>
        <v>1.75</v>
      </c>
      <c r="AA35" s="2">
        <f t="shared" si="34"/>
        <v>16</v>
      </c>
      <c r="AB35" s="2">
        <f t="shared" si="35"/>
        <v>9</v>
      </c>
      <c r="AC35" s="2">
        <f t="shared" si="36"/>
        <v>3</v>
      </c>
      <c r="AD35" s="2">
        <f t="shared" si="37"/>
        <v>17</v>
      </c>
      <c r="AE35" s="2">
        <f t="shared" si="38"/>
        <v>11</v>
      </c>
      <c r="AF35" s="2">
        <f t="shared" si="39"/>
        <v>4</v>
      </c>
      <c r="AG35" s="2">
        <f t="shared" si="40"/>
        <v>8</v>
      </c>
      <c r="AH35" s="2">
        <f t="shared" si="41"/>
        <v>8</v>
      </c>
      <c r="AI35" s="34">
        <f t="shared" si="42"/>
        <v>1</v>
      </c>
      <c r="AJ35" s="2">
        <v>1.0</v>
      </c>
      <c r="AK35" s="3">
        <f t="shared" si="43"/>
        <v>1.52173913</v>
      </c>
      <c r="AL35" s="2">
        <f t="shared" si="44"/>
        <v>14</v>
      </c>
      <c r="AM35" s="2">
        <f t="shared" si="45"/>
        <v>8</v>
      </c>
      <c r="AN35" s="2">
        <f t="shared" si="46"/>
        <v>3</v>
      </c>
      <c r="AO35" s="2">
        <f t="shared" si="47"/>
        <v>16</v>
      </c>
      <c r="AP35" s="2">
        <f t="shared" si="48"/>
        <v>9</v>
      </c>
      <c r="AQ35" s="2">
        <f t="shared" si="49"/>
        <v>6</v>
      </c>
      <c r="AR35" s="2">
        <f t="shared" si="50"/>
        <v>8</v>
      </c>
      <c r="AS35" s="2">
        <f t="shared" si="51"/>
        <v>6</v>
      </c>
      <c r="AT35" s="34">
        <f t="shared" si="52"/>
        <v>2</v>
      </c>
      <c r="AU35" s="2"/>
      <c r="AV35" s="3">
        <f t="shared" si="6"/>
        <v>1.157894737</v>
      </c>
      <c r="AW35" s="2">
        <f t="shared" si="53"/>
        <v>11</v>
      </c>
      <c r="AX35" s="2">
        <f t="shared" si="54"/>
        <v>7</v>
      </c>
      <c r="AY35" s="2">
        <f t="shared" si="55"/>
        <v>2</v>
      </c>
      <c r="AZ35" s="2">
        <f t="shared" si="56"/>
        <v>13</v>
      </c>
      <c r="BA35" s="2">
        <f t="shared" si="57"/>
        <v>7</v>
      </c>
      <c r="BB35" s="2">
        <f t="shared" si="58"/>
        <v>11</v>
      </c>
      <c r="BC35" s="2">
        <f t="shared" si="59"/>
        <v>6</v>
      </c>
      <c r="BD35" s="2">
        <f t="shared" si="60"/>
        <v>5</v>
      </c>
      <c r="BE35" s="34">
        <f t="shared" si="61"/>
        <v>2</v>
      </c>
      <c r="BF35" s="36">
        <f t="shared" ref="BF35:BO35" si="104">+(AK35+Z35+O35+D35)/4</f>
        <v>1.557518116</v>
      </c>
      <c r="BG35" s="2">
        <f t="shared" si="104"/>
        <v>15.5</v>
      </c>
      <c r="BH35" s="2">
        <f t="shared" si="104"/>
        <v>9</v>
      </c>
      <c r="BI35" s="2">
        <f t="shared" si="104"/>
        <v>3.25</v>
      </c>
      <c r="BJ35" s="2">
        <f t="shared" si="104"/>
        <v>17.25</v>
      </c>
      <c r="BK35" s="2">
        <f t="shared" si="104"/>
        <v>10.5</v>
      </c>
      <c r="BL35" s="2">
        <f t="shared" si="104"/>
        <v>4.75</v>
      </c>
      <c r="BM35" s="2">
        <f t="shared" si="104"/>
        <v>8.25</v>
      </c>
      <c r="BN35" s="2">
        <f t="shared" si="104"/>
        <v>7.25</v>
      </c>
      <c r="BO35" s="62">
        <f t="shared" si="104"/>
        <v>1.75</v>
      </c>
      <c r="BP35" s="37">
        <f t="shared" si="8"/>
        <v>-0.3996233791</v>
      </c>
      <c r="BQ35" s="38">
        <f t="shared" si="9"/>
        <v>0.25</v>
      </c>
      <c r="BR35" s="38">
        <f t="shared" si="10"/>
        <v>0.25</v>
      </c>
      <c r="BS35" s="38">
        <f t="shared" si="11"/>
        <v>0.2083333333</v>
      </c>
      <c r="BT35" s="38">
        <f t="shared" si="12"/>
        <v>0.08333333333</v>
      </c>
      <c r="BU35" s="38">
        <f t="shared" si="13"/>
        <v>0</v>
      </c>
      <c r="BV35" s="38">
        <f t="shared" si="14"/>
        <v>0.75</v>
      </c>
      <c r="BW35" s="38">
        <f t="shared" ref="BW35:BX35" si="105">+BR35+BS35+BT35</f>
        <v>0.5416666667</v>
      </c>
      <c r="BX35" s="39">
        <f t="shared" si="105"/>
        <v>0.2916666667</v>
      </c>
    </row>
    <row r="36" ht="15.75" customHeight="1">
      <c r="A36" s="60"/>
      <c r="B36" s="40">
        <v>25.0</v>
      </c>
      <c r="C36" s="24">
        <v>2.0</v>
      </c>
      <c r="D36" s="27">
        <f t="shared" si="3"/>
        <v>1.68</v>
      </c>
      <c r="E36" s="24">
        <f t="shared" si="16"/>
        <v>15</v>
      </c>
      <c r="F36" s="2">
        <f t="shared" si="17"/>
        <v>11</v>
      </c>
      <c r="G36" s="24">
        <f t="shared" si="18"/>
        <v>5</v>
      </c>
      <c r="H36" s="24">
        <f t="shared" si="19"/>
        <v>17</v>
      </c>
      <c r="I36" s="24">
        <f t="shared" si="20"/>
        <v>14</v>
      </c>
      <c r="J36" s="24">
        <f t="shared" si="21"/>
        <v>5</v>
      </c>
      <c r="K36" s="24">
        <f t="shared" si="22"/>
        <v>6</v>
      </c>
      <c r="L36" s="24">
        <f t="shared" si="23"/>
        <v>9</v>
      </c>
      <c r="M36" s="28">
        <f t="shared" si="24"/>
        <v>2</v>
      </c>
      <c r="N36" s="24">
        <v>1.0</v>
      </c>
      <c r="O36" s="27">
        <f t="shared" si="4"/>
        <v>1.28</v>
      </c>
      <c r="P36" s="24">
        <f t="shared" si="25"/>
        <v>19</v>
      </c>
      <c r="Q36" s="2">
        <f t="shared" si="26"/>
        <v>9</v>
      </c>
      <c r="R36" s="24">
        <f t="shared" si="27"/>
        <v>2</v>
      </c>
      <c r="S36" s="24">
        <f t="shared" si="28"/>
        <v>21</v>
      </c>
      <c r="T36" s="24">
        <f t="shared" si="29"/>
        <v>9</v>
      </c>
      <c r="U36" s="24">
        <f t="shared" si="30"/>
        <v>4</v>
      </c>
      <c r="V36" s="24">
        <f t="shared" si="31"/>
        <v>12</v>
      </c>
      <c r="W36" s="24">
        <f t="shared" si="32"/>
        <v>7</v>
      </c>
      <c r="X36" s="28">
        <f t="shared" si="33"/>
        <v>2</v>
      </c>
      <c r="Y36" s="24">
        <v>3.0</v>
      </c>
      <c r="Z36" s="27">
        <f t="shared" si="5"/>
        <v>1.8</v>
      </c>
      <c r="AA36" s="24">
        <f t="shared" si="34"/>
        <v>16</v>
      </c>
      <c r="AB36" s="2">
        <f t="shared" si="35"/>
        <v>10</v>
      </c>
      <c r="AC36" s="24">
        <f t="shared" si="36"/>
        <v>4</v>
      </c>
      <c r="AD36" s="24">
        <f t="shared" si="37"/>
        <v>18</v>
      </c>
      <c r="AE36" s="24">
        <f t="shared" si="38"/>
        <v>12</v>
      </c>
      <c r="AF36" s="24">
        <f t="shared" si="39"/>
        <v>4</v>
      </c>
      <c r="AG36" s="24">
        <f t="shared" si="40"/>
        <v>8</v>
      </c>
      <c r="AH36" s="24">
        <f t="shared" si="41"/>
        <v>8</v>
      </c>
      <c r="AI36" s="28">
        <f t="shared" si="42"/>
        <v>2</v>
      </c>
      <c r="AJ36" s="24">
        <v>1.0</v>
      </c>
      <c r="AK36" s="27">
        <f t="shared" si="43"/>
        <v>1.5</v>
      </c>
      <c r="AL36" s="24">
        <f t="shared" si="44"/>
        <v>15</v>
      </c>
      <c r="AM36" s="2">
        <f t="shared" si="45"/>
        <v>8</v>
      </c>
      <c r="AN36" s="24">
        <f t="shared" si="46"/>
        <v>3</v>
      </c>
      <c r="AO36" s="24">
        <f t="shared" si="47"/>
        <v>17</v>
      </c>
      <c r="AP36" s="24">
        <f t="shared" si="48"/>
        <v>9</v>
      </c>
      <c r="AQ36" s="24">
        <f t="shared" si="49"/>
        <v>6</v>
      </c>
      <c r="AR36" s="24">
        <f t="shared" si="50"/>
        <v>9</v>
      </c>
      <c r="AS36" s="24">
        <f t="shared" si="51"/>
        <v>6</v>
      </c>
      <c r="AT36" s="28">
        <f t="shared" si="52"/>
        <v>2</v>
      </c>
      <c r="AU36" s="24"/>
      <c r="AV36" s="27">
        <f t="shared" si="6"/>
        <v>1.157894737</v>
      </c>
      <c r="AW36" s="24">
        <f t="shared" si="53"/>
        <v>11</v>
      </c>
      <c r="AX36" s="2">
        <f t="shared" si="54"/>
        <v>7</v>
      </c>
      <c r="AY36" s="24">
        <f t="shared" si="55"/>
        <v>2</v>
      </c>
      <c r="AZ36" s="24">
        <f t="shared" si="56"/>
        <v>13</v>
      </c>
      <c r="BA36" s="24">
        <f t="shared" si="57"/>
        <v>7</v>
      </c>
      <c r="BB36" s="24">
        <f t="shared" si="58"/>
        <v>12</v>
      </c>
      <c r="BC36" s="24">
        <f t="shared" si="59"/>
        <v>6</v>
      </c>
      <c r="BD36" s="24">
        <f t="shared" si="60"/>
        <v>5</v>
      </c>
      <c r="BE36" s="28">
        <f t="shared" si="61"/>
        <v>2</v>
      </c>
      <c r="BF36" s="29">
        <f t="shared" ref="BF36:BO36" si="106">+(AK36+Z36+O36+D36)/4</f>
        <v>1.565</v>
      </c>
      <c r="BG36" s="24">
        <f t="shared" si="106"/>
        <v>16.25</v>
      </c>
      <c r="BH36" s="24">
        <f t="shared" si="106"/>
        <v>9.5</v>
      </c>
      <c r="BI36" s="24">
        <f t="shared" si="106"/>
        <v>3.5</v>
      </c>
      <c r="BJ36" s="24">
        <f t="shared" si="106"/>
        <v>18.25</v>
      </c>
      <c r="BK36" s="24">
        <f t="shared" si="106"/>
        <v>11</v>
      </c>
      <c r="BL36" s="24">
        <f t="shared" si="106"/>
        <v>4.75</v>
      </c>
      <c r="BM36" s="24">
        <f t="shared" si="106"/>
        <v>8.75</v>
      </c>
      <c r="BN36" s="24">
        <f t="shared" si="106"/>
        <v>7.5</v>
      </c>
      <c r="BO36" s="61">
        <f t="shared" si="106"/>
        <v>2</v>
      </c>
      <c r="BP36" s="30">
        <f t="shared" si="8"/>
        <v>-0.4071052632</v>
      </c>
      <c r="BQ36" s="31">
        <f t="shared" si="9"/>
        <v>0.24</v>
      </c>
      <c r="BR36" s="31">
        <f t="shared" si="10"/>
        <v>0.24</v>
      </c>
      <c r="BS36" s="31">
        <f t="shared" si="11"/>
        <v>0.2</v>
      </c>
      <c r="BT36" s="31">
        <f t="shared" si="12"/>
        <v>0.08</v>
      </c>
      <c r="BU36" s="31">
        <f t="shared" si="13"/>
        <v>0</v>
      </c>
      <c r="BV36" s="31">
        <f t="shared" si="14"/>
        <v>0.76</v>
      </c>
      <c r="BW36" s="31">
        <f t="shared" ref="BW36:BX36" si="107">+BR36+BS36+BT36</f>
        <v>0.52</v>
      </c>
      <c r="BX36" s="32">
        <f t="shared" si="107"/>
        <v>0.28</v>
      </c>
      <c r="BY36" s="60"/>
    </row>
    <row r="37" ht="15.75" customHeight="1">
      <c r="B37" s="33">
        <v>26.0</v>
      </c>
      <c r="C37" s="2">
        <v>2.0</v>
      </c>
      <c r="D37" s="3">
        <f t="shared" si="3"/>
        <v>1.692307692</v>
      </c>
      <c r="E37" s="2">
        <f t="shared" si="16"/>
        <v>16</v>
      </c>
      <c r="F37" s="2">
        <f t="shared" si="17"/>
        <v>12</v>
      </c>
      <c r="G37" s="2">
        <f t="shared" si="18"/>
        <v>5</v>
      </c>
      <c r="H37" s="2">
        <f t="shared" si="19"/>
        <v>18</v>
      </c>
      <c r="I37" s="2">
        <f t="shared" si="20"/>
        <v>15</v>
      </c>
      <c r="J37" s="2">
        <f t="shared" si="21"/>
        <v>5</v>
      </c>
      <c r="K37" s="2">
        <f t="shared" si="22"/>
        <v>6</v>
      </c>
      <c r="L37" s="2">
        <f t="shared" si="23"/>
        <v>10</v>
      </c>
      <c r="M37" s="34">
        <f t="shared" si="24"/>
        <v>2</v>
      </c>
      <c r="N37" s="2">
        <v>3.0</v>
      </c>
      <c r="O37" s="3">
        <f t="shared" si="4"/>
        <v>1.346153846</v>
      </c>
      <c r="P37" s="2">
        <f t="shared" si="25"/>
        <v>19</v>
      </c>
      <c r="Q37" s="2">
        <f t="shared" si="26"/>
        <v>10</v>
      </c>
      <c r="R37" s="2">
        <f t="shared" si="27"/>
        <v>3</v>
      </c>
      <c r="S37" s="2">
        <f t="shared" si="28"/>
        <v>22</v>
      </c>
      <c r="T37" s="2">
        <f t="shared" si="29"/>
        <v>10</v>
      </c>
      <c r="U37" s="2">
        <f t="shared" si="30"/>
        <v>4</v>
      </c>
      <c r="V37" s="2">
        <f t="shared" si="31"/>
        <v>12</v>
      </c>
      <c r="W37" s="2">
        <f t="shared" si="32"/>
        <v>7</v>
      </c>
      <c r="X37" s="34">
        <f t="shared" si="33"/>
        <v>3</v>
      </c>
      <c r="Y37" s="2">
        <v>3.0</v>
      </c>
      <c r="Z37" s="3">
        <f t="shared" si="5"/>
        <v>1.846153846</v>
      </c>
      <c r="AA37" s="2">
        <f t="shared" si="34"/>
        <v>16</v>
      </c>
      <c r="AB37" s="2">
        <f t="shared" si="35"/>
        <v>11</v>
      </c>
      <c r="AC37" s="2">
        <f t="shared" si="36"/>
        <v>5</v>
      </c>
      <c r="AD37" s="2">
        <f t="shared" si="37"/>
        <v>19</v>
      </c>
      <c r="AE37" s="2">
        <f t="shared" si="38"/>
        <v>13</v>
      </c>
      <c r="AF37" s="2">
        <f t="shared" si="39"/>
        <v>4</v>
      </c>
      <c r="AG37" s="2">
        <f t="shared" si="40"/>
        <v>8</v>
      </c>
      <c r="AH37" s="2">
        <f t="shared" si="41"/>
        <v>8</v>
      </c>
      <c r="AI37" s="34">
        <f t="shared" si="42"/>
        <v>3</v>
      </c>
      <c r="AJ37" s="2">
        <v>4.0</v>
      </c>
      <c r="AK37" s="3">
        <f t="shared" si="43"/>
        <v>1.6</v>
      </c>
      <c r="AL37" s="2">
        <f t="shared" si="44"/>
        <v>15</v>
      </c>
      <c r="AM37" s="2">
        <f t="shared" si="45"/>
        <v>8</v>
      </c>
      <c r="AN37" s="2">
        <f t="shared" si="46"/>
        <v>4</v>
      </c>
      <c r="AO37" s="2">
        <f t="shared" si="47"/>
        <v>17</v>
      </c>
      <c r="AP37" s="2">
        <f t="shared" si="48"/>
        <v>10</v>
      </c>
      <c r="AQ37" s="2">
        <f t="shared" si="49"/>
        <v>6</v>
      </c>
      <c r="AR37" s="2">
        <f t="shared" si="50"/>
        <v>9</v>
      </c>
      <c r="AS37" s="2">
        <f t="shared" si="51"/>
        <v>6</v>
      </c>
      <c r="AT37" s="34">
        <f t="shared" si="52"/>
        <v>2</v>
      </c>
      <c r="AU37" s="2"/>
      <c r="AV37" s="3">
        <f t="shared" si="6"/>
        <v>1.157894737</v>
      </c>
      <c r="AW37" s="2">
        <f t="shared" si="53"/>
        <v>11</v>
      </c>
      <c r="AX37" s="2">
        <f t="shared" si="54"/>
        <v>7</v>
      </c>
      <c r="AY37" s="2">
        <f t="shared" si="55"/>
        <v>2</v>
      </c>
      <c r="AZ37" s="2">
        <f t="shared" si="56"/>
        <v>13</v>
      </c>
      <c r="BA37" s="2">
        <f t="shared" si="57"/>
        <v>7</v>
      </c>
      <c r="BB37" s="2">
        <f t="shared" si="58"/>
        <v>13</v>
      </c>
      <c r="BC37" s="2">
        <f t="shared" si="59"/>
        <v>6</v>
      </c>
      <c r="BD37" s="2">
        <f t="shared" si="60"/>
        <v>5</v>
      </c>
      <c r="BE37" s="34">
        <f t="shared" si="61"/>
        <v>2</v>
      </c>
      <c r="BF37" s="36">
        <f t="shared" ref="BF37:BO37" si="108">+(AK37+Z37+O37+D37)/4</f>
        <v>1.621153846</v>
      </c>
      <c r="BG37" s="2">
        <f t="shared" si="108"/>
        <v>16.5</v>
      </c>
      <c r="BH37" s="2">
        <f t="shared" si="108"/>
        <v>10.25</v>
      </c>
      <c r="BI37" s="2">
        <f t="shared" si="108"/>
        <v>4.25</v>
      </c>
      <c r="BJ37" s="2">
        <f t="shared" si="108"/>
        <v>19</v>
      </c>
      <c r="BK37" s="2">
        <f t="shared" si="108"/>
        <v>12</v>
      </c>
      <c r="BL37" s="2">
        <f t="shared" si="108"/>
        <v>4.75</v>
      </c>
      <c r="BM37" s="2">
        <f t="shared" si="108"/>
        <v>8.75</v>
      </c>
      <c r="BN37" s="2">
        <f t="shared" si="108"/>
        <v>7.75</v>
      </c>
      <c r="BO37" s="62">
        <f t="shared" si="108"/>
        <v>2.5</v>
      </c>
      <c r="BP37" s="37">
        <f t="shared" si="8"/>
        <v>-0.4632591093</v>
      </c>
      <c r="BQ37" s="38">
        <f t="shared" si="9"/>
        <v>0.2307692308</v>
      </c>
      <c r="BR37" s="38">
        <f t="shared" si="10"/>
        <v>0.2307692308</v>
      </c>
      <c r="BS37" s="38">
        <f t="shared" si="11"/>
        <v>0.1923076923</v>
      </c>
      <c r="BT37" s="38">
        <f t="shared" si="12"/>
        <v>0.07692307692</v>
      </c>
      <c r="BU37" s="38">
        <f t="shared" si="13"/>
        <v>0</v>
      </c>
      <c r="BV37" s="38">
        <f t="shared" si="14"/>
        <v>0.7692307692</v>
      </c>
      <c r="BW37" s="38">
        <f t="shared" ref="BW37:BX37" si="109">+BR37+BS37+BT37</f>
        <v>0.5</v>
      </c>
      <c r="BX37" s="39">
        <f t="shared" si="109"/>
        <v>0.2692307692</v>
      </c>
    </row>
    <row r="38" ht="15.75" customHeight="1">
      <c r="A38" s="60"/>
      <c r="B38" s="40">
        <v>27.0</v>
      </c>
      <c r="C38" s="24">
        <v>1.0</v>
      </c>
      <c r="D38" s="27">
        <f t="shared" si="3"/>
        <v>1.666666667</v>
      </c>
      <c r="E38" s="24">
        <f t="shared" si="16"/>
        <v>17</v>
      </c>
      <c r="F38" s="2">
        <f t="shared" si="17"/>
        <v>12</v>
      </c>
      <c r="G38" s="24">
        <f t="shared" si="18"/>
        <v>5</v>
      </c>
      <c r="H38" s="24">
        <f t="shared" si="19"/>
        <v>19</v>
      </c>
      <c r="I38" s="24">
        <f t="shared" si="20"/>
        <v>15</v>
      </c>
      <c r="J38" s="24">
        <f t="shared" si="21"/>
        <v>5</v>
      </c>
      <c r="K38" s="24">
        <f t="shared" si="22"/>
        <v>7</v>
      </c>
      <c r="L38" s="24">
        <f t="shared" si="23"/>
        <v>10</v>
      </c>
      <c r="M38" s="28">
        <f t="shared" si="24"/>
        <v>2</v>
      </c>
      <c r="N38" s="24">
        <v>0.0</v>
      </c>
      <c r="O38" s="27">
        <f t="shared" si="4"/>
        <v>1.296296296</v>
      </c>
      <c r="P38" s="24">
        <f t="shared" si="25"/>
        <v>19</v>
      </c>
      <c r="Q38" s="2">
        <f t="shared" si="26"/>
        <v>10</v>
      </c>
      <c r="R38" s="24">
        <f t="shared" si="27"/>
        <v>3</v>
      </c>
      <c r="S38" s="24">
        <f t="shared" si="28"/>
        <v>22</v>
      </c>
      <c r="T38" s="24">
        <f t="shared" si="29"/>
        <v>10</v>
      </c>
      <c r="U38" s="24">
        <f t="shared" si="30"/>
        <v>5</v>
      </c>
      <c r="V38" s="24">
        <f t="shared" si="31"/>
        <v>12</v>
      </c>
      <c r="W38" s="24">
        <f t="shared" si="32"/>
        <v>7</v>
      </c>
      <c r="X38" s="28">
        <f t="shared" si="33"/>
        <v>3</v>
      </c>
      <c r="Y38" s="24">
        <v>4.0</v>
      </c>
      <c r="Z38" s="27">
        <f t="shared" si="5"/>
        <v>1.925925926</v>
      </c>
      <c r="AA38" s="24">
        <f t="shared" si="34"/>
        <v>16</v>
      </c>
      <c r="AB38" s="2">
        <f t="shared" si="35"/>
        <v>11</v>
      </c>
      <c r="AC38" s="24">
        <f t="shared" si="36"/>
        <v>6</v>
      </c>
      <c r="AD38" s="24">
        <f t="shared" si="37"/>
        <v>19</v>
      </c>
      <c r="AE38" s="24">
        <f t="shared" si="38"/>
        <v>14</v>
      </c>
      <c r="AF38" s="24">
        <f t="shared" si="39"/>
        <v>4</v>
      </c>
      <c r="AG38" s="24">
        <f t="shared" si="40"/>
        <v>8</v>
      </c>
      <c r="AH38" s="24">
        <f t="shared" si="41"/>
        <v>8</v>
      </c>
      <c r="AI38" s="28">
        <f t="shared" si="42"/>
        <v>3</v>
      </c>
      <c r="AJ38" s="24">
        <v>2.0</v>
      </c>
      <c r="AK38" s="27">
        <f t="shared" si="43"/>
        <v>1.615384615</v>
      </c>
      <c r="AL38" s="24">
        <f t="shared" si="44"/>
        <v>16</v>
      </c>
      <c r="AM38" s="2">
        <f t="shared" si="45"/>
        <v>9</v>
      </c>
      <c r="AN38" s="24">
        <f t="shared" si="46"/>
        <v>4</v>
      </c>
      <c r="AO38" s="24">
        <f t="shared" si="47"/>
        <v>18</v>
      </c>
      <c r="AP38" s="24">
        <f t="shared" si="48"/>
        <v>11</v>
      </c>
      <c r="AQ38" s="24">
        <f t="shared" si="49"/>
        <v>6</v>
      </c>
      <c r="AR38" s="24">
        <f t="shared" si="50"/>
        <v>9</v>
      </c>
      <c r="AS38" s="24">
        <f t="shared" si="51"/>
        <v>7</v>
      </c>
      <c r="AT38" s="28">
        <f t="shared" si="52"/>
        <v>2</v>
      </c>
      <c r="AU38" s="24"/>
      <c r="AV38" s="27">
        <f t="shared" si="6"/>
        <v>1.157894737</v>
      </c>
      <c r="AW38" s="24">
        <f t="shared" si="53"/>
        <v>11</v>
      </c>
      <c r="AX38" s="2">
        <f t="shared" si="54"/>
        <v>7</v>
      </c>
      <c r="AY38" s="24">
        <f t="shared" si="55"/>
        <v>2</v>
      </c>
      <c r="AZ38" s="24">
        <f t="shared" si="56"/>
        <v>13</v>
      </c>
      <c r="BA38" s="24">
        <f t="shared" si="57"/>
        <v>7</v>
      </c>
      <c r="BB38" s="24">
        <f t="shared" si="58"/>
        <v>14</v>
      </c>
      <c r="BC38" s="24">
        <f t="shared" si="59"/>
        <v>6</v>
      </c>
      <c r="BD38" s="24">
        <f t="shared" si="60"/>
        <v>5</v>
      </c>
      <c r="BE38" s="28">
        <f t="shared" si="61"/>
        <v>2</v>
      </c>
      <c r="BF38" s="29">
        <f t="shared" ref="BF38:BO38" si="110">+(AK38+Z38+O38+D38)/4</f>
        <v>1.626068376</v>
      </c>
      <c r="BG38" s="24">
        <f t="shared" si="110"/>
        <v>17</v>
      </c>
      <c r="BH38" s="24">
        <f t="shared" si="110"/>
        <v>10.5</v>
      </c>
      <c r="BI38" s="24">
        <f t="shared" si="110"/>
        <v>4.5</v>
      </c>
      <c r="BJ38" s="24">
        <f t="shared" si="110"/>
        <v>19.5</v>
      </c>
      <c r="BK38" s="24">
        <f t="shared" si="110"/>
        <v>12.5</v>
      </c>
      <c r="BL38" s="24">
        <f t="shared" si="110"/>
        <v>5</v>
      </c>
      <c r="BM38" s="24">
        <f t="shared" si="110"/>
        <v>9</v>
      </c>
      <c r="BN38" s="24">
        <f t="shared" si="110"/>
        <v>8</v>
      </c>
      <c r="BO38" s="61">
        <f t="shared" si="110"/>
        <v>2.5</v>
      </c>
      <c r="BP38" s="30">
        <f t="shared" si="8"/>
        <v>-0.4681736392</v>
      </c>
      <c r="BQ38" s="31">
        <f t="shared" si="9"/>
        <v>0.2222222222</v>
      </c>
      <c r="BR38" s="31">
        <f t="shared" si="10"/>
        <v>0.2222222222</v>
      </c>
      <c r="BS38" s="31">
        <f t="shared" si="11"/>
        <v>0.1851851852</v>
      </c>
      <c r="BT38" s="31">
        <f t="shared" si="12"/>
        <v>0.07407407407</v>
      </c>
      <c r="BU38" s="31">
        <f t="shared" si="13"/>
        <v>0</v>
      </c>
      <c r="BV38" s="31">
        <f t="shared" si="14"/>
        <v>0.7777777778</v>
      </c>
      <c r="BW38" s="31">
        <f t="shared" ref="BW38:BX38" si="111">+BR38+BS38+BT38</f>
        <v>0.4814814815</v>
      </c>
      <c r="BX38" s="32">
        <f t="shared" si="111"/>
        <v>0.2592592593</v>
      </c>
      <c r="BY38" s="60"/>
    </row>
    <row r="39" ht="15.75" customHeight="1">
      <c r="B39" s="33">
        <v>28.0</v>
      </c>
      <c r="C39" s="2">
        <v>1.0</v>
      </c>
      <c r="D39" s="3">
        <f t="shared" si="3"/>
        <v>1.642857143</v>
      </c>
      <c r="E39" s="2">
        <f t="shared" si="16"/>
        <v>18</v>
      </c>
      <c r="F39" s="2">
        <f t="shared" si="17"/>
        <v>12</v>
      </c>
      <c r="G39" s="2">
        <f t="shared" si="18"/>
        <v>5</v>
      </c>
      <c r="H39" s="2">
        <f t="shared" si="19"/>
        <v>20</v>
      </c>
      <c r="I39" s="2">
        <f t="shared" si="20"/>
        <v>15</v>
      </c>
      <c r="J39" s="2">
        <f t="shared" si="21"/>
        <v>5</v>
      </c>
      <c r="K39" s="2">
        <f t="shared" si="22"/>
        <v>8</v>
      </c>
      <c r="L39" s="2">
        <f t="shared" si="23"/>
        <v>10</v>
      </c>
      <c r="M39" s="34">
        <f t="shared" si="24"/>
        <v>2</v>
      </c>
      <c r="N39" s="2">
        <v>3.0</v>
      </c>
      <c r="O39" s="3">
        <f t="shared" si="4"/>
        <v>1.357142857</v>
      </c>
      <c r="P39" s="2">
        <f t="shared" si="25"/>
        <v>19</v>
      </c>
      <c r="Q39" s="2">
        <f t="shared" si="26"/>
        <v>11</v>
      </c>
      <c r="R39" s="2">
        <f t="shared" si="27"/>
        <v>4</v>
      </c>
      <c r="S39" s="2">
        <f t="shared" si="28"/>
        <v>23</v>
      </c>
      <c r="T39" s="2">
        <f t="shared" si="29"/>
        <v>11</v>
      </c>
      <c r="U39" s="2">
        <f t="shared" si="30"/>
        <v>5</v>
      </c>
      <c r="V39" s="2">
        <f t="shared" si="31"/>
        <v>12</v>
      </c>
      <c r="W39" s="2">
        <f t="shared" si="32"/>
        <v>7</v>
      </c>
      <c r="X39" s="34">
        <f t="shared" si="33"/>
        <v>4</v>
      </c>
      <c r="Y39" s="2">
        <v>2.0</v>
      </c>
      <c r="Z39" s="3">
        <f t="shared" si="5"/>
        <v>1.928571429</v>
      </c>
      <c r="AA39" s="2">
        <f t="shared" si="34"/>
        <v>17</v>
      </c>
      <c r="AB39" s="2">
        <f t="shared" si="35"/>
        <v>12</v>
      </c>
      <c r="AC39" s="2">
        <f t="shared" si="36"/>
        <v>6</v>
      </c>
      <c r="AD39" s="2">
        <f t="shared" si="37"/>
        <v>20</v>
      </c>
      <c r="AE39" s="2">
        <f t="shared" si="38"/>
        <v>15</v>
      </c>
      <c r="AF39" s="2">
        <f t="shared" si="39"/>
        <v>4</v>
      </c>
      <c r="AG39" s="2">
        <f t="shared" si="40"/>
        <v>8</v>
      </c>
      <c r="AH39" s="2">
        <f t="shared" si="41"/>
        <v>9</v>
      </c>
      <c r="AI39" s="34">
        <f t="shared" si="42"/>
        <v>3</v>
      </c>
      <c r="AJ39" s="2">
        <v>1.0</v>
      </c>
      <c r="AK39" s="3">
        <f t="shared" si="43"/>
        <v>1.592592593</v>
      </c>
      <c r="AL39" s="2">
        <f t="shared" si="44"/>
        <v>17</v>
      </c>
      <c r="AM39" s="2">
        <f t="shared" si="45"/>
        <v>9</v>
      </c>
      <c r="AN39" s="2">
        <f t="shared" si="46"/>
        <v>4</v>
      </c>
      <c r="AO39" s="2">
        <f t="shared" si="47"/>
        <v>19</v>
      </c>
      <c r="AP39" s="2">
        <f t="shared" si="48"/>
        <v>11</v>
      </c>
      <c r="AQ39" s="2">
        <f t="shared" si="49"/>
        <v>6</v>
      </c>
      <c r="AR39" s="2">
        <f t="shared" si="50"/>
        <v>10</v>
      </c>
      <c r="AS39" s="2">
        <f t="shared" si="51"/>
        <v>7</v>
      </c>
      <c r="AT39" s="34">
        <f t="shared" si="52"/>
        <v>2</v>
      </c>
      <c r="AU39" s="2"/>
      <c r="AV39" s="3">
        <f t="shared" si="6"/>
        <v>1.157894737</v>
      </c>
      <c r="AW39" s="2">
        <f t="shared" si="53"/>
        <v>11</v>
      </c>
      <c r="AX39" s="2">
        <f t="shared" si="54"/>
        <v>7</v>
      </c>
      <c r="AY39" s="2">
        <f t="shared" si="55"/>
        <v>2</v>
      </c>
      <c r="AZ39" s="2">
        <f t="shared" si="56"/>
        <v>13</v>
      </c>
      <c r="BA39" s="2">
        <f t="shared" si="57"/>
        <v>7</v>
      </c>
      <c r="BB39" s="2">
        <f t="shared" si="58"/>
        <v>15</v>
      </c>
      <c r="BC39" s="2">
        <f t="shared" si="59"/>
        <v>6</v>
      </c>
      <c r="BD39" s="2">
        <f t="shared" si="60"/>
        <v>5</v>
      </c>
      <c r="BE39" s="34">
        <f t="shared" si="61"/>
        <v>2</v>
      </c>
      <c r="BF39" s="36">
        <f t="shared" ref="BF39:BO39" si="112">+(AK39+Z39+O39+D39)/4</f>
        <v>1.630291005</v>
      </c>
      <c r="BG39" s="2">
        <f t="shared" si="112"/>
        <v>17.75</v>
      </c>
      <c r="BH39" s="2">
        <f t="shared" si="112"/>
        <v>11</v>
      </c>
      <c r="BI39" s="2">
        <f t="shared" si="112"/>
        <v>4.75</v>
      </c>
      <c r="BJ39" s="2">
        <f t="shared" si="112"/>
        <v>20.5</v>
      </c>
      <c r="BK39" s="2">
        <f t="shared" si="112"/>
        <v>13</v>
      </c>
      <c r="BL39" s="2">
        <f t="shared" si="112"/>
        <v>5</v>
      </c>
      <c r="BM39" s="2">
        <f t="shared" si="112"/>
        <v>9.5</v>
      </c>
      <c r="BN39" s="2">
        <f t="shared" si="112"/>
        <v>8.25</v>
      </c>
      <c r="BO39" s="62">
        <f t="shared" si="112"/>
        <v>2.75</v>
      </c>
      <c r="BP39" s="37">
        <f t="shared" si="8"/>
        <v>-0.4723962684</v>
      </c>
      <c r="BQ39" s="38">
        <f t="shared" si="9"/>
        <v>0.2142857143</v>
      </c>
      <c r="BR39" s="38">
        <f t="shared" si="10"/>
        <v>0.2142857143</v>
      </c>
      <c r="BS39" s="38">
        <f t="shared" si="11"/>
        <v>0.1785714286</v>
      </c>
      <c r="BT39" s="38">
        <f t="shared" si="12"/>
        <v>0.07142857143</v>
      </c>
      <c r="BU39" s="38">
        <f t="shared" si="13"/>
        <v>0</v>
      </c>
      <c r="BV39" s="38">
        <f t="shared" si="14"/>
        <v>0.7857142857</v>
      </c>
      <c r="BW39" s="38">
        <f t="shared" ref="BW39:BX39" si="113">+BR39+BS39+BT39</f>
        <v>0.4642857143</v>
      </c>
      <c r="BX39" s="39">
        <f t="shared" si="113"/>
        <v>0.25</v>
      </c>
    </row>
    <row r="40" ht="15.75" customHeight="1">
      <c r="A40" s="60"/>
      <c r="B40" s="40">
        <v>29.0</v>
      </c>
      <c r="C40" s="24">
        <v>1.0</v>
      </c>
      <c r="D40" s="27">
        <f t="shared" si="3"/>
        <v>1.620689655</v>
      </c>
      <c r="E40" s="24">
        <f t="shared" si="16"/>
        <v>19</v>
      </c>
      <c r="F40" s="2">
        <f t="shared" si="17"/>
        <v>12</v>
      </c>
      <c r="G40" s="24">
        <f t="shared" si="18"/>
        <v>5</v>
      </c>
      <c r="H40" s="24">
        <f t="shared" si="19"/>
        <v>21</v>
      </c>
      <c r="I40" s="24">
        <f t="shared" si="20"/>
        <v>15</v>
      </c>
      <c r="J40" s="24">
        <f t="shared" si="21"/>
        <v>5</v>
      </c>
      <c r="K40" s="24">
        <f t="shared" si="22"/>
        <v>9</v>
      </c>
      <c r="L40" s="24">
        <f t="shared" si="23"/>
        <v>10</v>
      </c>
      <c r="M40" s="28">
        <f t="shared" si="24"/>
        <v>2</v>
      </c>
      <c r="N40" s="24">
        <v>1.0</v>
      </c>
      <c r="O40" s="27">
        <f t="shared" si="4"/>
        <v>1.344827586</v>
      </c>
      <c r="P40" s="24">
        <f t="shared" si="25"/>
        <v>20</v>
      </c>
      <c r="Q40" s="2">
        <f t="shared" si="26"/>
        <v>11</v>
      </c>
      <c r="R40" s="24">
        <f t="shared" si="27"/>
        <v>4</v>
      </c>
      <c r="S40" s="24">
        <f t="shared" si="28"/>
        <v>24</v>
      </c>
      <c r="T40" s="24">
        <f t="shared" si="29"/>
        <v>11</v>
      </c>
      <c r="U40" s="24">
        <f t="shared" si="30"/>
        <v>5</v>
      </c>
      <c r="V40" s="24">
        <f t="shared" si="31"/>
        <v>13</v>
      </c>
      <c r="W40" s="24">
        <f t="shared" si="32"/>
        <v>7</v>
      </c>
      <c r="X40" s="28">
        <f t="shared" si="33"/>
        <v>4</v>
      </c>
      <c r="Y40" s="24">
        <v>1.0</v>
      </c>
      <c r="Z40" s="27">
        <f t="shared" si="5"/>
        <v>1.896551724</v>
      </c>
      <c r="AA40" s="24">
        <f t="shared" si="34"/>
        <v>18</v>
      </c>
      <c r="AB40" s="2">
        <f t="shared" si="35"/>
        <v>12</v>
      </c>
      <c r="AC40" s="24">
        <f t="shared" si="36"/>
        <v>6</v>
      </c>
      <c r="AD40" s="24">
        <f t="shared" si="37"/>
        <v>21</v>
      </c>
      <c r="AE40" s="24">
        <f t="shared" si="38"/>
        <v>15</v>
      </c>
      <c r="AF40" s="24">
        <f t="shared" si="39"/>
        <v>4</v>
      </c>
      <c r="AG40" s="24">
        <f t="shared" si="40"/>
        <v>9</v>
      </c>
      <c r="AH40" s="24">
        <f t="shared" si="41"/>
        <v>9</v>
      </c>
      <c r="AI40" s="28">
        <f t="shared" si="42"/>
        <v>3</v>
      </c>
      <c r="AJ40" s="24">
        <v>1.0</v>
      </c>
      <c r="AK40" s="27">
        <f t="shared" si="43"/>
        <v>1.571428571</v>
      </c>
      <c r="AL40" s="24">
        <f t="shared" si="44"/>
        <v>18</v>
      </c>
      <c r="AM40" s="2">
        <f t="shared" si="45"/>
        <v>9</v>
      </c>
      <c r="AN40" s="24">
        <f t="shared" si="46"/>
        <v>4</v>
      </c>
      <c r="AO40" s="24">
        <f t="shared" si="47"/>
        <v>20</v>
      </c>
      <c r="AP40" s="24">
        <f t="shared" si="48"/>
        <v>11</v>
      </c>
      <c r="AQ40" s="24">
        <f t="shared" si="49"/>
        <v>6</v>
      </c>
      <c r="AR40" s="24">
        <f t="shared" si="50"/>
        <v>11</v>
      </c>
      <c r="AS40" s="24">
        <f t="shared" si="51"/>
        <v>7</v>
      </c>
      <c r="AT40" s="28">
        <f t="shared" si="52"/>
        <v>2</v>
      </c>
      <c r="AU40" s="24"/>
      <c r="AV40" s="27">
        <f t="shared" si="6"/>
        <v>1.157894737</v>
      </c>
      <c r="AW40" s="24">
        <f t="shared" si="53"/>
        <v>11</v>
      </c>
      <c r="AX40" s="2">
        <f t="shared" si="54"/>
        <v>7</v>
      </c>
      <c r="AY40" s="24">
        <f t="shared" si="55"/>
        <v>2</v>
      </c>
      <c r="AZ40" s="24">
        <f t="shared" si="56"/>
        <v>13</v>
      </c>
      <c r="BA40" s="24">
        <f t="shared" si="57"/>
        <v>7</v>
      </c>
      <c r="BB40" s="24">
        <f t="shared" si="58"/>
        <v>16</v>
      </c>
      <c r="BC40" s="24">
        <f t="shared" si="59"/>
        <v>6</v>
      </c>
      <c r="BD40" s="24">
        <f t="shared" si="60"/>
        <v>5</v>
      </c>
      <c r="BE40" s="28">
        <f t="shared" si="61"/>
        <v>2</v>
      </c>
      <c r="BF40" s="29">
        <f t="shared" ref="BF40:BO40" si="114">+(AK40+Z40+O40+D40)/4</f>
        <v>1.608374384</v>
      </c>
      <c r="BG40" s="24">
        <f t="shared" si="114"/>
        <v>18.75</v>
      </c>
      <c r="BH40" s="24">
        <f t="shared" si="114"/>
        <v>11</v>
      </c>
      <c r="BI40" s="24">
        <f t="shared" si="114"/>
        <v>4.75</v>
      </c>
      <c r="BJ40" s="24">
        <f t="shared" si="114"/>
        <v>21.5</v>
      </c>
      <c r="BK40" s="24">
        <f t="shared" si="114"/>
        <v>13</v>
      </c>
      <c r="BL40" s="24">
        <f t="shared" si="114"/>
        <v>5</v>
      </c>
      <c r="BM40" s="24">
        <f t="shared" si="114"/>
        <v>10.5</v>
      </c>
      <c r="BN40" s="24">
        <f t="shared" si="114"/>
        <v>8.25</v>
      </c>
      <c r="BO40" s="61">
        <f t="shared" si="114"/>
        <v>2.75</v>
      </c>
      <c r="BP40" s="30">
        <f t="shared" si="8"/>
        <v>-0.4504796474</v>
      </c>
      <c r="BQ40" s="31">
        <f t="shared" si="9"/>
        <v>0.2068965517</v>
      </c>
      <c r="BR40" s="31">
        <f t="shared" si="10"/>
        <v>0.2068965517</v>
      </c>
      <c r="BS40" s="31">
        <f t="shared" si="11"/>
        <v>0.1724137931</v>
      </c>
      <c r="BT40" s="31">
        <f t="shared" si="12"/>
        <v>0.06896551724</v>
      </c>
      <c r="BU40" s="31">
        <f t="shared" si="13"/>
        <v>0</v>
      </c>
      <c r="BV40" s="31">
        <f t="shared" si="14"/>
        <v>0.7931034483</v>
      </c>
      <c r="BW40" s="31">
        <f t="shared" ref="BW40:BX40" si="115">+BR40+BS40+BT40</f>
        <v>0.4482758621</v>
      </c>
      <c r="BX40" s="32">
        <f t="shared" si="115"/>
        <v>0.2413793103</v>
      </c>
      <c r="BY40" s="60"/>
    </row>
    <row r="41" ht="15.75" customHeight="1">
      <c r="B41" s="42">
        <v>30.0</v>
      </c>
      <c r="C41" s="43">
        <v>3.0</v>
      </c>
      <c r="D41" s="3">
        <f t="shared" si="3"/>
        <v>1.666666667</v>
      </c>
      <c r="E41" s="43">
        <f t="shared" si="16"/>
        <v>19</v>
      </c>
      <c r="F41" s="2">
        <f t="shared" si="17"/>
        <v>13</v>
      </c>
      <c r="G41" s="43">
        <f t="shared" si="18"/>
        <v>6</v>
      </c>
      <c r="H41" s="43">
        <f t="shared" si="19"/>
        <v>22</v>
      </c>
      <c r="I41" s="43">
        <f t="shared" si="20"/>
        <v>16</v>
      </c>
      <c r="J41" s="43">
        <f t="shared" si="21"/>
        <v>5</v>
      </c>
      <c r="K41" s="43">
        <f t="shared" si="22"/>
        <v>9</v>
      </c>
      <c r="L41" s="43">
        <f t="shared" si="23"/>
        <v>10</v>
      </c>
      <c r="M41" s="44">
        <f t="shared" si="24"/>
        <v>3</v>
      </c>
      <c r="N41" s="43">
        <v>3.0</v>
      </c>
      <c r="O41" s="3">
        <f t="shared" si="4"/>
        <v>1.4</v>
      </c>
      <c r="P41" s="43">
        <f t="shared" si="25"/>
        <v>20</v>
      </c>
      <c r="Q41" s="2">
        <f t="shared" si="26"/>
        <v>12</v>
      </c>
      <c r="R41" s="43">
        <f t="shared" si="27"/>
        <v>5</v>
      </c>
      <c r="S41" s="43">
        <f t="shared" si="28"/>
        <v>25</v>
      </c>
      <c r="T41" s="43">
        <f t="shared" si="29"/>
        <v>12</v>
      </c>
      <c r="U41" s="43">
        <f t="shared" si="30"/>
        <v>5</v>
      </c>
      <c r="V41" s="43">
        <f t="shared" si="31"/>
        <v>13</v>
      </c>
      <c r="W41" s="43">
        <f t="shared" si="32"/>
        <v>7</v>
      </c>
      <c r="X41" s="44">
        <f t="shared" si="33"/>
        <v>5</v>
      </c>
      <c r="Y41" s="43">
        <v>0.0</v>
      </c>
      <c r="Z41" s="3">
        <f t="shared" si="5"/>
        <v>1.833333333</v>
      </c>
      <c r="AA41" s="43">
        <f t="shared" si="34"/>
        <v>18</v>
      </c>
      <c r="AB41" s="2">
        <f t="shared" si="35"/>
        <v>12</v>
      </c>
      <c r="AC41" s="43">
        <f t="shared" si="36"/>
        <v>6</v>
      </c>
      <c r="AD41" s="43">
        <f t="shared" si="37"/>
        <v>21</v>
      </c>
      <c r="AE41" s="43">
        <f t="shared" si="38"/>
        <v>15</v>
      </c>
      <c r="AF41" s="43">
        <f t="shared" si="39"/>
        <v>5</v>
      </c>
      <c r="AG41" s="43">
        <f t="shared" si="40"/>
        <v>9</v>
      </c>
      <c r="AH41" s="43">
        <f t="shared" si="41"/>
        <v>9</v>
      </c>
      <c r="AI41" s="44">
        <f t="shared" si="42"/>
        <v>3</v>
      </c>
      <c r="AJ41" s="43">
        <v>1.0</v>
      </c>
      <c r="AK41" s="3">
        <f t="shared" si="43"/>
        <v>1.551724138</v>
      </c>
      <c r="AL41" s="43">
        <f t="shared" si="44"/>
        <v>19</v>
      </c>
      <c r="AM41" s="2">
        <f t="shared" si="45"/>
        <v>9</v>
      </c>
      <c r="AN41" s="43">
        <f t="shared" si="46"/>
        <v>4</v>
      </c>
      <c r="AO41" s="43">
        <f t="shared" si="47"/>
        <v>21</v>
      </c>
      <c r="AP41" s="43">
        <f t="shared" si="48"/>
        <v>11</v>
      </c>
      <c r="AQ41" s="43">
        <f t="shared" si="49"/>
        <v>6</v>
      </c>
      <c r="AR41" s="43">
        <f t="shared" si="50"/>
        <v>12</v>
      </c>
      <c r="AS41" s="43">
        <f t="shared" si="51"/>
        <v>7</v>
      </c>
      <c r="AT41" s="44">
        <f t="shared" si="52"/>
        <v>2</v>
      </c>
      <c r="AU41" s="43"/>
      <c r="AV41" s="3">
        <f t="shared" si="6"/>
        <v>1.157894737</v>
      </c>
      <c r="AW41" s="43">
        <f t="shared" si="53"/>
        <v>11</v>
      </c>
      <c r="AX41" s="2">
        <f t="shared" si="54"/>
        <v>7</v>
      </c>
      <c r="AY41" s="43">
        <f t="shared" si="55"/>
        <v>2</v>
      </c>
      <c r="AZ41" s="43">
        <f t="shared" si="56"/>
        <v>13</v>
      </c>
      <c r="BA41" s="43">
        <f t="shared" si="57"/>
        <v>7</v>
      </c>
      <c r="BB41" s="43">
        <f t="shared" si="58"/>
        <v>17</v>
      </c>
      <c r="BC41" s="43">
        <f t="shared" si="59"/>
        <v>6</v>
      </c>
      <c r="BD41" s="43">
        <f t="shared" si="60"/>
        <v>5</v>
      </c>
      <c r="BE41" s="44">
        <f t="shared" si="61"/>
        <v>2</v>
      </c>
      <c r="BF41" s="46">
        <f t="shared" ref="BF41:BO41" si="116">+(AK41+Z41+O41+D41)/4</f>
        <v>1.612931034</v>
      </c>
      <c r="BG41" s="43">
        <f t="shared" si="116"/>
        <v>19</v>
      </c>
      <c r="BH41" s="43">
        <f t="shared" si="116"/>
        <v>11.5</v>
      </c>
      <c r="BI41" s="43">
        <f t="shared" si="116"/>
        <v>5.25</v>
      </c>
      <c r="BJ41" s="43">
        <f t="shared" si="116"/>
        <v>22.25</v>
      </c>
      <c r="BK41" s="43">
        <f t="shared" si="116"/>
        <v>13.5</v>
      </c>
      <c r="BL41" s="43">
        <f t="shared" si="116"/>
        <v>5.25</v>
      </c>
      <c r="BM41" s="43">
        <f t="shared" si="116"/>
        <v>10.75</v>
      </c>
      <c r="BN41" s="43">
        <f t="shared" si="116"/>
        <v>8.25</v>
      </c>
      <c r="BO41" s="63">
        <f t="shared" si="116"/>
        <v>3.25</v>
      </c>
      <c r="BP41" s="37">
        <f t="shared" si="8"/>
        <v>-0.4550362976</v>
      </c>
      <c r="BQ41" s="38">
        <f t="shared" si="9"/>
        <v>0.2</v>
      </c>
      <c r="BR41" s="38">
        <f t="shared" si="10"/>
        <v>0.2</v>
      </c>
      <c r="BS41" s="38">
        <f t="shared" si="11"/>
        <v>0.1666666667</v>
      </c>
      <c r="BT41" s="38">
        <f t="shared" si="12"/>
        <v>0.06666666667</v>
      </c>
      <c r="BU41" s="38">
        <f t="shared" si="13"/>
        <v>0</v>
      </c>
      <c r="BV41" s="38">
        <f t="shared" si="14"/>
        <v>0.8</v>
      </c>
      <c r="BW41" s="38">
        <f t="shared" ref="BW41:BX41" si="117">+BR41+BS41+BT41</f>
        <v>0.4333333333</v>
      </c>
      <c r="BX41" s="39">
        <f t="shared" si="117"/>
        <v>0.2333333333</v>
      </c>
    </row>
    <row r="42" ht="15.75" customHeight="1">
      <c r="A42" s="60"/>
      <c r="B42" s="40">
        <v>31.0</v>
      </c>
      <c r="C42" s="24">
        <v>1.0</v>
      </c>
      <c r="D42" s="27">
        <f t="shared" si="3"/>
        <v>1.64516129</v>
      </c>
      <c r="E42" s="24">
        <f t="shared" si="16"/>
        <v>20</v>
      </c>
      <c r="F42" s="2">
        <f t="shared" si="17"/>
        <v>13</v>
      </c>
      <c r="G42" s="24">
        <f t="shared" si="18"/>
        <v>6</v>
      </c>
      <c r="H42" s="24">
        <f t="shared" si="19"/>
        <v>23</v>
      </c>
      <c r="I42" s="24">
        <f t="shared" si="20"/>
        <v>16</v>
      </c>
      <c r="J42" s="24">
        <f t="shared" si="21"/>
        <v>5</v>
      </c>
      <c r="K42" s="24">
        <f t="shared" si="22"/>
        <v>10</v>
      </c>
      <c r="L42" s="24">
        <f t="shared" si="23"/>
        <v>10</v>
      </c>
      <c r="M42" s="28">
        <f t="shared" si="24"/>
        <v>3</v>
      </c>
      <c r="N42" s="24">
        <v>1.0</v>
      </c>
      <c r="O42" s="27">
        <f t="shared" si="4"/>
        <v>1.387096774</v>
      </c>
      <c r="P42" s="24">
        <f t="shared" si="25"/>
        <v>21</v>
      </c>
      <c r="Q42" s="2">
        <f t="shared" si="26"/>
        <v>12</v>
      </c>
      <c r="R42" s="24">
        <f t="shared" si="27"/>
        <v>5</v>
      </c>
      <c r="S42" s="24">
        <f t="shared" si="28"/>
        <v>26</v>
      </c>
      <c r="T42" s="24">
        <f t="shared" si="29"/>
        <v>12</v>
      </c>
      <c r="U42" s="24">
        <f t="shared" si="30"/>
        <v>5</v>
      </c>
      <c r="V42" s="24">
        <f t="shared" si="31"/>
        <v>14</v>
      </c>
      <c r="W42" s="24">
        <f t="shared" si="32"/>
        <v>7</v>
      </c>
      <c r="X42" s="28">
        <f t="shared" si="33"/>
        <v>5</v>
      </c>
      <c r="Y42" s="24">
        <v>1.0</v>
      </c>
      <c r="Z42" s="27">
        <f t="shared" si="5"/>
        <v>1.806451613</v>
      </c>
      <c r="AA42" s="24">
        <f t="shared" si="34"/>
        <v>19</v>
      </c>
      <c r="AB42" s="2">
        <f t="shared" si="35"/>
        <v>12</v>
      </c>
      <c r="AC42" s="24">
        <f t="shared" si="36"/>
        <v>6</v>
      </c>
      <c r="AD42" s="24">
        <f t="shared" si="37"/>
        <v>22</v>
      </c>
      <c r="AE42" s="24">
        <f t="shared" si="38"/>
        <v>15</v>
      </c>
      <c r="AF42" s="24">
        <f t="shared" si="39"/>
        <v>5</v>
      </c>
      <c r="AG42" s="24">
        <f t="shared" si="40"/>
        <v>10</v>
      </c>
      <c r="AH42" s="24">
        <f t="shared" si="41"/>
        <v>9</v>
      </c>
      <c r="AI42" s="28">
        <f t="shared" si="42"/>
        <v>3</v>
      </c>
      <c r="AJ42" s="24">
        <v>1.0</v>
      </c>
      <c r="AK42" s="27">
        <f t="shared" si="43"/>
        <v>1.533333333</v>
      </c>
      <c r="AL42" s="24">
        <f t="shared" si="44"/>
        <v>20</v>
      </c>
      <c r="AM42" s="2">
        <f t="shared" si="45"/>
        <v>9</v>
      </c>
      <c r="AN42" s="24">
        <f t="shared" si="46"/>
        <v>4</v>
      </c>
      <c r="AO42" s="24">
        <f t="shared" si="47"/>
        <v>22</v>
      </c>
      <c r="AP42" s="24">
        <f t="shared" si="48"/>
        <v>11</v>
      </c>
      <c r="AQ42" s="24">
        <f t="shared" si="49"/>
        <v>6</v>
      </c>
      <c r="AR42" s="24">
        <f t="shared" si="50"/>
        <v>13</v>
      </c>
      <c r="AS42" s="24">
        <f t="shared" si="51"/>
        <v>7</v>
      </c>
      <c r="AT42" s="28">
        <f t="shared" si="52"/>
        <v>2</v>
      </c>
      <c r="AU42" s="24"/>
      <c r="AV42" s="27">
        <f t="shared" si="6"/>
        <v>1.157894737</v>
      </c>
      <c r="AW42" s="24">
        <f t="shared" si="53"/>
        <v>11</v>
      </c>
      <c r="AX42" s="2">
        <f t="shared" si="54"/>
        <v>7</v>
      </c>
      <c r="AY42" s="24">
        <f t="shared" si="55"/>
        <v>2</v>
      </c>
      <c r="AZ42" s="24">
        <f t="shared" si="56"/>
        <v>13</v>
      </c>
      <c r="BA42" s="24">
        <f t="shared" si="57"/>
        <v>7</v>
      </c>
      <c r="BB42" s="24">
        <f t="shared" si="58"/>
        <v>18</v>
      </c>
      <c r="BC42" s="24">
        <f t="shared" si="59"/>
        <v>6</v>
      </c>
      <c r="BD42" s="24">
        <f t="shared" si="60"/>
        <v>5</v>
      </c>
      <c r="BE42" s="28">
        <f t="shared" si="61"/>
        <v>2</v>
      </c>
      <c r="BF42" s="29">
        <f t="shared" ref="BF42:BO42" si="118">+(AK42+Z42+O42+D42)/4</f>
        <v>1.593010753</v>
      </c>
      <c r="BG42" s="24">
        <f t="shared" si="118"/>
        <v>20</v>
      </c>
      <c r="BH42" s="24">
        <f t="shared" si="118"/>
        <v>11.5</v>
      </c>
      <c r="BI42" s="24">
        <f t="shared" si="118"/>
        <v>5.25</v>
      </c>
      <c r="BJ42" s="24">
        <f t="shared" si="118"/>
        <v>23.25</v>
      </c>
      <c r="BK42" s="24">
        <f t="shared" si="118"/>
        <v>13.5</v>
      </c>
      <c r="BL42" s="24">
        <f t="shared" si="118"/>
        <v>5.25</v>
      </c>
      <c r="BM42" s="24">
        <f t="shared" si="118"/>
        <v>11.75</v>
      </c>
      <c r="BN42" s="24">
        <f t="shared" si="118"/>
        <v>8.25</v>
      </c>
      <c r="BO42" s="61">
        <f t="shared" si="118"/>
        <v>3.25</v>
      </c>
      <c r="BP42" s="30">
        <f t="shared" si="8"/>
        <v>-0.4351160158</v>
      </c>
      <c r="BQ42" s="31">
        <f t="shared" si="9"/>
        <v>0.1935483871</v>
      </c>
      <c r="BR42" s="31">
        <f t="shared" si="10"/>
        <v>0.1935483871</v>
      </c>
      <c r="BS42" s="31">
        <f t="shared" si="11"/>
        <v>0.1612903226</v>
      </c>
      <c r="BT42" s="31">
        <f t="shared" si="12"/>
        <v>0.06451612903</v>
      </c>
      <c r="BU42" s="31">
        <f t="shared" si="13"/>
        <v>0</v>
      </c>
      <c r="BV42" s="31">
        <f t="shared" si="14"/>
        <v>0.8064516129</v>
      </c>
      <c r="BW42" s="31">
        <f t="shared" ref="BW42:BX42" si="119">+BR42+BS42+BT42</f>
        <v>0.4193548387</v>
      </c>
      <c r="BX42" s="32">
        <f t="shared" si="119"/>
        <v>0.2258064516</v>
      </c>
      <c r="BY42" s="60"/>
    </row>
    <row r="43" ht="15.75" customHeight="1">
      <c r="B43" s="33">
        <v>32.0</v>
      </c>
      <c r="C43" s="2">
        <v>2.0</v>
      </c>
      <c r="D43" s="3">
        <f t="shared" si="3"/>
        <v>1.65625</v>
      </c>
      <c r="E43" s="2">
        <f t="shared" si="16"/>
        <v>21</v>
      </c>
      <c r="F43" s="2">
        <f t="shared" si="17"/>
        <v>14</v>
      </c>
      <c r="G43" s="2">
        <f t="shared" si="18"/>
        <v>6</v>
      </c>
      <c r="H43" s="2">
        <f t="shared" si="19"/>
        <v>24</v>
      </c>
      <c r="I43" s="2">
        <f t="shared" si="20"/>
        <v>17</v>
      </c>
      <c r="J43" s="2">
        <f t="shared" si="21"/>
        <v>5</v>
      </c>
      <c r="K43" s="2">
        <f t="shared" si="22"/>
        <v>10</v>
      </c>
      <c r="L43" s="2">
        <f t="shared" si="23"/>
        <v>11</v>
      </c>
      <c r="M43" s="34">
        <f t="shared" si="24"/>
        <v>3</v>
      </c>
      <c r="N43" s="2">
        <v>1.0</v>
      </c>
      <c r="O43" s="3">
        <f t="shared" si="4"/>
        <v>1.375</v>
      </c>
      <c r="P43" s="2">
        <f t="shared" si="25"/>
        <v>22</v>
      </c>
      <c r="Q43" s="2">
        <f t="shared" si="26"/>
        <v>12</v>
      </c>
      <c r="R43" s="2">
        <f t="shared" si="27"/>
        <v>5</v>
      </c>
      <c r="S43" s="2">
        <f t="shared" si="28"/>
        <v>27</v>
      </c>
      <c r="T43" s="2">
        <f t="shared" si="29"/>
        <v>12</v>
      </c>
      <c r="U43" s="2">
        <f t="shared" si="30"/>
        <v>5</v>
      </c>
      <c r="V43" s="2">
        <f t="shared" si="31"/>
        <v>15</v>
      </c>
      <c r="W43" s="2">
        <f t="shared" si="32"/>
        <v>7</v>
      </c>
      <c r="X43" s="34">
        <f t="shared" si="33"/>
        <v>5</v>
      </c>
      <c r="Y43" s="2">
        <v>2.0</v>
      </c>
      <c r="Z43" s="3">
        <f t="shared" si="5"/>
        <v>1.8125</v>
      </c>
      <c r="AA43" s="2">
        <f t="shared" si="34"/>
        <v>20</v>
      </c>
      <c r="AB43" s="2">
        <f t="shared" si="35"/>
        <v>13</v>
      </c>
      <c r="AC43" s="2">
        <f t="shared" si="36"/>
        <v>6</v>
      </c>
      <c r="AD43" s="2">
        <f t="shared" si="37"/>
        <v>23</v>
      </c>
      <c r="AE43" s="2">
        <f t="shared" si="38"/>
        <v>16</v>
      </c>
      <c r="AF43" s="2">
        <f t="shared" si="39"/>
        <v>5</v>
      </c>
      <c r="AG43" s="2">
        <f t="shared" si="40"/>
        <v>10</v>
      </c>
      <c r="AH43" s="2">
        <f t="shared" si="41"/>
        <v>10</v>
      </c>
      <c r="AI43" s="34">
        <f t="shared" si="42"/>
        <v>3</v>
      </c>
      <c r="AJ43" s="2">
        <v>1.0</v>
      </c>
      <c r="AK43" s="3">
        <f t="shared" si="43"/>
        <v>1.516129032</v>
      </c>
      <c r="AL43" s="2">
        <f t="shared" si="44"/>
        <v>21</v>
      </c>
      <c r="AM43" s="2">
        <f t="shared" si="45"/>
        <v>9</v>
      </c>
      <c r="AN43" s="2">
        <f t="shared" si="46"/>
        <v>4</v>
      </c>
      <c r="AO43" s="2">
        <f t="shared" si="47"/>
        <v>23</v>
      </c>
      <c r="AP43" s="2">
        <f t="shared" si="48"/>
        <v>11</v>
      </c>
      <c r="AQ43" s="2">
        <f t="shared" si="49"/>
        <v>6</v>
      </c>
      <c r="AR43" s="2">
        <f t="shared" si="50"/>
        <v>14</v>
      </c>
      <c r="AS43" s="2">
        <f t="shared" si="51"/>
        <v>7</v>
      </c>
      <c r="AT43" s="34">
        <f t="shared" si="52"/>
        <v>2</v>
      </c>
      <c r="AU43" s="2"/>
      <c r="AV43" s="3">
        <f t="shared" si="6"/>
        <v>1.157894737</v>
      </c>
      <c r="AW43" s="2">
        <f t="shared" si="53"/>
        <v>11</v>
      </c>
      <c r="AX43" s="2">
        <f t="shared" si="54"/>
        <v>7</v>
      </c>
      <c r="AY43" s="2">
        <f t="shared" si="55"/>
        <v>2</v>
      </c>
      <c r="AZ43" s="2">
        <f t="shared" si="56"/>
        <v>13</v>
      </c>
      <c r="BA43" s="2">
        <f t="shared" si="57"/>
        <v>7</v>
      </c>
      <c r="BB43" s="2">
        <f t="shared" si="58"/>
        <v>19</v>
      </c>
      <c r="BC43" s="2">
        <f t="shared" si="59"/>
        <v>6</v>
      </c>
      <c r="BD43" s="2">
        <f t="shared" si="60"/>
        <v>5</v>
      </c>
      <c r="BE43" s="34">
        <f t="shared" si="61"/>
        <v>2</v>
      </c>
      <c r="BF43" s="36">
        <f t="shared" ref="BF43:BO43" si="120">+(AK43+Z43+O43+D43)/4</f>
        <v>1.589969758</v>
      </c>
      <c r="BG43" s="2">
        <f t="shared" si="120"/>
        <v>21</v>
      </c>
      <c r="BH43" s="2">
        <f t="shared" si="120"/>
        <v>12</v>
      </c>
      <c r="BI43" s="2">
        <f t="shared" si="120"/>
        <v>5.25</v>
      </c>
      <c r="BJ43" s="2">
        <f t="shared" si="120"/>
        <v>24.25</v>
      </c>
      <c r="BK43" s="2">
        <f t="shared" si="120"/>
        <v>14</v>
      </c>
      <c r="BL43" s="2">
        <f t="shared" si="120"/>
        <v>5.25</v>
      </c>
      <c r="BM43" s="2">
        <f t="shared" si="120"/>
        <v>12.25</v>
      </c>
      <c r="BN43" s="2">
        <f t="shared" si="120"/>
        <v>8.75</v>
      </c>
      <c r="BO43" s="62">
        <f t="shared" si="120"/>
        <v>3.25</v>
      </c>
      <c r="BP43" s="37">
        <f t="shared" si="8"/>
        <v>-0.4320750212</v>
      </c>
      <c r="BQ43" s="38">
        <f t="shared" si="9"/>
        <v>0.1875</v>
      </c>
      <c r="BR43" s="38">
        <f t="shared" si="10"/>
        <v>0.1875</v>
      </c>
      <c r="BS43" s="38">
        <f t="shared" si="11"/>
        <v>0.15625</v>
      </c>
      <c r="BT43" s="38">
        <f t="shared" si="12"/>
        <v>0.0625</v>
      </c>
      <c r="BU43" s="38">
        <f t="shared" si="13"/>
        <v>0</v>
      </c>
      <c r="BV43" s="38">
        <f t="shared" si="14"/>
        <v>0.8125</v>
      </c>
      <c r="BW43" s="38">
        <f t="shared" ref="BW43:BX43" si="121">+BR43+BS43+BT43</f>
        <v>0.40625</v>
      </c>
      <c r="BX43" s="39">
        <f t="shared" si="121"/>
        <v>0.21875</v>
      </c>
    </row>
    <row r="44" ht="15.75" customHeight="1">
      <c r="A44" s="60"/>
      <c r="B44" s="40">
        <v>33.0</v>
      </c>
      <c r="C44" s="24">
        <v>1.0</v>
      </c>
      <c r="D44" s="27">
        <f t="shared" si="3"/>
        <v>1.636363636</v>
      </c>
      <c r="E44" s="24">
        <f t="shared" si="16"/>
        <v>22</v>
      </c>
      <c r="F44" s="2">
        <f t="shared" si="17"/>
        <v>14</v>
      </c>
      <c r="G44" s="24">
        <f t="shared" si="18"/>
        <v>6</v>
      </c>
      <c r="H44" s="24">
        <f t="shared" si="19"/>
        <v>25</v>
      </c>
      <c r="I44" s="24">
        <f t="shared" si="20"/>
        <v>17</v>
      </c>
      <c r="J44" s="24">
        <f t="shared" si="21"/>
        <v>5</v>
      </c>
      <c r="K44" s="24">
        <f t="shared" si="22"/>
        <v>11</v>
      </c>
      <c r="L44" s="24">
        <f t="shared" si="23"/>
        <v>11</v>
      </c>
      <c r="M44" s="28">
        <f t="shared" si="24"/>
        <v>3</v>
      </c>
      <c r="N44" s="24">
        <v>1.0</v>
      </c>
      <c r="O44" s="27">
        <f t="shared" si="4"/>
        <v>1.363636364</v>
      </c>
      <c r="P44" s="24">
        <f t="shared" si="25"/>
        <v>23</v>
      </c>
      <c r="Q44" s="2">
        <f t="shared" si="26"/>
        <v>12</v>
      </c>
      <c r="R44" s="24">
        <f t="shared" si="27"/>
        <v>5</v>
      </c>
      <c r="S44" s="24">
        <f t="shared" si="28"/>
        <v>28</v>
      </c>
      <c r="T44" s="24">
        <f t="shared" si="29"/>
        <v>12</v>
      </c>
      <c r="U44" s="24">
        <f t="shared" si="30"/>
        <v>5</v>
      </c>
      <c r="V44" s="24">
        <f t="shared" si="31"/>
        <v>16</v>
      </c>
      <c r="W44" s="24">
        <f t="shared" si="32"/>
        <v>7</v>
      </c>
      <c r="X44" s="28">
        <f t="shared" si="33"/>
        <v>5</v>
      </c>
      <c r="Y44" s="24">
        <v>3.0</v>
      </c>
      <c r="Z44" s="27">
        <f t="shared" si="5"/>
        <v>1.848484848</v>
      </c>
      <c r="AA44" s="24">
        <f t="shared" si="34"/>
        <v>20</v>
      </c>
      <c r="AB44" s="2">
        <f t="shared" si="35"/>
        <v>14</v>
      </c>
      <c r="AC44" s="24">
        <f t="shared" si="36"/>
        <v>7</v>
      </c>
      <c r="AD44" s="24">
        <f t="shared" si="37"/>
        <v>24</v>
      </c>
      <c r="AE44" s="24">
        <f t="shared" si="38"/>
        <v>17</v>
      </c>
      <c r="AF44" s="24">
        <f t="shared" si="39"/>
        <v>5</v>
      </c>
      <c r="AG44" s="24">
        <f t="shared" si="40"/>
        <v>10</v>
      </c>
      <c r="AH44" s="24">
        <f t="shared" si="41"/>
        <v>10</v>
      </c>
      <c r="AI44" s="28">
        <f t="shared" si="42"/>
        <v>4</v>
      </c>
      <c r="AJ44" s="24">
        <v>1.0</v>
      </c>
      <c r="AK44" s="27">
        <f t="shared" si="43"/>
        <v>1.5</v>
      </c>
      <c r="AL44" s="24">
        <f t="shared" si="44"/>
        <v>22</v>
      </c>
      <c r="AM44" s="2">
        <f t="shared" si="45"/>
        <v>9</v>
      </c>
      <c r="AN44" s="24">
        <f t="shared" si="46"/>
        <v>4</v>
      </c>
      <c r="AO44" s="24">
        <f t="shared" si="47"/>
        <v>24</v>
      </c>
      <c r="AP44" s="24">
        <f t="shared" si="48"/>
        <v>11</v>
      </c>
      <c r="AQ44" s="24">
        <f t="shared" si="49"/>
        <v>6</v>
      </c>
      <c r="AR44" s="24">
        <f t="shared" si="50"/>
        <v>15</v>
      </c>
      <c r="AS44" s="24">
        <f t="shared" si="51"/>
        <v>7</v>
      </c>
      <c r="AT44" s="28">
        <f t="shared" si="52"/>
        <v>2</v>
      </c>
      <c r="AU44" s="24"/>
      <c r="AV44" s="27">
        <f t="shared" si="6"/>
        <v>1.157894737</v>
      </c>
      <c r="AW44" s="24">
        <f t="shared" si="53"/>
        <v>11</v>
      </c>
      <c r="AX44" s="2">
        <f t="shared" si="54"/>
        <v>7</v>
      </c>
      <c r="AY44" s="24">
        <f t="shared" si="55"/>
        <v>2</v>
      </c>
      <c r="AZ44" s="24">
        <f t="shared" si="56"/>
        <v>13</v>
      </c>
      <c r="BA44" s="24">
        <f t="shared" si="57"/>
        <v>7</v>
      </c>
      <c r="BB44" s="24">
        <f t="shared" si="58"/>
        <v>20</v>
      </c>
      <c r="BC44" s="24">
        <f t="shared" si="59"/>
        <v>6</v>
      </c>
      <c r="BD44" s="24">
        <f t="shared" si="60"/>
        <v>5</v>
      </c>
      <c r="BE44" s="28">
        <f t="shared" si="61"/>
        <v>2</v>
      </c>
      <c r="BF44" s="29">
        <f t="shared" ref="BF44:BO44" si="122">+(AK44+Z44+O44+D44)/4</f>
        <v>1.587121212</v>
      </c>
      <c r="BG44" s="24">
        <f t="shared" si="122"/>
        <v>21.75</v>
      </c>
      <c r="BH44" s="24">
        <f t="shared" si="122"/>
        <v>12.25</v>
      </c>
      <c r="BI44" s="24">
        <f t="shared" si="122"/>
        <v>5.5</v>
      </c>
      <c r="BJ44" s="24">
        <f t="shared" si="122"/>
        <v>25.25</v>
      </c>
      <c r="BK44" s="24">
        <f t="shared" si="122"/>
        <v>14.25</v>
      </c>
      <c r="BL44" s="24">
        <f t="shared" si="122"/>
        <v>5.25</v>
      </c>
      <c r="BM44" s="24">
        <f t="shared" si="122"/>
        <v>13</v>
      </c>
      <c r="BN44" s="24">
        <f t="shared" si="122"/>
        <v>8.75</v>
      </c>
      <c r="BO44" s="61">
        <f t="shared" si="122"/>
        <v>3.5</v>
      </c>
      <c r="BP44" s="30">
        <f t="shared" si="8"/>
        <v>-0.4292264753</v>
      </c>
      <c r="BQ44" s="31">
        <f t="shared" si="9"/>
        <v>0.1818181818</v>
      </c>
      <c r="BR44" s="31">
        <f t="shared" si="10"/>
        <v>0.1818181818</v>
      </c>
      <c r="BS44" s="31">
        <f t="shared" si="11"/>
        <v>0.1515151515</v>
      </c>
      <c r="BT44" s="31">
        <f t="shared" si="12"/>
        <v>0.06060606061</v>
      </c>
      <c r="BU44" s="31">
        <f t="shared" si="13"/>
        <v>0</v>
      </c>
      <c r="BV44" s="31">
        <f t="shared" si="14"/>
        <v>0.8181818182</v>
      </c>
      <c r="BW44" s="31">
        <f t="shared" ref="BW44:BX44" si="123">+BR44+BS44+BT44</f>
        <v>0.3939393939</v>
      </c>
      <c r="BX44" s="32">
        <f t="shared" si="123"/>
        <v>0.2121212121</v>
      </c>
      <c r="BY44" s="60"/>
    </row>
    <row r="45" ht="15.75" customHeight="1">
      <c r="B45" s="33">
        <v>34.0</v>
      </c>
      <c r="C45" s="2">
        <v>1.0</v>
      </c>
      <c r="D45" s="3">
        <f t="shared" si="3"/>
        <v>1.617647059</v>
      </c>
      <c r="E45" s="2">
        <f t="shared" si="16"/>
        <v>23</v>
      </c>
      <c r="F45" s="2">
        <f t="shared" si="17"/>
        <v>14</v>
      </c>
      <c r="G45" s="2">
        <f t="shared" si="18"/>
        <v>6</v>
      </c>
      <c r="H45" s="2">
        <f t="shared" si="19"/>
        <v>26</v>
      </c>
      <c r="I45" s="2">
        <f t="shared" si="20"/>
        <v>17</v>
      </c>
      <c r="J45" s="2">
        <f t="shared" si="21"/>
        <v>5</v>
      </c>
      <c r="K45" s="2">
        <f t="shared" si="22"/>
        <v>12</v>
      </c>
      <c r="L45" s="2">
        <f t="shared" si="23"/>
        <v>11</v>
      </c>
      <c r="M45" s="34">
        <f t="shared" si="24"/>
        <v>3</v>
      </c>
      <c r="N45" s="2">
        <v>0.0</v>
      </c>
      <c r="O45" s="3">
        <f t="shared" si="4"/>
        <v>1.323529412</v>
      </c>
      <c r="P45" s="2">
        <f t="shared" si="25"/>
        <v>23</v>
      </c>
      <c r="Q45" s="2">
        <f t="shared" si="26"/>
        <v>12</v>
      </c>
      <c r="R45" s="2">
        <f t="shared" si="27"/>
        <v>5</v>
      </c>
      <c r="S45" s="2">
        <f t="shared" si="28"/>
        <v>28</v>
      </c>
      <c r="T45" s="2">
        <f t="shared" si="29"/>
        <v>12</v>
      </c>
      <c r="U45" s="2">
        <f t="shared" si="30"/>
        <v>6</v>
      </c>
      <c r="V45" s="2">
        <f t="shared" si="31"/>
        <v>16</v>
      </c>
      <c r="W45" s="2">
        <f t="shared" si="32"/>
        <v>7</v>
      </c>
      <c r="X45" s="34">
        <f t="shared" si="33"/>
        <v>5</v>
      </c>
      <c r="Y45" s="2">
        <v>2.0</v>
      </c>
      <c r="Z45" s="3">
        <f t="shared" si="5"/>
        <v>1.852941176</v>
      </c>
      <c r="AA45" s="2">
        <f t="shared" si="34"/>
        <v>21</v>
      </c>
      <c r="AB45" s="2">
        <f t="shared" si="35"/>
        <v>15</v>
      </c>
      <c r="AC45" s="2">
        <f t="shared" si="36"/>
        <v>7</v>
      </c>
      <c r="AD45" s="2">
        <f t="shared" si="37"/>
        <v>25</v>
      </c>
      <c r="AE45" s="2">
        <f t="shared" si="38"/>
        <v>18</v>
      </c>
      <c r="AF45" s="2">
        <f t="shared" si="39"/>
        <v>5</v>
      </c>
      <c r="AG45" s="2">
        <f t="shared" si="40"/>
        <v>10</v>
      </c>
      <c r="AH45" s="2">
        <f t="shared" si="41"/>
        <v>11</v>
      </c>
      <c r="AI45" s="34">
        <f t="shared" si="42"/>
        <v>4</v>
      </c>
      <c r="AJ45" s="2">
        <v>1.0</v>
      </c>
      <c r="AK45" s="3">
        <f t="shared" si="43"/>
        <v>1.484848485</v>
      </c>
      <c r="AL45" s="2">
        <f t="shared" si="44"/>
        <v>23</v>
      </c>
      <c r="AM45" s="2">
        <f t="shared" si="45"/>
        <v>9</v>
      </c>
      <c r="AN45" s="2">
        <f t="shared" si="46"/>
        <v>4</v>
      </c>
      <c r="AO45" s="2">
        <f t="shared" si="47"/>
        <v>25</v>
      </c>
      <c r="AP45" s="2">
        <f t="shared" si="48"/>
        <v>11</v>
      </c>
      <c r="AQ45" s="2">
        <f t="shared" si="49"/>
        <v>6</v>
      </c>
      <c r="AR45" s="2">
        <f t="shared" si="50"/>
        <v>16</v>
      </c>
      <c r="AS45" s="2">
        <f t="shared" si="51"/>
        <v>7</v>
      </c>
      <c r="AT45" s="34">
        <f t="shared" si="52"/>
        <v>2</v>
      </c>
      <c r="AU45" s="2"/>
      <c r="AV45" s="3">
        <f t="shared" si="6"/>
        <v>1.157894737</v>
      </c>
      <c r="AW45" s="2">
        <f t="shared" si="53"/>
        <v>11</v>
      </c>
      <c r="AX45" s="2">
        <f t="shared" si="54"/>
        <v>7</v>
      </c>
      <c r="AY45" s="2">
        <f t="shared" si="55"/>
        <v>2</v>
      </c>
      <c r="AZ45" s="2">
        <f t="shared" si="56"/>
        <v>13</v>
      </c>
      <c r="BA45" s="2">
        <f t="shared" si="57"/>
        <v>7</v>
      </c>
      <c r="BB45" s="2">
        <f t="shared" si="58"/>
        <v>21</v>
      </c>
      <c r="BC45" s="2">
        <f t="shared" si="59"/>
        <v>6</v>
      </c>
      <c r="BD45" s="2">
        <f t="shared" si="60"/>
        <v>5</v>
      </c>
      <c r="BE45" s="34">
        <f t="shared" si="61"/>
        <v>2</v>
      </c>
      <c r="BF45" s="36">
        <f t="shared" ref="BF45:BO45" si="124">+(AK45+Z45+O45+D45)/4</f>
        <v>1.569741533</v>
      </c>
      <c r="BG45" s="2">
        <f t="shared" si="124"/>
        <v>22.5</v>
      </c>
      <c r="BH45" s="2">
        <f t="shared" si="124"/>
        <v>12.5</v>
      </c>
      <c r="BI45" s="2">
        <f t="shared" si="124"/>
        <v>5.5</v>
      </c>
      <c r="BJ45" s="2">
        <f t="shared" si="124"/>
        <v>26</v>
      </c>
      <c r="BK45" s="2">
        <f t="shared" si="124"/>
        <v>14.5</v>
      </c>
      <c r="BL45" s="2">
        <f t="shared" si="124"/>
        <v>5.5</v>
      </c>
      <c r="BM45" s="2">
        <f t="shared" si="124"/>
        <v>13.5</v>
      </c>
      <c r="BN45" s="2">
        <f t="shared" si="124"/>
        <v>9</v>
      </c>
      <c r="BO45" s="62">
        <f t="shared" si="124"/>
        <v>3.5</v>
      </c>
      <c r="BP45" s="37">
        <f t="shared" si="8"/>
        <v>-0.4118467961</v>
      </c>
      <c r="BQ45" s="38">
        <f t="shared" si="9"/>
        <v>0.1764705882</v>
      </c>
      <c r="BR45" s="38">
        <f t="shared" si="10"/>
        <v>0.1764705882</v>
      </c>
      <c r="BS45" s="38">
        <f t="shared" si="11"/>
        <v>0.1470588235</v>
      </c>
      <c r="BT45" s="38">
        <f t="shared" si="12"/>
        <v>0.05882352941</v>
      </c>
      <c r="BU45" s="38">
        <f t="shared" si="13"/>
        <v>0</v>
      </c>
      <c r="BV45" s="38">
        <f t="shared" si="14"/>
        <v>0.8235294118</v>
      </c>
      <c r="BW45" s="38">
        <f t="shared" ref="BW45:BX45" si="125">+BR45+BS45+BT45</f>
        <v>0.3823529412</v>
      </c>
      <c r="BX45" s="39">
        <f t="shared" si="125"/>
        <v>0.2058823529</v>
      </c>
    </row>
    <row r="46" ht="15.75" customHeight="1">
      <c r="A46" s="60"/>
      <c r="B46" s="40">
        <v>35.0</v>
      </c>
      <c r="C46" s="24">
        <v>0.0</v>
      </c>
      <c r="D46" s="27">
        <f t="shared" si="3"/>
        <v>1.571428571</v>
      </c>
      <c r="E46" s="24">
        <f t="shared" si="16"/>
        <v>23</v>
      </c>
      <c r="F46" s="2">
        <f t="shared" si="17"/>
        <v>14</v>
      </c>
      <c r="G46" s="24">
        <f t="shared" si="18"/>
        <v>6</v>
      </c>
      <c r="H46" s="24">
        <f t="shared" si="19"/>
        <v>26</v>
      </c>
      <c r="I46" s="24">
        <f t="shared" si="20"/>
        <v>17</v>
      </c>
      <c r="J46" s="24">
        <f t="shared" si="21"/>
        <v>6</v>
      </c>
      <c r="K46" s="24">
        <f t="shared" si="22"/>
        <v>12</v>
      </c>
      <c r="L46" s="24">
        <f t="shared" si="23"/>
        <v>11</v>
      </c>
      <c r="M46" s="28">
        <f t="shared" si="24"/>
        <v>3</v>
      </c>
      <c r="N46" s="24">
        <v>0.0</v>
      </c>
      <c r="O46" s="27">
        <f t="shared" si="4"/>
        <v>1.285714286</v>
      </c>
      <c r="P46" s="24">
        <f t="shared" si="25"/>
        <v>23</v>
      </c>
      <c r="Q46" s="2">
        <f t="shared" si="26"/>
        <v>12</v>
      </c>
      <c r="R46" s="24">
        <f t="shared" si="27"/>
        <v>5</v>
      </c>
      <c r="S46" s="24">
        <f t="shared" si="28"/>
        <v>28</v>
      </c>
      <c r="T46" s="24">
        <f t="shared" si="29"/>
        <v>12</v>
      </c>
      <c r="U46" s="24">
        <f t="shared" si="30"/>
        <v>7</v>
      </c>
      <c r="V46" s="24">
        <f t="shared" si="31"/>
        <v>16</v>
      </c>
      <c r="W46" s="24">
        <f t="shared" si="32"/>
        <v>7</v>
      </c>
      <c r="X46" s="28">
        <f t="shared" si="33"/>
        <v>5</v>
      </c>
      <c r="Y46" s="24">
        <v>1.0</v>
      </c>
      <c r="Z46" s="27">
        <f t="shared" si="5"/>
        <v>1.828571429</v>
      </c>
      <c r="AA46" s="24">
        <f t="shared" si="34"/>
        <v>22</v>
      </c>
      <c r="AB46" s="2">
        <f t="shared" si="35"/>
        <v>15</v>
      </c>
      <c r="AC46" s="24">
        <f t="shared" si="36"/>
        <v>7</v>
      </c>
      <c r="AD46" s="24">
        <f t="shared" si="37"/>
        <v>26</v>
      </c>
      <c r="AE46" s="24">
        <f t="shared" si="38"/>
        <v>18</v>
      </c>
      <c r="AF46" s="24">
        <f t="shared" si="39"/>
        <v>5</v>
      </c>
      <c r="AG46" s="24">
        <f t="shared" si="40"/>
        <v>11</v>
      </c>
      <c r="AH46" s="24">
        <f t="shared" si="41"/>
        <v>11</v>
      </c>
      <c r="AI46" s="28">
        <f t="shared" si="42"/>
        <v>4</v>
      </c>
      <c r="AJ46" s="24">
        <v>1.0</v>
      </c>
      <c r="AK46" s="27">
        <f t="shared" si="43"/>
        <v>1.470588235</v>
      </c>
      <c r="AL46" s="24">
        <f t="shared" si="44"/>
        <v>24</v>
      </c>
      <c r="AM46" s="2">
        <f t="shared" si="45"/>
        <v>9</v>
      </c>
      <c r="AN46" s="24">
        <f t="shared" si="46"/>
        <v>4</v>
      </c>
      <c r="AO46" s="24">
        <f t="shared" si="47"/>
        <v>26</v>
      </c>
      <c r="AP46" s="24">
        <f t="shared" si="48"/>
        <v>11</v>
      </c>
      <c r="AQ46" s="24">
        <f t="shared" si="49"/>
        <v>6</v>
      </c>
      <c r="AR46" s="24">
        <f t="shared" si="50"/>
        <v>17</v>
      </c>
      <c r="AS46" s="24">
        <f t="shared" si="51"/>
        <v>7</v>
      </c>
      <c r="AT46" s="28">
        <f t="shared" si="52"/>
        <v>2</v>
      </c>
      <c r="AU46" s="24"/>
      <c r="AV46" s="27">
        <f t="shared" si="6"/>
        <v>1.157894737</v>
      </c>
      <c r="AW46" s="24">
        <f t="shared" si="53"/>
        <v>11</v>
      </c>
      <c r="AX46" s="2">
        <f t="shared" si="54"/>
        <v>7</v>
      </c>
      <c r="AY46" s="24">
        <f t="shared" si="55"/>
        <v>2</v>
      </c>
      <c r="AZ46" s="24">
        <f t="shared" si="56"/>
        <v>13</v>
      </c>
      <c r="BA46" s="24">
        <f t="shared" si="57"/>
        <v>7</v>
      </c>
      <c r="BB46" s="24">
        <f t="shared" si="58"/>
        <v>22</v>
      </c>
      <c r="BC46" s="24">
        <f t="shared" si="59"/>
        <v>6</v>
      </c>
      <c r="BD46" s="24">
        <f t="shared" si="60"/>
        <v>5</v>
      </c>
      <c r="BE46" s="28">
        <f t="shared" si="61"/>
        <v>2</v>
      </c>
      <c r="BF46" s="29">
        <f t="shared" ref="BF46:BO46" si="126">+(AK46+Z46+O46+D46)/4</f>
        <v>1.53907563</v>
      </c>
      <c r="BG46" s="24">
        <f t="shared" si="126"/>
        <v>23</v>
      </c>
      <c r="BH46" s="24">
        <f t="shared" si="126"/>
        <v>12.5</v>
      </c>
      <c r="BI46" s="24">
        <f t="shared" si="126"/>
        <v>5.5</v>
      </c>
      <c r="BJ46" s="24">
        <f t="shared" si="126"/>
        <v>26.5</v>
      </c>
      <c r="BK46" s="24">
        <f t="shared" si="126"/>
        <v>14.5</v>
      </c>
      <c r="BL46" s="24">
        <f t="shared" si="126"/>
        <v>6</v>
      </c>
      <c r="BM46" s="24">
        <f t="shared" si="126"/>
        <v>14</v>
      </c>
      <c r="BN46" s="24">
        <f t="shared" si="126"/>
        <v>9</v>
      </c>
      <c r="BO46" s="61">
        <f t="shared" si="126"/>
        <v>3.5</v>
      </c>
      <c r="BP46" s="30">
        <f t="shared" si="8"/>
        <v>-0.3811808934</v>
      </c>
      <c r="BQ46" s="31">
        <f t="shared" si="9"/>
        <v>0.1714285714</v>
      </c>
      <c r="BR46" s="31">
        <f t="shared" si="10"/>
        <v>0.1714285714</v>
      </c>
      <c r="BS46" s="31">
        <f t="shared" si="11"/>
        <v>0.1428571429</v>
      </c>
      <c r="BT46" s="31">
        <f t="shared" si="12"/>
        <v>0.05714285714</v>
      </c>
      <c r="BU46" s="31">
        <f t="shared" si="13"/>
        <v>0</v>
      </c>
      <c r="BV46" s="31">
        <f t="shared" si="14"/>
        <v>0.8285714286</v>
      </c>
      <c r="BW46" s="31">
        <f t="shared" ref="BW46:BX46" si="127">+BR46+BS46+BT46</f>
        <v>0.3714285714</v>
      </c>
      <c r="BX46" s="32">
        <f t="shared" si="127"/>
        <v>0.2</v>
      </c>
      <c r="BY46" s="60"/>
    </row>
    <row r="47" ht="15.75" customHeight="1">
      <c r="B47" s="33">
        <v>36.0</v>
      </c>
      <c r="C47" s="2">
        <v>0.0</v>
      </c>
      <c r="D47" s="3">
        <f t="shared" si="3"/>
        <v>1.527777778</v>
      </c>
      <c r="E47" s="2">
        <f t="shared" si="16"/>
        <v>23</v>
      </c>
      <c r="F47" s="2">
        <f t="shared" si="17"/>
        <v>14</v>
      </c>
      <c r="G47" s="2">
        <f t="shared" si="18"/>
        <v>6</v>
      </c>
      <c r="H47" s="2">
        <f t="shared" si="19"/>
        <v>26</v>
      </c>
      <c r="I47" s="2">
        <f t="shared" si="20"/>
        <v>17</v>
      </c>
      <c r="J47" s="2">
        <f t="shared" si="21"/>
        <v>7</v>
      </c>
      <c r="K47" s="2">
        <f t="shared" si="22"/>
        <v>12</v>
      </c>
      <c r="L47" s="2">
        <f t="shared" si="23"/>
        <v>11</v>
      </c>
      <c r="M47" s="34">
        <f t="shared" si="24"/>
        <v>3</v>
      </c>
      <c r="N47" s="2">
        <v>2.0</v>
      </c>
      <c r="O47" s="3">
        <f t="shared" si="4"/>
        <v>1.305555556</v>
      </c>
      <c r="P47" s="2">
        <f t="shared" si="25"/>
        <v>24</v>
      </c>
      <c r="Q47" s="2">
        <f t="shared" si="26"/>
        <v>13</v>
      </c>
      <c r="R47" s="2">
        <f t="shared" si="27"/>
        <v>5</v>
      </c>
      <c r="S47" s="2">
        <f t="shared" si="28"/>
        <v>29</v>
      </c>
      <c r="T47" s="2">
        <f t="shared" si="29"/>
        <v>13</v>
      </c>
      <c r="U47" s="2">
        <f t="shared" si="30"/>
        <v>7</v>
      </c>
      <c r="V47" s="2">
        <f t="shared" si="31"/>
        <v>16</v>
      </c>
      <c r="W47" s="2">
        <f t="shared" si="32"/>
        <v>8</v>
      </c>
      <c r="X47" s="34">
        <f t="shared" si="33"/>
        <v>5</v>
      </c>
      <c r="Y47" s="2">
        <v>1.0</v>
      </c>
      <c r="Z47" s="3">
        <f t="shared" si="5"/>
        <v>1.805555556</v>
      </c>
      <c r="AA47" s="2">
        <f t="shared" si="34"/>
        <v>23</v>
      </c>
      <c r="AB47" s="2">
        <f t="shared" si="35"/>
        <v>15</v>
      </c>
      <c r="AC47" s="2">
        <f t="shared" si="36"/>
        <v>7</v>
      </c>
      <c r="AD47" s="2">
        <f t="shared" si="37"/>
        <v>27</v>
      </c>
      <c r="AE47" s="2">
        <f t="shared" si="38"/>
        <v>18</v>
      </c>
      <c r="AF47" s="2">
        <f t="shared" si="39"/>
        <v>5</v>
      </c>
      <c r="AG47" s="2">
        <f t="shared" si="40"/>
        <v>12</v>
      </c>
      <c r="AH47" s="2">
        <f t="shared" si="41"/>
        <v>11</v>
      </c>
      <c r="AI47" s="34">
        <f t="shared" si="42"/>
        <v>4</v>
      </c>
      <c r="AJ47" s="2">
        <v>1.0</v>
      </c>
      <c r="AK47" s="3">
        <f t="shared" si="43"/>
        <v>1.457142857</v>
      </c>
      <c r="AL47" s="2">
        <f t="shared" si="44"/>
        <v>25</v>
      </c>
      <c r="AM47" s="2">
        <f t="shared" si="45"/>
        <v>9</v>
      </c>
      <c r="AN47" s="2">
        <f t="shared" si="46"/>
        <v>4</v>
      </c>
      <c r="AO47" s="2">
        <f t="shared" si="47"/>
        <v>27</v>
      </c>
      <c r="AP47" s="2">
        <f t="shared" si="48"/>
        <v>11</v>
      </c>
      <c r="AQ47" s="2">
        <f t="shared" si="49"/>
        <v>6</v>
      </c>
      <c r="AR47" s="2">
        <f t="shared" si="50"/>
        <v>18</v>
      </c>
      <c r="AS47" s="2">
        <f t="shared" si="51"/>
        <v>7</v>
      </c>
      <c r="AT47" s="34">
        <f t="shared" si="52"/>
        <v>2</v>
      </c>
      <c r="AU47" s="2"/>
      <c r="AV47" s="3">
        <f t="shared" si="6"/>
        <v>1.157894737</v>
      </c>
      <c r="AW47" s="2">
        <f t="shared" si="53"/>
        <v>11</v>
      </c>
      <c r="AX47" s="2">
        <f t="shared" si="54"/>
        <v>7</v>
      </c>
      <c r="AY47" s="2">
        <f t="shared" si="55"/>
        <v>2</v>
      </c>
      <c r="AZ47" s="2">
        <f t="shared" si="56"/>
        <v>13</v>
      </c>
      <c r="BA47" s="2">
        <f t="shared" si="57"/>
        <v>7</v>
      </c>
      <c r="BB47" s="2">
        <f t="shared" si="58"/>
        <v>23</v>
      </c>
      <c r="BC47" s="2">
        <f t="shared" si="59"/>
        <v>6</v>
      </c>
      <c r="BD47" s="2">
        <f t="shared" si="60"/>
        <v>5</v>
      </c>
      <c r="BE47" s="34">
        <f t="shared" si="61"/>
        <v>2</v>
      </c>
      <c r="BF47" s="36">
        <f t="shared" ref="BF47:BO47" si="128">+(AK47+Z47+O47+D47)/4</f>
        <v>1.524007937</v>
      </c>
      <c r="BG47" s="2">
        <f t="shared" si="128"/>
        <v>23.75</v>
      </c>
      <c r="BH47" s="2">
        <f t="shared" si="128"/>
        <v>12.75</v>
      </c>
      <c r="BI47" s="2">
        <f t="shared" si="128"/>
        <v>5.5</v>
      </c>
      <c r="BJ47" s="2">
        <f t="shared" si="128"/>
        <v>27.25</v>
      </c>
      <c r="BK47" s="2">
        <f t="shared" si="128"/>
        <v>14.75</v>
      </c>
      <c r="BL47" s="2">
        <f t="shared" si="128"/>
        <v>6.25</v>
      </c>
      <c r="BM47" s="2">
        <f t="shared" si="128"/>
        <v>14.5</v>
      </c>
      <c r="BN47" s="2">
        <f t="shared" si="128"/>
        <v>9.25</v>
      </c>
      <c r="BO47" s="62">
        <f t="shared" si="128"/>
        <v>3.5</v>
      </c>
      <c r="BP47" s="37">
        <f t="shared" si="8"/>
        <v>-0.3661131997</v>
      </c>
      <c r="BQ47" s="38">
        <f t="shared" si="9"/>
        <v>0.1666666667</v>
      </c>
      <c r="BR47" s="38">
        <f t="shared" si="10"/>
        <v>0.1666666667</v>
      </c>
      <c r="BS47" s="38">
        <f t="shared" si="11"/>
        <v>0.1388888889</v>
      </c>
      <c r="BT47" s="38">
        <f t="shared" si="12"/>
        <v>0.05555555556</v>
      </c>
      <c r="BU47" s="38">
        <f t="shared" si="13"/>
        <v>0</v>
      </c>
      <c r="BV47" s="38">
        <f t="shared" si="14"/>
        <v>0.8333333333</v>
      </c>
      <c r="BW47" s="38">
        <f t="shared" ref="BW47:BX47" si="129">+BR47+BS47+BT47</f>
        <v>0.3611111111</v>
      </c>
      <c r="BX47" s="39">
        <f t="shared" si="129"/>
        <v>0.1944444444</v>
      </c>
    </row>
    <row r="48" ht="15.75" customHeight="1">
      <c r="A48" s="60"/>
      <c r="B48" s="40">
        <v>37.0</v>
      </c>
      <c r="C48" s="24">
        <v>1.0</v>
      </c>
      <c r="D48" s="27">
        <f t="shared" si="3"/>
        <v>1.513513514</v>
      </c>
      <c r="E48" s="24">
        <f t="shared" si="16"/>
        <v>24</v>
      </c>
      <c r="F48" s="2">
        <f t="shared" si="17"/>
        <v>14</v>
      </c>
      <c r="G48" s="24">
        <f t="shared" si="18"/>
        <v>6</v>
      </c>
      <c r="H48" s="24">
        <f t="shared" si="19"/>
        <v>27</v>
      </c>
      <c r="I48" s="24">
        <f t="shared" si="20"/>
        <v>17</v>
      </c>
      <c r="J48" s="24">
        <f t="shared" si="21"/>
        <v>7</v>
      </c>
      <c r="K48" s="24">
        <f t="shared" si="22"/>
        <v>13</v>
      </c>
      <c r="L48" s="24">
        <f t="shared" si="23"/>
        <v>11</v>
      </c>
      <c r="M48" s="28">
        <f t="shared" si="24"/>
        <v>3</v>
      </c>
      <c r="N48" s="24">
        <v>1.0</v>
      </c>
      <c r="O48" s="27">
        <f t="shared" si="4"/>
        <v>1.297297297</v>
      </c>
      <c r="P48" s="24">
        <f t="shared" si="25"/>
        <v>25</v>
      </c>
      <c r="Q48" s="2">
        <f t="shared" si="26"/>
        <v>13</v>
      </c>
      <c r="R48" s="24">
        <f t="shared" si="27"/>
        <v>5</v>
      </c>
      <c r="S48" s="24">
        <f t="shared" si="28"/>
        <v>30</v>
      </c>
      <c r="T48" s="24">
        <f t="shared" si="29"/>
        <v>13</v>
      </c>
      <c r="U48" s="24">
        <f t="shared" si="30"/>
        <v>7</v>
      </c>
      <c r="V48" s="24">
        <f t="shared" si="31"/>
        <v>17</v>
      </c>
      <c r="W48" s="24">
        <f t="shared" si="32"/>
        <v>8</v>
      </c>
      <c r="X48" s="28">
        <f t="shared" si="33"/>
        <v>5</v>
      </c>
      <c r="Y48" s="24">
        <v>1.0</v>
      </c>
      <c r="Z48" s="27">
        <f t="shared" si="5"/>
        <v>1.783783784</v>
      </c>
      <c r="AA48" s="24">
        <f t="shared" si="34"/>
        <v>24</v>
      </c>
      <c r="AB48" s="2">
        <f t="shared" si="35"/>
        <v>15</v>
      </c>
      <c r="AC48" s="24">
        <f t="shared" si="36"/>
        <v>7</v>
      </c>
      <c r="AD48" s="24">
        <f t="shared" si="37"/>
        <v>28</v>
      </c>
      <c r="AE48" s="24">
        <f t="shared" si="38"/>
        <v>18</v>
      </c>
      <c r="AF48" s="24">
        <f t="shared" si="39"/>
        <v>5</v>
      </c>
      <c r="AG48" s="24">
        <f t="shared" si="40"/>
        <v>13</v>
      </c>
      <c r="AH48" s="24">
        <f t="shared" si="41"/>
        <v>11</v>
      </c>
      <c r="AI48" s="28">
        <f t="shared" si="42"/>
        <v>4</v>
      </c>
      <c r="AJ48" s="24">
        <v>3.0</v>
      </c>
      <c r="AK48" s="27">
        <f t="shared" si="43"/>
        <v>1.5</v>
      </c>
      <c r="AL48" s="24">
        <f t="shared" si="44"/>
        <v>25</v>
      </c>
      <c r="AM48" s="2">
        <f t="shared" si="45"/>
        <v>10</v>
      </c>
      <c r="AN48" s="24">
        <f t="shared" si="46"/>
        <v>5</v>
      </c>
      <c r="AO48" s="24">
        <f t="shared" si="47"/>
        <v>28</v>
      </c>
      <c r="AP48" s="24">
        <f t="shared" si="48"/>
        <v>12</v>
      </c>
      <c r="AQ48" s="24">
        <f t="shared" si="49"/>
        <v>6</v>
      </c>
      <c r="AR48" s="24">
        <f t="shared" si="50"/>
        <v>18</v>
      </c>
      <c r="AS48" s="24">
        <f t="shared" si="51"/>
        <v>7</v>
      </c>
      <c r="AT48" s="28">
        <f t="shared" si="52"/>
        <v>3</v>
      </c>
      <c r="AU48" s="24"/>
      <c r="AV48" s="27">
        <f t="shared" si="6"/>
        <v>1.157894737</v>
      </c>
      <c r="AW48" s="24">
        <f t="shared" si="53"/>
        <v>11</v>
      </c>
      <c r="AX48" s="2">
        <f t="shared" si="54"/>
        <v>7</v>
      </c>
      <c r="AY48" s="24">
        <f t="shared" si="55"/>
        <v>2</v>
      </c>
      <c r="AZ48" s="24">
        <f t="shared" si="56"/>
        <v>13</v>
      </c>
      <c r="BA48" s="24">
        <f t="shared" si="57"/>
        <v>7</v>
      </c>
      <c r="BB48" s="24">
        <f t="shared" si="58"/>
        <v>24</v>
      </c>
      <c r="BC48" s="24">
        <f t="shared" si="59"/>
        <v>6</v>
      </c>
      <c r="BD48" s="24">
        <f t="shared" si="60"/>
        <v>5</v>
      </c>
      <c r="BE48" s="28">
        <f t="shared" si="61"/>
        <v>2</v>
      </c>
      <c r="BF48" s="29">
        <f t="shared" ref="BF48:BO48" si="130">+(AK48+Z48+O48+D48)/4</f>
        <v>1.523648649</v>
      </c>
      <c r="BG48" s="24">
        <f t="shared" si="130"/>
        <v>24.5</v>
      </c>
      <c r="BH48" s="24">
        <f t="shared" si="130"/>
        <v>13</v>
      </c>
      <c r="BI48" s="24">
        <f t="shared" si="130"/>
        <v>5.75</v>
      </c>
      <c r="BJ48" s="24">
        <f t="shared" si="130"/>
        <v>28.25</v>
      </c>
      <c r="BK48" s="24">
        <f t="shared" si="130"/>
        <v>15</v>
      </c>
      <c r="BL48" s="24">
        <f t="shared" si="130"/>
        <v>6.25</v>
      </c>
      <c r="BM48" s="24">
        <f t="shared" si="130"/>
        <v>15.25</v>
      </c>
      <c r="BN48" s="24">
        <f t="shared" si="130"/>
        <v>9.25</v>
      </c>
      <c r="BO48" s="61">
        <f t="shared" si="130"/>
        <v>3.75</v>
      </c>
      <c r="BP48" s="30">
        <f t="shared" si="8"/>
        <v>-0.3657539118</v>
      </c>
      <c r="BQ48" s="31">
        <f t="shared" si="9"/>
        <v>0.1621621622</v>
      </c>
      <c r="BR48" s="31">
        <f t="shared" si="10"/>
        <v>0.1621621622</v>
      </c>
      <c r="BS48" s="31">
        <f t="shared" si="11"/>
        <v>0.1351351351</v>
      </c>
      <c r="BT48" s="31">
        <f t="shared" si="12"/>
        <v>0.05405405405</v>
      </c>
      <c r="BU48" s="31">
        <f t="shared" si="13"/>
        <v>0</v>
      </c>
      <c r="BV48" s="31">
        <f t="shared" si="14"/>
        <v>0.8378378378</v>
      </c>
      <c r="BW48" s="31">
        <f t="shared" ref="BW48:BX48" si="131">+BR48+BS48+BT48</f>
        <v>0.3513513514</v>
      </c>
      <c r="BX48" s="32">
        <f t="shared" si="131"/>
        <v>0.1891891892</v>
      </c>
      <c r="BY48" s="60"/>
    </row>
    <row r="49" ht="15.75" customHeight="1">
      <c r="B49" s="42">
        <v>38.0</v>
      </c>
      <c r="C49" s="43">
        <v>3.0</v>
      </c>
      <c r="D49" s="3">
        <f t="shared" si="3"/>
        <v>1.552631579</v>
      </c>
      <c r="E49" s="43">
        <f t="shared" si="16"/>
        <v>24</v>
      </c>
      <c r="F49" s="2">
        <f t="shared" si="17"/>
        <v>15</v>
      </c>
      <c r="G49" s="43">
        <f t="shared" si="18"/>
        <v>7</v>
      </c>
      <c r="H49" s="43">
        <f t="shared" si="19"/>
        <v>28</v>
      </c>
      <c r="I49" s="43">
        <f t="shared" si="20"/>
        <v>18</v>
      </c>
      <c r="J49" s="43">
        <f t="shared" si="21"/>
        <v>7</v>
      </c>
      <c r="K49" s="43">
        <f t="shared" si="22"/>
        <v>13</v>
      </c>
      <c r="L49" s="43">
        <f t="shared" si="23"/>
        <v>11</v>
      </c>
      <c r="M49" s="44">
        <f t="shared" si="24"/>
        <v>4</v>
      </c>
      <c r="N49" s="43">
        <v>2.0</v>
      </c>
      <c r="O49" s="3">
        <f t="shared" si="4"/>
        <v>1.315789474</v>
      </c>
      <c r="P49" s="43">
        <f t="shared" si="25"/>
        <v>26</v>
      </c>
      <c r="Q49" s="2">
        <f t="shared" si="26"/>
        <v>14</v>
      </c>
      <c r="R49" s="43">
        <f t="shared" si="27"/>
        <v>5</v>
      </c>
      <c r="S49" s="43">
        <f t="shared" si="28"/>
        <v>31</v>
      </c>
      <c r="T49" s="43">
        <f t="shared" si="29"/>
        <v>14</v>
      </c>
      <c r="U49" s="43">
        <f t="shared" si="30"/>
        <v>7</v>
      </c>
      <c r="V49" s="43">
        <f t="shared" si="31"/>
        <v>17</v>
      </c>
      <c r="W49" s="43">
        <f t="shared" si="32"/>
        <v>9</v>
      </c>
      <c r="X49" s="44">
        <f t="shared" si="33"/>
        <v>5</v>
      </c>
      <c r="Y49" s="43">
        <v>1.0</v>
      </c>
      <c r="Z49" s="3">
        <f t="shared" si="5"/>
        <v>1.763157895</v>
      </c>
      <c r="AA49" s="43">
        <f t="shared" si="34"/>
        <v>25</v>
      </c>
      <c r="AB49" s="2">
        <f t="shared" si="35"/>
        <v>15</v>
      </c>
      <c r="AC49" s="43">
        <f t="shared" si="36"/>
        <v>7</v>
      </c>
      <c r="AD49" s="43">
        <f t="shared" si="37"/>
        <v>29</v>
      </c>
      <c r="AE49" s="43">
        <f t="shared" si="38"/>
        <v>18</v>
      </c>
      <c r="AF49" s="43">
        <f t="shared" si="39"/>
        <v>5</v>
      </c>
      <c r="AG49" s="43">
        <f t="shared" si="40"/>
        <v>14</v>
      </c>
      <c r="AH49" s="43">
        <f t="shared" si="41"/>
        <v>11</v>
      </c>
      <c r="AI49" s="44">
        <f t="shared" si="42"/>
        <v>4</v>
      </c>
      <c r="AJ49" s="43">
        <v>2.0</v>
      </c>
      <c r="AK49" s="3">
        <f t="shared" si="43"/>
        <v>1.513513514</v>
      </c>
      <c r="AL49" s="43">
        <f t="shared" si="44"/>
        <v>26</v>
      </c>
      <c r="AM49" s="2">
        <f t="shared" si="45"/>
        <v>11</v>
      </c>
      <c r="AN49" s="43">
        <f t="shared" si="46"/>
        <v>5</v>
      </c>
      <c r="AO49" s="43">
        <f t="shared" si="47"/>
        <v>29</v>
      </c>
      <c r="AP49" s="43">
        <f t="shared" si="48"/>
        <v>13</v>
      </c>
      <c r="AQ49" s="43">
        <f t="shared" si="49"/>
        <v>6</v>
      </c>
      <c r="AR49" s="43">
        <f t="shared" si="50"/>
        <v>18</v>
      </c>
      <c r="AS49" s="43">
        <f t="shared" si="51"/>
        <v>8</v>
      </c>
      <c r="AT49" s="44">
        <f t="shared" si="52"/>
        <v>3</v>
      </c>
      <c r="AU49" s="43"/>
      <c r="AV49" s="3">
        <f t="shared" si="6"/>
        <v>1.157894737</v>
      </c>
      <c r="AW49" s="43">
        <f t="shared" si="53"/>
        <v>11</v>
      </c>
      <c r="AX49" s="2">
        <f t="shared" si="54"/>
        <v>7</v>
      </c>
      <c r="AY49" s="43">
        <f t="shared" si="55"/>
        <v>2</v>
      </c>
      <c r="AZ49" s="43">
        <f t="shared" si="56"/>
        <v>13</v>
      </c>
      <c r="BA49" s="43">
        <f t="shared" si="57"/>
        <v>7</v>
      </c>
      <c r="BB49" s="43">
        <f t="shared" si="58"/>
        <v>25</v>
      </c>
      <c r="BC49" s="43">
        <f t="shared" si="59"/>
        <v>6</v>
      </c>
      <c r="BD49" s="43">
        <f t="shared" si="60"/>
        <v>5</v>
      </c>
      <c r="BE49" s="44">
        <f t="shared" si="61"/>
        <v>2</v>
      </c>
      <c r="BF49" s="46">
        <f t="shared" ref="BF49:BO49" si="132">+(AK49+Z49+O49+D49)/4</f>
        <v>1.536273115</v>
      </c>
      <c r="BG49" s="43">
        <f t="shared" si="132"/>
        <v>25.25</v>
      </c>
      <c r="BH49" s="43">
        <f t="shared" si="132"/>
        <v>13.75</v>
      </c>
      <c r="BI49" s="43">
        <f t="shared" si="132"/>
        <v>6</v>
      </c>
      <c r="BJ49" s="43">
        <f t="shared" si="132"/>
        <v>29.25</v>
      </c>
      <c r="BK49" s="43">
        <f t="shared" si="132"/>
        <v>15.75</v>
      </c>
      <c r="BL49" s="43">
        <f t="shared" si="132"/>
        <v>6.25</v>
      </c>
      <c r="BM49" s="43">
        <f t="shared" si="132"/>
        <v>15.5</v>
      </c>
      <c r="BN49" s="43">
        <f t="shared" si="132"/>
        <v>9.75</v>
      </c>
      <c r="BO49" s="63">
        <f t="shared" si="132"/>
        <v>4</v>
      </c>
      <c r="BP49" s="48">
        <f t="shared" si="8"/>
        <v>-0.3783783784</v>
      </c>
      <c r="BQ49" s="49">
        <f t="shared" si="9"/>
        <v>0.1578947368</v>
      </c>
      <c r="BR49" s="49">
        <f t="shared" si="10"/>
        <v>0.1578947368</v>
      </c>
      <c r="BS49" s="49">
        <f t="shared" si="11"/>
        <v>0.1315789474</v>
      </c>
      <c r="BT49" s="49">
        <f t="shared" si="12"/>
        <v>0.05263157895</v>
      </c>
      <c r="BU49" s="49">
        <f t="shared" si="13"/>
        <v>0</v>
      </c>
      <c r="BV49" s="49">
        <f t="shared" si="14"/>
        <v>0.8421052632</v>
      </c>
      <c r="BW49" s="49">
        <f t="shared" ref="BW49:BX49" si="133">+BR49+BS49+BT49</f>
        <v>0.3421052632</v>
      </c>
      <c r="BX49" s="50">
        <f t="shared" si="133"/>
        <v>0.1842105263</v>
      </c>
    </row>
    <row r="50" ht="15.7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17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7">
    <mergeCell ref="B10:M10"/>
    <mergeCell ref="N10:X10"/>
    <mergeCell ref="Y10:AI10"/>
    <mergeCell ref="AJ10:AT10"/>
    <mergeCell ref="AU10:BE10"/>
    <mergeCell ref="BF10:BO10"/>
    <mergeCell ref="BP10:BX1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4" width="9.14"/>
    <col customWidth="1" min="5" max="6" width="9.43"/>
    <col customWidth="1" min="7" max="7" width="12.0"/>
    <col customWidth="1" min="8" max="8" width="9.43"/>
    <col customWidth="1" min="9" max="15" width="9.14"/>
    <col customWidth="1" min="16" max="17" width="9.43"/>
    <col customWidth="1" min="18" max="18" width="12.0"/>
    <col customWidth="1" min="19" max="19" width="9.43"/>
    <col customWidth="1" min="20" max="26" width="9.14"/>
    <col customWidth="1" min="27" max="28" width="9.43"/>
    <col customWidth="1" min="29" max="29" width="12.0"/>
    <col customWidth="1" min="30" max="30" width="9.43"/>
    <col customWidth="1" min="31" max="37" width="9.14"/>
    <col customWidth="1" min="38" max="39" width="9.43"/>
    <col customWidth="1" min="40" max="40" width="12.0"/>
    <col customWidth="1" min="41" max="41" width="9.43"/>
    <col customWidth="1" min="42" max="46" width="9.14"/>
    <col customWidth="1" min="47" max="47" width="6.86"/>
    <col customWidth="1" min="48" max="48" width="7.14"/>
    <col customWidth="1" min="49" max="50" width="9.14"/>
    <col customWidth="1" min="51" max="51" width="7.86"/>
    <col customWidth="1" min="52" max="55" width="9.14"/>
    <col customWidth="1" min="56" max="56" width="11.57"/>
    <col customWidth="1" min="57" max="65" width="9.14"/>
    <col customWidth="1" min="66" max="66" width="6.71"/>
    <col customWidth="1" min="67" max="67" width="9.14"/>
    <col customWidth="1" min="68" max="69" width="8.71"/>
    <col customWidth="1" min="70" max="70" width="9.14"/>
    <col customWidth="1" min="71" max="71" width="9.43"/>
    <col customWidth="1" min="72" max="72" width="7.43"/>
    <col customWidth="1" min="73" max="73" width="8.14"/>
    <col customWidth="1" min="74" max="74" width="8.86"/>
    <col customWidth="1" min="75" max="75" width="10.43"/>
    <col customWidth="1" min="76" max="76" width="9.57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3"/>
      <c r="BE9" s="3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>
      <c r="B10" s="4" t="s">
        <v>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7" t="s">
        <v>1</v>
      </c>
      <c r="O10" s="5"/>
      <c r="P10" s="5"/>
      <c r="Q10" s="5"/>
      <c r="R10" s="5"/>
      <c r="S10" s="5"/>
      <c r="T10" s="5"/>
      <c r="U10" s="5"/>
      <c r="V10" s="5"/>
      <c r="W10" s="5"/>
      <c r="X10" s="6"/>
      <c r="Y10" s="8" t="s">
        <v>2</v>
      </c>
      <c r="Z10" s="5"/>
      <c r="AA10" s="5"/>
      <c r="AB10" s="5"/>
      <c r="AC10" s="5"/>
      <c r="AD10" s="5"/>
      <c r="AE10" s="5"/>
      <c r="AF10" s="5"/>
      <c r="AG10" s="5"/>
      <c r="AH10" s="5"/>
      <c r="AI10" s="6"/>
      <c r="AJ10" s="7" t="s">
        <v>3</v>
      </c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7" t="s">
        <v>4</v>
      </c>
      <c r="AV10" s="5"/>
      <c r="AW10" s="5"/>
      <c r="AX10" s="5"/>
      <c r="AY10" s="5"/>
      <c r="AZ10" s="5"/>
      <c r="BA10" s="5"/>
      <c r="BB10" s="5"/>
      <c r="BC10" s="5"/>
      <c r="BD10" s="5"/>
      <c r="BE10" s="6"/>
      <c r="BF10" s="8" t="s">
        <v>5</v>
      </c>
      <c r="BG10" s="5"/>
      <c r="BH10" s="5"/>
      <c r="BI10" s="5"/>
      <c r="BJ10" s="5"/>
      <c r="BK10" s="5"/>
      <c r="BL10" s="5"/>
      <c r="BM10" s="5"/>
      <c r="BN10" s="5"/>
      <c r="BO10" s="51"/>
      <c r="BP10" s="13" t="s">
        <v>6</v>
      </c>
      <c r="BQ10" s="14"/>
      <c r="BR10" s="14"/>
      <c r="BS10" s="14"/>
      <c r="BT10" s="14"/>
      <c r="BU10" s="14"/>
      <c r="BV10" s="14"/>
      <c r="BW10" s="14"/>
      <c r="BX10" s="15"/>
    </row>
    <row r="11">
      <c r="B11" s="16"/>
      <c r="C11" s="17"/>
      <c r="D11" s="18" t="s">
        <v>7</v>
      </c>
      <c r="E11" s="19" t="s">
        <v>8</v>
      </c>
      <c r="F11" s="19" t="s">
        <v>9</v>
      </c>
      <c r="G11" s="19" t="s">
        <v>10</v>
      </c>
      <c r="H11" s="19" t="s">
        <v>11</v>
      </c>
      <c r="I11" s="19" t="s">
        <v>12</v>
      </c>
      <c r="J11" s="19" t="s">
        <v>13</v>
      </c>
      <c r="K11" s="19" t="s">
        <v>14</v>
      </c>
      <c r="L11" s="19" t="s">
        <v>15</v>
      </c>
      <c r="M11" s="20" t="s">
        <v>16</v>
      </c>
      <c r="N11" s="17"/>
      <c r="O11" s="18" t="s">
        <v>7</v>
      </c>
      <c r="P11" s="19" t="s">
        <v>8</v>
      </c>
      <c r="Q11" s="19" t="s">
        <v>9</v>
      </c>
      <c r="R11" s="19" t="s">
        <v>10</v>
      </c>
      <c r="S11" s="19" t="s">
        <v>11</v>
      </c>
      <c r="T11" s="19" t="s">
        <v>12</v>
      </c>
      <c r="U11" s="19" t="s">
        <v>13</v>
      </c>
      <c r="V11" s="19" t="s">
        <v>14</v>
      </c>
      <c r="W11" s="19" t="s">
        <v>15</v>
      </c>
      <c r="X11" s="20" t="s">
        <v>16</v>
      </c>
      <c r="Y11" s="17"/>
      <c r="Z11" s="18" t="s">
        <v>7</v>
      </c>
      <c r="AA11" s="19" t="s">
        <v>8</v>
      </c>
      <c r="AB11" s="19" t="s">
        <v>9</v>
      </c>
      <c r="AC11" s="19" t="s">
        <v>10</v>
      </c>
      <c r="AD11" s="19" t="s">
        <v>11</v>
      </c>
      <c r="AE11" s="19" t="s">
        <v>12</v>
      </c>
      <c r="AF11" s="19" t="s">
        <v>13</v>
      </c>
      <c r="AG11" s="19" t="s">
        <v>14</v>
      </c>
      <c r="AH11" s="19" t="s">
        <v>15</v>
      </c>
      <c r="AI11" s="20" t="s">
        <v>16</v>
      </c>
      <c r="AJ11" s="17"/>
      <c r="AK11" s="18" t="s">
        <v>7</v>
      </c>
      <c r="AL11" s="19" t="s">
        <v>8</v>
      </c>
      <c r="AM11" s="19" t="s">
        <v>9</v>
      </c>
      <c r="AN11" s="19" t="s">
        <v>10</v>
      </c>
      <c r="AO11" s="19" t="s">
        <v>11</v>
      </c>
      <c r="AP11" s="19" t="s">
        <v>12</v>
      </c>
      <c r="AQ11" s="19" t="s">
        <v>13</v>
      </c>
      <c r="AR11" s="19" t="s">
        <v>14</v>
      </c>
      <c r="AS11" s="19" t="s">
        <v>15</v>
      </c>
      <c r="AT11" s="20" t="s">
        <v>16</v>
      </c>
      <c r="AU11" s="17"/>
      <c r="AV11" s="18" t="s">
        <v>7</v>
      </c>
      <c r="AW11" s="19" t="s">
        <v>8</v>
      </c>
      <c r="AX11" s="19" t="s">
        <v>9</v>
      </c>
      <c r="AY11" s="19" t="s">
        <v>10</v>
      </c>
      <c r="AZ11" s="19" t="s">
        <v>11</v>
      </c>
      <c r="BA11" s="19" t="s">
        <v>12</v>
      </c>
      <c r="BB11" s="19" t="s">
        <v>13</v>
      </c>
      <c r="BC11" s="19" t="s">
        <v>14</v>
      </c>
      <c r="BD11" s="19" t="s">
        <v>15</v>
      </c>
      <c r="BE11" s="20" t="s">
        <v>16</v>
      </c>
      <c r="BF11" s="18" t="s">
        <v>7</v>
      </c>
      <c r="BG11" s="19" t="s">
        <v>8</v>
      </c>
      <c r="BH11" s="19" t="s">
        <v>9</v>
      </c>
      <c r="BI11" s="19" t="s">
        <v>10</v>
      </c>
      <c r="BJ11" s="19" t="s">
        <v>11</v>
      </c>
      <c r="BK11" s="19" t="s">
        <v>12</v>
      </c>
      <c r="BL11" s="19" t="s">
        <v>13</v>
      </c>
      <c r="BM11" s="19" t="s">
        <v>14</v>
      </c>
      <c r="BN11" s="19" t="s">
        <v>15</v>
      </c>
      <c r="BO11" s="59" t="s">
        <v>16</v>
      </c>
      <c r="BP11" s="21" t="s">
        <v>17</v>
      </c>
      <c r="BQ11" s="18" t="s">
        <v>18</v>
      </c>
      <c r="BR11" s="18" t="s">
        <v>19</v>
      </c>
      <c r="BS11" s="18" t="s">
        <v>20</v>
      </c>
      <c r="BT11" s="18" t="s">
        <v>21</v>
      </c>
      <c r="BU11" s="18" t="s">
        <v>22</v>
      </c>
      <c r="BV11" s="22" t="s">
        <v>23</v>
      </c>
      <c r="BW11" s="18" t="s">
        <v>24</v>
      </c>
      <c r="BX11" s="52" t="s">
        <v>25</v>
      </c>
    </row>
    <row r="12">
      <c r="A12" s="60"/>
      <c r="B12" s="25">
        <v>1.0</v>
      </c>
      <c r="C12" s="24">
        <v>3.0</v>
      </c>
      <c r="D12" s="27">
        <f t="shared" ref="D12:D49" si="3">AVERAGE($C$12:C12)</f>
        <v>3</v>
      </c>
      <c r="E12" s="24">
        <f>IF(AND(C12&gt;=1,C12&lt;=2),1,0)</f>
        <v>0</v>
      </c>
      <c r="F12" s="24">
        <f>IF(AND(C12&gt;=2,C12&lt;=3),1,0)</f>
        <v>1</v>
      </c>
      <c r="G12" s="24">
        <f>IF(AND(C12&gt;=3,C12&lt;=4),1,0)</f>
        <v>1</v>
      </c>
      <c r="H12" s="24">
        <f>IF(AND(C12&gt;=1,C12&lt;=3),1,0)</f>
        <v>1</v>
      </c>
      <c r="I12" s="24">
        <f>IF(AND(C12&gt;=2,C12&lt;=4),1,0)</f>
        <v>1</v>
      </c>
      <c r="J12" s="24">
        <f>IF((C12=0),1,0)</f>
        <v>0</v>
      </c>
      <c r="K12" s="24">
        <f>IF((C12=1),1,0)</f>
        <v>0</v>
      </c>
      <c r="L12" s="24">
        <f>IF((C12=2),1,0)</f>
        <v>0</v>
      </c>
      <c r="M12" s="28">
        <f>IF((C12=3),1,0)</f>
        <v>1</v>
      </c>
      <c r="N12" s="24">
        <v>2.0</v>
      </c>
      <c r="O12" s="27">
        <f t="shared" ref="O12:O49" si="4">AVERAGE($N$12:N12)</f>
        <v>2</v>
      </c>
      <c r="P12" s="24">
        <f>IF(AND(N12&gt;=1,N12&lt;=2),1,0)</f>
        <v>1</v>
      </c>
      <c r="Q12" s="24">
        <f>IF(AND(N12&gt;=2,N12&lt;=3),1,0)</f>
        <v>1</v>
      </c>
      <c r="R12" s="24">
        <f>IF(AND(N12&gt;=3,N12&lt;=4),1,0)</f>
        <v>0</v>
      </c>
      <c r="S12" s="24">
        <f>IF(AND(N12&gt;=1,N12&lt;=3),1,0)</f>
        <v>1</v>
      </c>
      <c r="T12" s="24">
        <f>IF(AND(N12&gt;=2,N12&lt;=4),1,0)</f>
        <v>1</v>
      </c>
      <c r="U12" s="24">
        <f>IF((N12=0),1,0)</f>
        <v>0</v>
      </c>
      <c r="V12" s="24">
        <f>IF((N12=1),1,0)</f>
        <v>0</v>
      </c>
      <c r="W12" s="24">
        <f>IF((N12=2),1,0)</f>
        <v>1</v>
      </c>
      <c r="X12" s="28">
        <f>IF((N12=3),1,0)</f>
        <v>0</v>
      </c>
      <c r="Y12" s="24">
        <v>1.0</v>
      </c>
      <c r="Z12" s="27">
        <f t="shared" ref="Z12:Z49" si="5">AVERAGE($Y$12:Y12)</f>
        <v>1</v>
      </c>
      <c r="AA12" s="24">
        <f>IF(AND(Y12&gt;=1,Y12&lt;=2),1,0)</f>
        <v>1</v>
      </c>
      <c r="AB12" s="24">
        <f>IF(AND(Y12&gt;=2,Y12&lt;=3),1,0)</f>
        <v>0</v>
      </c>
      <c r="AC12" s="24">
        <f>IF(AND(Y12&gt;=3,Y12&lt;=4),1,0)</f>
        <v>0</v>
      </c>
      <c r="AD12" s="24">
        <f>IF(AND(Y12&gt;=1,Y12&lt;=3),1,0)</f>
        <v>1</v>
      </c>
      <c r="AE12" s="24">
        <f>IF(AND(Y12&gt;=2,Y12&lt;=4),1,0)</f>
        <v>0</v>
      </c>
      <c r="AF12" s="24">
        <f>IF((Y12=0),1,0)</f>
        <v>0</v>
      </c>
      <c r="AG12" s="24">
        <f>IF((Y12=1),1,0)</f>
        <v>1</v>
      </c>
      <c r="AH12" s="24">
        <f>IF((Y12=2),1,0)</f>
        <v>0</v>
      </c>
      <c r="AI12" s="28">
        <f>IF((Y12=3),1,0)</f>
        <v>0</v>
      </c>
      <c r="AJ12" s="24">
        <v>3.0</v>
      </c>
      <c r="AK12" s="27">
        <f t="shared" ref="AK12:AK49" si="6">AVERAGE($AJ$12:AJ12)</f>
        <v>3</v>
      </c>
      <c r="AL12" s="24">
        <f>IF(AND(AJ12&gt;=1,AJ12&lt;=2),1,0)</f>
        <v>0</v>
      </c>
      <c r="AM12" s="24">
        <f>IF(AND(AJ12&gt;=2,AJ12&lt;=3),1,0)</f>
        <v>1</v>
      </c>
      <c r="AN12" s="24">
        <f>IF(AND(AJ12&gt;=3,AJ12&lt;=4),1,0)</f>
        <v>1</v>
      </c>
      <c r="AO12" s="24">
        <f>IF(AND(AJ12&gt;=1,AJ12&lt;=3),1,0)</f>
        <v>1</v>
      </c>
      <c r="AP12" s="24">
        <f>IF(AND(AJ12&gt;=2,AJ12&lt;=4),1,0)</f>
        <v>1</v>
      </c>
      <c r="AQ12" s="24">
        <f>IF((AJ12=0),1,0)</f>
        <v>0</v>
      </c>
      <c r="AR12" s="24">
        <f>IF((AJ12=1),1,0)</f>
        <v>0</v>
      </c>
      <c r="AS12" s="24">
        <f>IF((AJ12=2),1,0)</f>
        <v>0</v>
      </c>
      <c r="AT12" s="28">
        <f>IF((AJ12=3),1,0)</f>
        <v>1</v>
      </c>
      <c r="AU12" s="24">
        <v>0.0</v>
      </c>
      <c r="AV12" s="27">
        <f t="shared" ref="AV12:AV49" si="7">AVERAGE($AU$12:AU12)</f>
        <v>0</v>
      </c>
      <c r="AW12" s="24">
        <f>IF(AND(AU12&gt;=1,AU12&lt;=2),1,0)</f>
        <v>0</v>
      </c>
      <c r="AX12" s="24">
        <f>IF(AND(AU12&gt;=2,AU12&lt;=3),1,0)</f>
        <v>0</v>
      </c>
      <c r="AY12" s="24">
        <f>IF(AND(AU12&gt;=3,AU12&lt;=4),1,0)</f>
        <v>0</v>
      </c>
      <c r="AZ12" s="24">
        <f>IF(AND(AU12&gt;=1,AU12&lt;=3),1,0)</f>
        <v>0</v>
      </c>
      <c r="BA12" s="24">
        <f>IF(AND(AU12&gt;=2,AU12&lt;=4),1,0)</f>
        <v>0</v>
      </c>
      <c r="BB12" s="24">
        <f>IF((AU12=0),1,0)</f>
        <v>1</v>
      </c>
      <c r="BC12" s="24">
        <f>IF((AU12=1),1,0)</f>
        <v>0</v>
      </c>
      <c r="BD12" s="24">
        <f>IF((AU12=2),1,0)</f>
        <v>0</v>
      </c>
      <c r="BE12" s="28">
        <f>IF((AU12=3),1,0)</f>
        <v>0</v>
      </c>
      <c r="BF12" s="29">
        <f t="shared" ref="BF12:BO12" si="1">+(AK12+Z12+O12+D12)/4</f>
        <v>2.25</v>
      </c>
      <c r="BG12" s="24">
        <f t="shared" si="1"/>
        <v>0.5</v>
      </c>
      <c r="BH12" s="24">
        <f t="shared" si="1"/>
        <v>0.75</v>
      </c>
      <c r="BI12" s="24">
        <f t="shared" si="1"/>
        <v>0.5</v>
      </c>
      <c r="BJ12" s="24">
        <f t="shared" si="1"/>
        <v>1</v>
      </c>
      <c r="BK12" s="24">
        <f t="shared" si="1"/>
        <v>0.75</v>
      </c>
      <c r="BL12" s="24">
        <f t="shared" si="1"/>
        <v>0</v>
      </c>
      <c r="BM12" s="24">
        <f t="shared" si="1"/>
        <v>0.25</v>
      </c>
      <c r="BN12" s="24">
        <f t="shared" si="1"/>
        <v>0.25</v>
      </c>
      <c r="BO12" s="61">
        <f t="shared" si="1"/>
        <v>0.5</v>
      </c>
      <c r="BP12" s="30">
        <f t="shared" ref="BP12:BP49" si="9">+AV12-BF12</f>
        <v>-2.25</v>
      </c>
      <c r="BQ12" s="31"/>
      <c r="BR12" s="31">
        <f t="shared" ref="BR12:BR49" si="10">(COUNTIF($AU$12:AU12,1))/B12</f>
        <v>0</v>
      </c>
      <c r="BS12" s="31">
        <f t="shared" ref="BS12:BS49" si="11">(COUNTIF($AU$12:AU12,2))/B12</f>
        <v>0</v>
      </c>
      <c r="BT12" s="31">
        <f t="shared" ref="BT12:BT49" si="12">(COUNTIF($AU$12:AU12,3))/B12</f>
        <v>0</v>
      </c>
      <c r="BU12" s="31">
        <f t="shared" ref="BU12:BU49" si="13">(COUNTIF($AU$12:AU12,"&gt;=4"))/B12</f>
        <v>0</v>
      </c>
      <c r="BV12" s="31">
        <f t="shared" ref="BV12:BV49" si="14">1-BQ12</f>
        <v>1</v>
      </c>
      <c r="BW12" s="31">
        <f t="shared" ref="BW12:BX12" si="2">+BR12+BS12+BT12</f>
        <v>0</v>
      </c>
      <c r="BX12" s="32">
        <f t="shared" si="2"/>
        <v>0</v>
      </c>
    </row>
    <row r="13">
      <c r="B13" s="33">
        <v>2.0</v>
      </c>
      <c r="C13" s="2">
        <v>6.0</v>
      </c>
      <c r="D13" s="3">
        <f t="shared" si="3"/>
        <v>4.5</v>
      </c>
      <c r="E13" s="2">
        <f t="shared" ref="E13:E49" si="16">IF(AND(C13&gt;=1,C13&lt;=2),(E12+1),E12)</f>
        <v>0</v>
      </c>
      <c r="F13" s="2">
        <f t="shared" ref="F13:F49" si="17">IF(AND(C13&gt;=2,C13&lt;=3),(F12+1),F12)</f>
        <v>1</v>
      </c>
      <c r="G13" s="2">
        <f t="shared" ref="G13:G49" si="18">IF(AND(C13&gt;=3,C13&lt;=4),(G12+1),G12)</f>
        <v>1</v>
      </c>
      <c r="H13" s="2">
        <f t="shared" ref="H13:H49" si="19">IF(AND(C13&gt;=1,C13&lt;=3),(H12+1),H12)</f>
        <v>1</v>
      </c>
      <c r="I13" s="2">
        <f t="shared" ref="I13:I49" si="20">IF(AND(C13&gt;=2,C13&lt;=4),(I12+1),I12)</f>
        <v>1</v>
      </c>
      <c r="J13" s="2">
        <f t="shared" ref="J13:J49" si="21">IF((C13=0),(J12+1),J12)</f>
        <v>0</v>
      </c>
      <c r="K13" s="2">
        <f t="shared" ref="K13:K49" si="22">IF((C13=1),(K12+1),K12)</f>
        <v>0</v>
      </c>
      <c r="L13" s="2">
        <f t="shared" ref="L13:L49" si="23">IF((C13=2),(L12+1),L12)</f>
        <v>0</v>
      </c>
      <c r="M13" s="34">
        <f t="shared" ref="M13:M49" si="24">IF((C13=3),(M12+1),M12)</f>
        <v>1</v>
      </c>
      <c r="N13" s="2">
        <v>0.0</v>
      </c>
      <c r="O13" s="3">
        <f t="shared" si="4"/>
        <v>1</v>
      </c>
      <c r="P13" s="2">
        <f t="shared" ref="P13:P49" si="25">IF(AND(N13&gt;=1,N13&lt;=2),(P12+1),P12)</f>
        <v>1</v>
      </c>
      <c r="Q13" s="2">
        <f t="shared" ref="Q13:Q49" si="26">IF(AND(N13&gt;=2,N13&lt;=3),(Q12+1),Q12)</f>
        <v>1</v>
      </c>
      <c r="R13" s="2">
        <f t="shared" ref="R13:R49" si="27">IF(AND(N13&gt;=3,N13&lt;=4),(R12+1),R12)</f>
        <v>0</v>
      </c>
      <c r="S13" s="2">
        <f t="shared" ref="S13:S49" si="28">IF(AND(N13&gt;=1,N13&lt;=3),(S12+1),S12)</f>
        <v>1</v>
      </c>
      <c r="T13" s="2">
        <f t="shared" ref="T13:T49" si="29">IF(AND(N13&gt;=2,N13&lt;=4),(T12+1),T12)</f>
        <v>1</v>
      </c>
      <c r="U13" s="2">
        <f t="shared" ref="U13:U49" si="30">IF((N13=0),(U12+1),U12)</f>
        <v>1</v>
      </c>
      <c r="V13" s="2">
        <f t="shared" ref="V13:V49" si="31">IF((N13=1),(V12+1),V12)</f>
        <v>0</v>
      </c>
      <c r="W13" s="2">
        <f t="shared" ref="W13:W49" si="32">IF((N13=2),(W12+1),W12)</f>
        <v>1</v>
      </c>
      <c r="X13" s="34">
        <f t="shared" ref="X13:X49" si="33">IF((N13=3),(X12+1),X12)</f>
        <v>0</v>
      </c>
      <c r="Y13" s="2">
        <v>0.0</v>
      </c>
      <c r="Z13" s="3">
        <f t="shared" si="5"/>
        <v>0.5</v>
      </c>
      <c r="AA13" s="2">
        <f t="shared" ref="AA13:AA49" si="34">IF(AND(Y13&gt;=1,Y13&lt;=2),(AA12+1),AA12)</f>
        <v>1</v>
      </c>
      <c r="AB13" s="2">
        <f t="shared" ref="AB13:AB49" si="35">IF(AND(Y13&gt;=2,Y13&lt;=3),(AB12+1),AB12)</f>
        <v>0</v>
      </c>
      <c r="AC13" s="2">
        <f t="shared" ref="AC13:AC49" si="36">IF(AND(Y13&gt;=3,Y13&lt;=4),(AC12+1),AC12)</f>
        <v>0</v>
      </c>
      <c r="AD13" s="2">
        <f t="shared" ref="AD13:AD49" si="37">IF(AND(Y13&gt;=1,Y13&lt;=3),(AD12+1),AD12)</f>
        <v>1</v>
      </c>
      <c r="AE13" s="2">
        <f t="shared" ref="AE13:AE49" si="38">IF(AND(Y13&gt;=2,Y13&lt;=4),(AE12+1),AE12)</f>
        <v>0</v>
      </c>
      <c r="AF13" s="2">
        <f t="shared" ref="AF13:AF49" si="39">IF((Y13=0),(AF12+1),AF12)</f>
        <v>1</v>
      </c>
      <c r="AG13" s="2">
        <f t="shared" ref="AG13:AG49" si="40">IF((Y13=1),(AG12+1),AG12)</f>
        <v>1</v>
      </c>
      <c r="AH13" s="2">
        <f t="shared" ref="AH13:AH49" si="41">IF((Y13=2),(AH12+1),AH12)</f>
        <v>0</v>
      </c>
      <c r="AI13" s="34">
        <f t="shared" ref="AI13:AI49" si="42">IF((Y13=3),(AI12+1),AI12)</f>
        <v>0</v>
      </c>
      <c r="AJ13" s="2">
        <v>1.0</v>
      </c>
      <c r="AK13" s="3">
        <f t="shared" si="6"/>
        <v>2</v>
      </c>
      <c r="AL13" s="2">
        <f t="shared" ref="AL13:AL49" si="43">IF(AND(AJ13&gt;=1,AJ13&lt;=2),(AL12+1),AL12)</f>
        <v>1</v>
      </c>
      <c r="AM13" s="2">
        <f t="shared" ref="AM13:AM49" si="44">IF(AND(AJ13&gt;=2,AJ13&lt;=3),(AM12+1),AM12)</f>
        <v>1</v>
      </c>
      <c r="AN13" s="2">
        <f t="shared" ref="AN13:AN49" si="45">IF(AND(AJ13&gt;=3,AJ13&lt;=4),(AN12+1),AN12)</f>
        <v>1</v>
      </c>
      <c r="AO13" s="2">
        <f t="shared" ref="AO13:AO49" si="46">IF(AND(AJ13&gt;=1,AJ13&lt;=3),(AO12+1),AO12)</f>
        <v>2</v>
      </c>
      <c r="AP13" s="2">
        <f t="shared" ref="AP13:AP49" si="47">IF(AND(AJ13&gt;=2,AJ13&lt;=4),(AP12+1),AP12)</f>
        <v>1</v>
      </c>
      <c r="AQ13" s="2">
        <f t="shared" ref="AQ13:AQ49" si="48">IF((AJ13=0),(AQ12+1),AQ12)</f>
        <v>0</v>
      </c>
      <c r="AR13" s="2">
        <f t="shared" ref="AR13:AR49" si="49">IF((AJ13=1),(AR12+1),AR12)</f>
        <v>1</v>
      </c>
      <c r="AS13" s="2">
        <f t="shared" ref="AS13:AS49" si="50">IF((AJ13=2),(AS12+1),AS12)</f>
        <v>0</v>
      </c>
      <c r="AT13" s="34">
        <f t="shared" ref="AT13:AT49" si="51">IF((AJ13=3),(AT12+1),AT12)</f>
        <v>1</v>
      </c>
      <c r="AU13" s="2">
        <v>4.0</v>
      </c>
      <c r="AV13" s="3">
        <f t="shared" si="7"/>
        <v>2</v>
      </c>
      <c r="AW13" s="2">
        <f t="shared" ref="AW13:AW49" si="52">IF(AND(AU13&gt;=1,AU13&lt;=2),(AW12+1),AW12)</f>
        <v>0</v>
      </c>
      <c r="AX13" s="2">
        <f t="shared" ref="AX13:AX49" si="53">IF(AND(AU13&gt;=2,AU13&lt;=3),(AX12+1),AX12)</f>
        <v>0</v>
      </c>
      <c r="AY13" s="2">
        <f t="shared" ref="AY13:AY49" si="54">IF(AND(AU13&gt;=3,AU13&lt;=4),(AY12+1),AY12)</f>
        <v>1</v>
      </c>
      <c r="AZ13" s="2">
        <f t="shared" ref="AZ13:AZ49" si="55">IF(AND(AU13&gt;=1,AU13&lt;=3),(AZ12+1),AZ12)</f>
        <v>0</v>
      </c>
      <c r="BA13" s="2">
        <f t="shared" ref="BA13:BA49" si="56">IF(AND(AU13&gt;=2,AU13&lt;=4),(BA12+1),BA12)</f>
        <v>1</v>
      </c>
      <c r="BB13" s="2">
        <f t="shared" ref="BB13:BB49" si="57">IF((AU13=0),(BB12+1),BB12)</f>
        <v>1</v>
      </c>
      <c r="BC13" s="2">
        <f t="shared" ref="BC13:BC49" si="58">IF((AU13=1),(BC12+1),BC12)</f>
        <v>0</v>
      </c>
      <c r="BD13" s="2">
        <f t="shared" ref="BD13:BD49" si="59">IF((AU13=2),(BD12+1),BD12)</f>
        <v>0</v>
      </c>
      <c r="BE13" s="34">
        <f t="shared" ref="BE13:BE49" si="60">IF((AU13=3),(BE12+1),BE12)</f>
        <v>0</v>
      </c>
      <c r="BF13" s="36">
        <f t="shared" ref="BF13:BO13" si="8">+(AK13+Z13+O13+D13)/4</f>
        <v>2</v>
      </c>
      <c r="BG13" s="2">
        <f t="shared" si="8"/>
        <v>0.75</v>
      </c>
      <c r="BH13" s="2">
        <f t="shared" si="8"/>
        <v>0.75</v>
      </c>
      <c r="BI13" s="2">
        <f t="shared" si="8"/>
        <v>0.5</v>
      </c>
      <c r="BJ13" s="2">
        <f t="shared" si="8"/>
        <v>1.25</v>
      </c>
      <c r="BK13" s="2">
        <f t="shared" si="8"/>
        <v>0.75</v>
      </c>
      <c r="BL13" s="2">
        <f t="shared" si="8"/>
        <v>0.5</v>
      </c>
      <c r="BM13" s="2">
        <f t="shared" si="8"/>
        <v>0.5</v>
      </c>
      <c r="BN13" s="2">
        <f t="shared" si="8"/>
        <v>0.25</v>
      </c>
      <c r="BO13" s="62">
        <f t="shared" si="8"/>
        <v>0.5</v>
      </c>
      <c r="BP13" s="37">
        <f t="shared" si="9"/>
        <v>0</v>
      </c>
      <c r="BQ13" s="38">
        <f t="shared" ref="BQ13:BQ49" si="62">COUNTIF($AU$12:AU13,0)/B13</f>
        <v>0.5</v>
      </c>
      <c r="BR13" s="38">
        <f t="shared" si="10"/>
        <v>0</v>
      </c>
      <c r="BS13" s="38">
        <f t="shared" si="11"/>
        <v>0</v>
      </c>
      <c r="BT13" s="38">
        <f t="shared" si="12"/>
        <v>0</v>
      </c>
      <c r="BU13" s="38">
        <f t="shared" si="13"/>
        <v>0.5</v>
      </c>
      <c r="BV13" s="38">
        <f t="shared" si="14"/>
        <v>0.5</v>
      </c>
      <c r="BW13" s="38">
        <f t="shared" ref="BW13:BX13" si="15">+BR13+BS13+BT13</f>
        <v>0</v>
      </c>
      <c r="BX13" s="39">
        <f t="shared" si="15"/>
        <v>0.5</v>
      </c>
    </row>
    <row r="14">
      <c r="A14" s="60"/>
      <c r="B14" s="40">
        <v>3.0</v>
      </c>
      <c r="C14" s="24">
        <v>0.0</v>
      </c>
      <c r="D14" s="27">
        <f t="shared" si="3"/>
        <v>3</v>
      </c>
      <c r="E14" s="24">
        <f t="shared" si="16"/>
        <v>0</v>
      </c>
      <c r="F14" s="2">
        <f t="shared" si="17"/>
        <v>1</v>
      </c>
      <c r="G14" s="24">
        <f t="shared" si="18"/>
        <v>1</v>
      </c>
      <c r="H14" s="24">
        <f t="shared" si="19"/>
        <v>1</v>
      </c>
      <c r="I14" s="24">
        <f t="shared" si="20"/>
        <v>1</v>
      </c>
      <c r="J14" s="24">
        <f t="shared" si="21"/>
        <v>1</v>
      </c>
      <c r="K14" s="24">
        <f t="shared" si="22"/>
        <v>0</v>
      </c>
      <c r="L14" s="24">
        <f t="shared" si="23"/>
        <v>0</v>
      </c>
      <c r="M14" s="28">
        <f t="shared" si="24"/>
        <v>1</v>
      </c>
      <c r="N14" s="24">
        <v>3.0</v>
      </c>
      <c r="O14" s="27">
        <f t="shared" si="4"/>
        <v>1.666666667</v>
      </c>
      <c r="P14" s="24">
        <f t="shared" si="25"/>
        <v>1</v>
      </c>
      <c r="Q14" s="2">
        <f t="shared" si="26"/>
        <v>2</v>
      </c>
      <c r="R14" s="24">
        <f t="shared" si="27"/>
        <v>1</v>
      </c>
      <c r="S14" s="24">
        <f t="shared" si="28"/>
        <v>2</v>
      </c>
      <c r="T14" s="24">
        <f t="shared" si="29"/>
        <v>2</v>
      </c>
      <c r="U14" s="24">
        <f t="shared" si="30"/>
        <v>1</v>
      </c>
      <c r="V14" s="24">
        <f t="shared" si="31"/>
        <v>0</v>
      </c>
      <c r="W14" s="24">
        <f t="shared" si="32"/>
        <v>1</v>
      </c>
      <c r="X14" s="28">
        <f t="shared" si="33"/>
        <v>1</v>
      </c>
      <c r="Y14" s="24">
        <v>2.0</v>
      </c>
      <c r="Z14" s="27">
        <f t="shared" si="5"/>
        <v>1</v>
      </c>
      <c r="AA14" s="24">
        <f t="shared" si="34"/>
        <v>2</v>
      </c>
      <c r="AB14" s="2">
        <f t="shared" si="35"/>
        <v>1</v>
      </c>
      <c r="AC14" s="24">
        <f t="shared" si="36"/>
        <v>0</v>
      </c>
      <c r="AD14" s="24">
        <f t="shared" si="37"/>
        <v>2</v>
      </c>
      <c r="AE14" s="24">
        <f t="shared" si="38"/>
        <v>1</v>
      </c>
      <c r="AF14" s="24">
        <f t="shared" si="39"/>
        <v>1</v>
      </c>
      <c r="AG14" s="24">
        <f t="shared" si="40"/>
        <v>1</v>
      </c>
      <c r="AH14" s="24">
        <f t="shared" si="41"/>
        <v>1</v>
      </c>
      <c r="AI14" s="28">
        <f t="shared" si="42"/>
        <v>0</v>
      </c>
      <c r="AJ14" s="24">
        <v>2.0</v>
      </c>
      <c r="AK14" s="27">
        <f t="shared" si="6"/>
        <v>2</v>
      </c>
      <c r="AL14" s="24">
        <f t="shared" si="43"/>
        <v>2</v>
      </c>
      <c r="AM14" s="2">
        <f t="shared" si="44"/>
        <v>2</v>
      </c>
      <c r="AN14" s="24">
        <f t="shared" si="45"/>
        <v>1</v>
      </c>
      <c r="AO14" s="24">
        <f t="shared" si="46"/>
        <v>3</v>
      </c>
      <c r="AP14" s="24">
        <f t="shared" si="47"/>
        <v>2</v>
      </c>
      <c r="AQ14" s="24">
        <f t="shared" si="48"/>
        <v>0</v>
      </c>
      <c r="AR14" s="24">
        <f t="shared" si="49"/>
        <v>1</v>
      </c>
      <c r="AS14" s="24">
        <f t="shared" si="50"/>
        <v>1</v>
      </c>
      <c r="AT14" s="28">
        <f t="shared" si="51"/>
        <v>1</v>
      </c>
      <c r="AU14" s="24">
        <v>0.0</v>
      </c>
      <c r="AV14" s="27">
        <f t="shared" si="7"/>
        <v>1.333333333</v>
      </c>
      <c r="AW14" s="24">
        <f t="shared" si="52"/>
        <v>0</v>
      </c>
      <c r="AX14" s="2">
        <f t="shared" si="53"/>
        <v>0</v>
      </c>
      <c r="AY14" s="24">
        <f t="shared" si="54"/>
        <v>1</v>
      </c>
      <c r="AZ14" s="24">
        <f t="shared" si="55"/>
        <v>0</v>
      </c>
      <c r="BA14" s="24">
        <f t="shared" si="56"/>
        <v>1</v>
      </c>
      <c r="BB14" s="24">
        <f t="shared" si="57"/>
        <v>2</v>
      </c>
      <c r="BC14" s="24">
        <f t="shared" si="58"/>
        <v>0</v>
      </c>
      <c r="BD14" s="24">
        <f t="shared" si="59"/>
        <v>0</v>
      </c>
      <c r="BE14" s="28">
        <f t="shared" si="60"/>
        <v>0</v>
      </c>
      <c r="BF14" s="29">
        <f t="shared" ref="BF14:BO14" si="61">+(AK14+Z14+O14+D14)/4</f>
        <v>1.916666667</v>
      </c>
      <c r="BG14" s="24">
        <f t="shared" si="61"/>
        <v>1.25</v>
      </c>
      <c r="BH14" s="24">
        <f t="shared" si="61"/>
        <v>1.5</v>
      </c>
      <c r="BI14" s="24">
        <f t="shared" si="61"/>
        <v>0.75</v>
      </c>
      <c r="BJ14" s="24">
        <f t="shared" si="61"/>
        <v>2</v>
      </c>
      <c r="BK14" s="24">
        <f t="shared" si="61"/>
        <v>1.5</v>
      </c>
      <c r="BL14" s="24">
        <f t="shared" si="61"/>
        <v>0.75</v>
      </c>
      <c r="BM14" s="24">
        <f t="shared" si="61"/>
        <v>0.5</v>
      </c>
      <c r="BN14" s="24">
        <f t="shared" si="61"/>
        <v>0.75</v>
      </c>
      <c r="BO14" s="61">
        <f t="shared" si="61"/>
        <v>0.75</v>
      </c>
      <c r="BP14" s="30">
        <f t="shared" si="9"/>
        <v>-0.5833333333</v>
      </c>
      <c r="BQ14" s="31">
        <f t="shared" si="62"/>
        <v>0.6666666667</v>
      </c>
      <c r="BR14" s="31">
        <f t="shared" si="10"/>
        <v>0</v>
      </c>
      <c r="BS14" s="31">
        <f t="shared" si="11"/>
        <v>0</v>
      </c>
      <c r="BT14" s="31">
        <f t="shared" si="12"/>
        <v>0</v>
      </c>
      <c r="BU14" s="31">
        <f t="shared" si="13"/>
        <v>0.3333333333</v>
      </c>
      <c r="BV14" s="31">
        <f t="shared" si="14"/>
        <v>0.3333333333</v>
      </c>
      <c r="BW14" s="31">
        <f t="shared" ref="BW14:BX14" si="63">+BR14+BS14+BT14</f>
        <v>0</v>
      </c>
      <c r="BX14" s="32">
        <f t="shared" si="63"/>
        <v>0.3333333333</v>
      </c>
    </row>
    <row r="15">
      <c r="B15" s="33">
        <v>4.0</v>
      </c>
      <c r="C15" s="2">
        <v>2.0</v>
      </c>
      <c r="D15" s="3">
        <f t="shared" si="3"/>
        <v>2.75</v>
      </c>
      <c r="E15" s="2">
        <f t="shared" si="16"/>
        <v>1</v>
      </c>
      <c r="F15" s="2">
        <f t="shared" si="17"/>
        <v>2</v>
      </c>
      <c r="G15" s="2">
        <f t="shared" si="18"/>
        <v>1</v>
      </c>
      <c r="H15" s="2">
        <f t="shared" si="19"/>
        <v>2</v>
      </c>
      <c r="I15" s="2">
        <f t="shared" si="20"/>
        <v>2</v>
      </c>
      <c r="J15" s="2">
        <f t="shared" si="21"/>
        <v>1</v>
      </c>
      <c r="K15" s="2">
        <f t="shared" si="22"/>
        <v>0</v>
      </c>
      <c r="L15" s="2">
        <f t="shared" si="23"/>
        <v>1</v>
      </c>
      <c r="M15" s="34">
        <f t="shared" si="24"/>
        <v>1</v>
      </c>
      <c r="N15" s="2">
        <v>1.0</v>
      </c>
      <c r="O15" s="3">
        <f t="shared" si="4"/>
        <v>1.5</v>
      </c>
      <c r="P15" s="2">
        <f t="shared" si="25"/>
        <v>2</v>
      </c>
      <c r="Q15" s="2">
        <f t="shared" si="26"/>
        <v>2</v>
      </c>
      <c r="R15" s="2">
        <f t="shared" si="27"/>
        <v>1</v>
      </c>
      <c r="S15" s="2">
        <f t="shared" si="28"/>
        <v>3</v>
      </c>
      <c r="T15" s="2">
        <f t="shared" si="29"/>
        <v>2</v>
      </c>
      <c r="U15" s="2">
        <f t="shared" si="30"/>
        <v>1</v>
      </c>
      <c r="V15" s="2">
        <f t="shared" si="31"/>
        <v>1</v>
      </c>
      <c r="W15" s="2">
        <f t="shared" si="32"/>
        <v>1</v>
      </c>
      <c r="X15" s="34">
        <f t="shared" si="33"/>
        <v>1</v>
      </c>
      <c r="Y15" s="2">
        <v>1.0</v>
      </c>
      <c r="Z15" s="3">
        <f t="shared" si="5"/>
        <v>1</v>
      </c>
      <c r="AA15" s="2">
        <f t="shared" si="34"/>
        <v>3</v>
      </c>
      <c r="AB15" s="2">
        <f t="shared" si="35"/>
        <v>1</v>
      </c>
      <c r="AC15" s="2">
        <f t="shared" si="36"/>
        <v>0</v>
      </c>
      <c r="AD15" s="2">
        <f t="shared" si="37"/>
        <v>3</v>
      </c>
      <c r="AE15" s="2">
        <f t="shared" si="38"/>
        <v>1</v>
      </c>
      <c r="AF15" s="2">
        <f t="shared" si="39"/>
        <v>1</v>
      </c>
      <c r="AG15" s="2">
        <f t="shared" si="40"/>
        <v>2</v>
      </c>
      <c r="AH15" s="2">
        <f t="shared" si="41"/>
        <v>1</v>
      </c>
      <c r="AI15" s="34">
        <f t="shared" si="42"/>
        <v>0</v>
      </c>
      <c r="AJ15" s="2">
        <v>2.0</v>
      </c>
      <c r="AK15" s="3">
        <f t="shared" si="6"/>
        <v>2</v>
      </c>
      <c r="AL15" s="2">
        <f t="shared" si="43"/>
        <v>3</v>
      </c>
      <c r="AM15" s="2">
        <f t="shared" si="44"/>
        <v>3</v>
      </c>
      <c r="AN15" s="2">
        <f t="shared" si="45"/>
        <v>1</v>
      </c>
      <c r="AO15" s="2">
        <f t="shared" si="46"/>
        <v>4</v>
      </c>
      <c r="AP15" s="2">
        <f t="shared" si="47"/>
        <v>3</v>
      </c>
      <c r="AQ15" s="2">
        <f t="shared" si="48"/>
        <v>0</v>
      </c>
      <c r="AR15" s="2">
        <f t="shared" si="49"/>
        <v>1</v>
      </c>
      <c r="AS15" s="2">
        <f t="shared" si="50"/>
        <v>2</v>
      </c>
      <c r="AT15" s="34">
        <f t="shared" si="51"/>
        <v>1</v>
      </c>
      <c r="AU15" s="2">
        <v>0.0</v>
      </c>
      <c r="AV15" s="3">
        <f t="shared" si="7"/>
        <v>1</v>
      </c>
      <c r="AW15" s="2">
        <f t="shared" si="52"/>
        <v>0</v>
      </c>
      <c r="AX15" s="2">
        <f t="shared" si="53"/>
        <v>0</v>
      </c>
      <c r="AY15" s="2">
        <f t="shared" si="54"/>
        <v>1</v>
      </c>
      <c r="AZ15" s="2">
        <f t="shared" si="55"/>
        <v>0</v>
      </c>
      <c r="BA15" s="2">
        <f t="shared" si="56"/>
        <v>1</v>
      </c>
      <c r="BB15" s="2">
        <f t="shared" si="57"/>
        <v>3</v>
      </c>
      <c r="BC15" s="2">
        <f t="shared" si="58"/>
        <v>0</v>
      </c>
      <c r="BD15" s="2">
        <f t="shared" si="59"/>
        <v>0</v>
      </c>
      <c r="BE15" s="34">
        <f t="shared" si="60"/>
        <v>0</v>
      </c>
      <c r="BF15" s="36">
        <f t="shared" ref="BF15:BO15" si="64">+(AK15+Z15+O15+D15)/4</f>
        <v>1.8125</v>
      </c>
      <c r="BG15" s="2">
        <f t="shared" si="64"/>
        <v>2.25</v>
      </c>
      <c r="BH15" s="2">
        <f t="shared" si="64"/>
        <v>2</v>
      </c>
      <c r="BI15" s="2">
        <f t="shared" si="64"/>
        <v>0.75</v>
      </c>
      <c r="BJ15" s="2">
        <f t="shared" si="64"/>
        <v>3</v>
      </c>
      <c r="BK15" s="2">
        <f t="shared" si="64"/>
        <v>2</v>
      </c>
      <c r="BL15" s="2">
        <f t="shared" si="64"/>
        <v>0.75</v>
      </c>
      <c r="BM15" s="2">
        <f t="shared" si="64"/>
        <v>1</v>
      </c>
      <c r="BN15" s="2">
        <f t="shared" si="64"/>
        <v>1.25</v>
      </c>
      <c r="BO15" s="62">
        <f t="shared" si="64"/>
        <v>0.75</v>
      </c>
      <c r="BP15" s="37">
        <f t="shared" si="9"/>
        <v>-0.8125</v>
      </c>
      <c r="BQ15" s="38">
        <f t="shared" si="62"/>
        <v>0.75</v>
      </c>
      <c r="BR15" s="38">
        <f t="shared" si="10"/>
        <v>0</v>
      </c>
      <c r="BS15" s="38">
        <f t="shared" si="11"/>
        <v>0</v>
      </c>
      <c r="BT15" s="38">
        <f t="shared" si="12"/>
        <v>0</v>
      </c>
      <c r="BU15" s="38">
        <f t="shared" si="13"/>
        <v>0.25</v>
      </c>
      <c r="BV15" s="38">
        <f t="shared" si="14"/>
        <v>0.25</v>
      </c>
      <c r="BW15" s="38">
        <f t="shared" ref="BW15:BX15" si="65">+BR15+BS15+BT15</f>
        <v>0</v>
      </c>
      <c r="BX15" s="39">
        <f t="shared" si="65"/>
        <v>0.25</v>
      </c>
    </row>
    <row r="16">
      <c r="A16" s="60"/>
      <c r="B16" s="40">
        <v>5.0</v>
      </c>
      <c r="C16" s="24">
        <v>1.0</v>
      </c>
      <c r="D16" s="27">
        <f t="shared" si="3"/>
        <v>2.4</v>
      </c>
      <c r="E16" s="24">
        <f t="shared" si="16"/>
        <v>2</v>
      </c>
      <c r="F16" s="2">
        <f t="shared" si="17"/>
        <v>2</v>
      </c>
      <c r="G16" s="24">
        <f t="shared" si="18"/>
        <v>1</v>
      </c>
      <c r="H16" s="24">
        <f t="shared" si="19"/>
        <v>3</v>
      </c>
      <c r="I16" s="24">
        <f t="shared" si="20"/>
        <v>2</v>
      </c>
      <c r="J16" s="24">
        <f t="shared" si="21"/>
        <v>1</v>
      </c>
      <c r="K16" s="24">
        <f t="shared" si="22"/>
        <v>1</v>
      </c>
      <c r="L16" s="24">
        <f t="shared" si="23"/>
        <v>1</v>
      </c>
      <c r="M16" s="28">
        <f t="shared" si="24"/>
        <v>1</v>
      </c>
      <c r="N16" s="24">
        <v>1.0</v>
      </c>
      <c r="O16" s="27">
        <f t="shared" si="4"/>
        <v>1.4</v>
      </c>
      <c r="P16" s="24">
        <f t="shared" si="25"/>
        <v>3</v>
      </c>
      <c r="Q16" s="2">
        <f t="shared" si="26"/>
        <v>2</v>
      </c>
      <c r="R16" s="24">
        <f t="shared" si="27"/>
        <v>1</v>
      </c>
      <c r="S16" s="24">
        <f t="shared" si="28"/>
        <v>4</v>
      </c>
      <c r="T16" s="24">
        <f t="shared" si="29"/>
        <v>2</v>
      </c>
      <c r="U16" s="24">
        <f t="shared" si="30"/>
        <v>1</v>
      </c>
      <c r="V16" s="24">
        <f t="shared" si="31"/>
        <v>2</v>
      </c>
      <c r="W16" s="24">
        <f t="shared" si="32"/>
        <v>1</v>
      </c>
      <c r="X16" s="28">
        <f t="shared" si="33"/>
        <v>1</v>
      </c>
      <c r="Y16" s="24">
        <v>1.0</v>
      </c>
      <c r="Z16" s="27">
        <f t="shared" si="5"/>
        <v>1</v>
      </c>
      <c r="AA16" s="24">
        <f t="shared" si="34"/>
        <v>4</v>
      </c>
      <c r="AB16" s="2">
        <f t="shared" si="35"/>
        <v>1</v>
      </c>
      <c r="AC16" s="24">
        <f t="shared" si="36"/>
        <v>0</v>
      </c>
      <c r="AD16" s="24">
        <f t="shared" si="37"/>
        <v>4</v>
      </c>
      <c r="AE16" s="24">
        <f t="shared" si="38"/>
        <v>1</v>
      </c>
      <c r="AF16" s="24">
        <f t="shared" si="39"/>
        <v>1</v>
      </c>
      <c r="AG16" s="24">
        <f t="shared" si="40"/>
        <v>3</v>
      </c>
      <c r="AH16" s="24">
        <f t="shared" si="41"/>
        <v>1</v>
      </c>
      <c r="AI16" s="28">
        <f t="shared" si="42"/>
        <v>0</v>
      </c>
      <c r="AJ16" s="24">
        <v>1.0</v>
      </c>
      <c r="AK16" s="27">
        <f t="shared" si="6"/>
        <v>1.8</v>
      </c>
      <c r="AL16" s="24">
        <f t="shared" si="43"/>
        <v>4</v>
      </c>
      <c r="AM16" s="2">
        <f t="shared" si="44"/>
        <v>3</v>
      </c>
      <c r="AN16" s="24">
        <f t="shared" si="45"/>
        <v>1</v>
      </c>
      <c r="AO16" s="24">
        <f t="shared" si="46"/>
        <v>5</v>
      </c>
      <c r="AP16" s="24">
        <f t="shared" si="47"/>
        <v>3</v>
      </c>
      <c r="AQ16" s="24">
        <f t="shared" si="48"/>
        <v>0</v>
      </c>
      <c r="AR16" s="24">
        <f t="shared" si="49"/>
        <v>2</v>
      </c>
      <c r="AS16" s="24">
        <f t="shared" si="50"/>
        <v>2</v>
      </c>
      <c r="AT16" s="28">
        <f t="shared" si="51"/>
        <v>1</v>
      </c>
      <c r="AU16" s="24">
        <v>3.0</v>
      </c>
      <c r="AV16" s="27">
        <f t="shared" si="7"/>
        <v>1.4</v>
      </c>
      <c r="AW16" s="24">
        <f t="shared" si="52"/>
        <v>0</v>
      </c>
      <c r="AX16" s="2">
        <f t="shared" si="53"/>
        <v>1</v>
      </c>
      <c r="AY16" s="24">
        <f t="shared" si="54"/>
        <v>2</v>
      </c>
      <c r="AZ16" s="24">
        <f t="shared" si="55"/>
        <v>1</v>
      </c>
      <c r="BA16" s="24">
        <f t="shared" si="56"/>
        <v>2</v>
      </c>
      <c r="BB16" s="24">
        <f t="shared" si="57"/>
        <v>3</v>
      </c>
      <c r="BC16" s="24">
        <f t="shared" si="58"/>
        <v>0</v>
      </c>
      <c r="BD16" s="24">
        <f t="shared" si="59"/>
        <v>0</v>
      </c>
      <c r="BE16" s="28">
        <f t="shared" si="60"/>
        <v>1</v>
      </c>
      <c r="BF16" s="29">
        <f t="shared" ref="BF16:BO16" si="66">+(AK16+Z16+O16+D16)/4</f>
        <v>1.65</v>
      </c>
      <c r="BG16" s="24">
        <f t="shared" si="66"/>
        <v>3.25</v>
      </c>
      <c r="BH16" s="24">
        <f t="shared" si="66"/>
        <v>2</v>
      </c>
      <c r="BI16" s="24">
        <f t="shared" si="66"/>
        <v>0.75</v>
      </c>
      <c r="BJ16" s="24">
        <f t="shared" si="66"/>
        <v>4</v>
      </c>
      <c r="BK16" s="24">
        <f t="shared" si="66"/>
        <v>2</v>
      </c>
      <c r="BL16" s="24">
        <f t="shared" si="66"/>
        <v>0.75</v>
      </c>
      <c r="BM16" s="24">
        <f t="shared" si="66"/>
        <v>2</v>
      </c>
      <c r="BN16" s="24">
        <f t="shared" si="66"/>
        <v>1.25</v>
      </c>
      <c r="BO16" s="61">
        <f t="shared" si="66"/>
        <v>0.75</v>
      </c>
      <c r="BP16" s="30">
        <f t="shared" si="9"/>
        <v>-0.25</v>
      </c>
      <c r="BQ16" s="31">
        <f t="shared" si="62"/>
        <v>0.6</v>
      </c>
      <c r="BR16" s="31">
        <f t="shared" si="10"/>
        <v>0</v>
      </c>
      <c r="BS16" s="31">
        <f t="shared" si="11"/>
        <v>0</v>
      </c>
      <c r="BT16" s="31">
        <f t="shared" si="12"/>
        <v>0.2</v>
      </c>
      <c r="BU16" s="31">
        <f t="shared" si="13"/>
        <v>0.2</v>
      </c>
      <c r="BV16" s="31">
        <f t="shared" si="14"/>
        <v>0.4</v>
      </c>
      <c r="BW16" s="31">
        <f t="shared" ref="BW16:BX16" si="67">+BR16+BS16+BT16</f>
        <v>0.2</v>
      </c>
      <c r="BX16" s="32">
        <f t="shared" si="67"/>
        <v>0.4</v>
      </c>
    </row>
    <row r="17">
      <c r="B17" s="33">
        <v>6.0</v>
      </c>
      <c r="C17" s="2">
        <v>3.0</v>
      </c>
      <c r="D17" s="3">
        <f t="shared" si="3"/>
        <v>2.5</v>
      </c>
      <c r="E17" s="2">
        <f t="shared" si="16"/>
        <v>2</v>
      </c>
      <c r="F17" s="2">
        <f t="shared" si="17"/>
        <v>3</v>
      </c>
      <c r="G17" s="2">
        <f t="shared" si="18"/>
        <v>2</v>
      </c>
      <c r="H17" s="2">
        <f t="shared" si="19"/>
        <v>4</v>
      </c>
      <c r="I17" s="2">
        <f t="shared" si="20"/>
        <v>3</v>
      </c>
      <c r="J17" s="2">
        <f t="shared" si="21"/>
        <v>1</v>
      </c>
      <c r="K17" s="2">
        <f t="shared" si="22"/>
        <v>1</v>
      </c>
      <c r="L17" s="2">
        <f t="shared" si="23"/>
        <v>1</v>
      </c>
      <c r="M17" s="34">
        <f t="shared" si="24"/>
        <v>2</v>
      </c>
      <c r="N17" s="2">
        <v>2.0</v>
      </c>
      <c r="O17" s="3">
        <f t="shared" si="4"/>
        <v>1.5</v>
      </c>
      <c r="P17" s="2">
        <f t="shared" si="25"/>
        <v>4</v>
      </c>
      <c r="Q17" s="2">
        <f t="shared" si="26"/>
        <v>3</v>
      </c>
      <c r="R17" s="2">
        <f t="shared" si="27"/>
        <v>1</v>
      </c>
      <c r="S17" s="2">
        <f t="shared" si="28"/>
        <v>5</v>
      </c>
      <c r="T17" s="2">
        <f t="shared" si="29"/>
        <v>3</v>
      </c>
      <c r="U17" s="2">
        <f t="shared" si="30"/>
        <v>1</v>
      </c>
      <c r="V17" s="2">
        <f t="shared" si="31"/>
        <v>2</v>
      </c>
      <c r="W17" s="2">
        <f t="shared" si="32"/>
        <v>2</v>
      </c>
      <c r="X17" s="34">
        <f t="shared" si="33"/>
        <v>1</v>
      </c>
      <c r="Y17" s="2">
        <v>2.0</v>
      </c>
      <c r="Z17" s="3">
        <f t="shared" si="5"/>
        <v>1.166666667</v>
      </c>
      <c r="AA17" s="2">
        <f t="shared" si="34"/>
        <v>5</v>
      </c>
      <c r="AB17" s="2">
        <f t="shared" si="35"/>
        <v>2</v>
      </c>
      <c r="AC17" s="2">
        <f t="shared" si="36"/>
        <v>0</v>
      </c>
      <c r="AD17" s="2">
        <f t="shared" si="37"/>
        <v>5</v>
      </c>
      <c r="AE17" s="2">
        <f t="shared" si="38"/>
        <v>2</v>
      </c>
      <c r="AF17" s="2">
        <f t="shared" si="39"/>
        <v>1</v>
      </c>
      <c r="AG17" s="2">
        <f t="shared" si="40"/>
        <v>3</v>
      </c>
      <c r="AH17" s="2">
        <f t="shared" si="41"/>
        <v>2</v>
      </c>
      <c r="AI17" s="34">
        <f t="shared" si="42"/>
        <v>0</v>
      </c>
      <c r="AJ17" s="2">
        <v>3.0</v>
      </c>
      <c r="AK17" s="3">
        <f t="shared" si="6"/>
        <v>2</v>
      </c>
      <c r="AL17" s="2">
        <f t="shared" si="43"/>
        <v>4</v>
      </c>
      <c r="AM17" s="2">
        <f t="shared" si="44"/>
        <v>4</v>
      </c>
      <c r="AN17" s="2">
        <f t="shared" si="45"/>
        <v>2</v>
      </c>
      <c r="AO17" s="2">
        <f t="shared" si="46"/>
        <v>6</v>
      </c>
      <c r="AP17" s="2">
        <f t="shared" si="47"/>
        <v>4</v>
      </c>
      <c r="AQ17" s="2">
        <f t="shared" si="48"/>
        <v>0</v>
      </c>
      <c r="AR17" s="2">
        <f t="shared" si="49"/>
        <v>2</v>
      </c>
      <c r="AS17" s="2">
        <f t="shared" si="50"/>
        <v>2</v>
      </c>
      <c r="AT17" s="34">
        <f t="shared" si="51"/>
        <v>2</v>
      </c>
      <c r="AU17" s="2">
        <v>3.0</v>
      </c>
      <c r="AV17" s="3">
        <f t="shared" si="7"/>
        <v>1.666666667</v>
      </c>
      <c r="AW17" s="2">
        <f t="shared" si="52"/>
        <v>0</v>
      </c>
      <c r="AX17" s="2">
        <f t="shared" si="53"/>
        <v>2</v>
      </c>
      <c r="AY17" s="2">
        <f t="shared" si="54"/>
        <v>3</v>
      </c>
      <c r="AZ17" s="2">
        <f t="shared" si="55"/>
        <v>2</v>
      </c>
      <c r="BA17" s="2">
        <f t="shared" si="56"/>
        <v>3</v>
      </c>
      <c r="BB17" s="2">
        <f t="shared" si="57"/>
        <v>3</v>
      </c>
      <c r="BC17" s="2">
        <f t="shared" si="58"/>
        <v>0</v>
      </c>
      <c r="BD17" s="2">
        <f t="shared" si="59"/>
        <v>0</v>
      </c>
      <c r="BE17" s="34">
        <f t="shared" si="60"/>
        <v>2</v>
      </c>
      <c r="BF17" s="36">
        <f t="shared" ref="BF17:BO17" si="68">+(AK17+Z17+O17+D17)/4</f>
        <v>1.791666667</v>
      </c>
      <c r="BG17" s="2">
        <f t="shared" si="68"/>
        <v>3.75</v>
      </c>
      <c r="BH17" s="2">
        <f t="shared" si="68"/>
        <v>3</v>
      </c>
      <c r="BI17" s="2">
        <f t="shared" si="68"/>
        <v>1.25</v>
      </c>
      <c r="BJ17" s="2">
        <f t="shared" si="68"/>
        <v>5</v>
      </c>
      <c r="BK17" s="2">
        <f t="shared" si="68"/>
        <v>3</v>
      </c>
      <c r="BL17" s="2">
        <f t="shared" si="68"/>
        <v>0.75</v>
      </c>
      <c r="BM17" s="2">
        <f t="shared" si="68"/>
        <v>2</v>
      </c>
      <c r="BN17" s="2">
        <f t="shared" si="68"/>
        <v>1.75</v>
      </c>
      <c r="BO17" s="62">
        <f t="shared" si="68"/>
        <v>1.25</v>
      </c>
      <c r="BP17" s="37">
        <f t="shared" si="9"/>
        <v>-0.125</v>
      </c>
      <c r="BQ17" s="38">
        <f t="shared" si="62"/>
        <v>0.5</v>
      </c>
      <c r="BR17" s="38">
        <f t="shared" si="10"/>
        <v>0</v>
      </c>
      <c r="BS17" s="38">
        <f t="shared" si="11"/>
        <v>0</v>
      </c>
      <c r="BT17" s="38">
        <f t="shared" si="12"/>
        <v>0.3333333333</v>
      </c>
      <c r="BU17" s="38">
        <f t="shared" si="13"/>
        <v>0.1666666667</v>
      </c>
      <c r="BV17" s="38">
        <f t="shared" si="14"/>
        <v>0.5</v>
      </c>
      <c r="BW17" s="38">
        <f t="shared" ref="BW17:BX17" si="69">+BR17+BS17+BT17</f>
        <v>0.3333333333</v>
      </c>
      <c r="BX17" s="39">
        <f t="shared" si="69"/>
        <v>0.5</v>
      </c>
    </row>
    <row r="18">
      <c r="A18" s="60"/>
      <c r="B18" s="40">
        <v>7.0</v>
      </c>
      <c r="C18" s="24">
        <v>0.0</v>
      </c>
      <c r="D18" s="27">
        <f t="shared" si="3"/>
        <v>2.142857143</v>
      </c>
      <c r="E18" s="24">
        <f t="shared" si="16"/>
        <v>2</v>
      </c>
      <c r="F18" s="2">
        <f t="shared" si="17"/>
        <v>3</v>
      </c>
      <c r="G18" s="24">
        <f t="shared" si="18"/>
        <v>2</v>
      </c>
      <c r="H18" s="24">
        <f t="shared" si="19"/>
        <v>4</v>
      </c>
      <c r="I18" s="24">
        <f t="shared" si="20"/>
        <v>3</v>
      </c>
      <c r="J18" s="24">
        <f t="shared" si="21"/>
        <v>2</v>
      </c>
      <c r="K18" s="24">
        <f t="shared" si="22"/>
        <v>1</v>
      </c>
      <c r="L18" s="24">
        <f t="shared" si="23"/>
        <v>1</v>
      </c>
      <c r="M18" s="28">
        <f t="shared" si="24"/>
        <v>2</v>
      </c>
      <c r="N18" s="24">
        <v>4.0</v>
      </c>
      <c r="O18" s="27">
        <f t="shared" si="4"/>
        <v>1.857142857</v>
      </c>
      <c r="P18" s="24">
        <f t="shared" si="25"/>
        <v>4</v>
      </c>
      <c r="Q18" s="2">
        <f t="shared" si="26"/>
        <v>3</v>
      </c>
      <c r="R18" s="24">
        <f t="shared" si="27"/>
        <v>2</v>
      </c>
      <c r="S18" s="24">
        <f t="shared" si="28"/>
        <v>5</v>
      </c>
      <c r="T18" s="24">
        <f t="shared" si="29"/>
        <v>4</v>
      </c>
      <c r="U18" s="24">
        <f t="shared" si="30"/>
        <v>1</v>
      </c>
      <c r="V18" s="24">
        <f t="shared" si="31"/>
        <v>2</v>
      </c>
      <c r="W18" s="24">
        <f t="shared" si="32"/>
        <v>2</v>
      </c>
      <c r="X18" s="28">
        <f t="shared" si="33"/>
        <v>1</v>
      </c>
      <c r="Y18" s="24">
        <v>0.0</v>
      </c>
      <c r="Z18" s="27">
        <f t="shared" si="5"/>
        <v>1</v>
      </c>
      <c r="AA18" s="24">
        <f t="shared" si="34"/>
        <v>5</v>
      </c>
      <c r="AB18" s="2">
        <f t="shared" si="35"/>
        <v>2</v>
      </c>
      <c r="AC18" s="24">
        <f t="shared" si="36"/>
        <v>0</v>
      </c>
      <c r="AD18" s="24">
        <f t="shared" si="37"/>
        <v>5</v>
      </c>
      <c r="AE18" s="24">
        <f t="shared" si="38"/>
        <v>2</v>
      </c>
      <c r="AF18" s="24">
        <f t="shared" si="39"/>
        <v>2</v>
      </c>
      <c r="AG18" s="24">
        <f t="shared" si="40"/>
        <v>3</v>
      </c>
      <c r="AH18" s="24">
        <f t="shared" si="41"/>
        <v>2</v>
      </c>
      <c r="AI18" s="28">
        <f t="shared" si="42"/>
        <v>0</v>
      </c>
      <c r="AJ18" s="24">
        <v>2.0</v>
      </c>
      <c r="AK18" s="27">
        <f t="shared" si="6"/>
        <v>2</v>
      </c>
      <c r="AL18" s="24">
        <f t="shared" si="43"/>
        <v>5</v>
      </c>
      <c r="AM18" s="2">
        <f t="shared" si="44"/>
        <v>5</v>
      </c>
      <c r="AN18" s="24">
        <f t="shared" si="45"/>
        <v>2</v>
      </c>
      <c r="AO18" s="24">
        <f t="shared" si="46"/>
        <v>7</v>
      </c>
      <c r="AP18" s="24">
        <f t="shared" si="47"/>
        <v>5</v>
      </c>
      <c r="AQ18" s="24">
        <f t="shared" si="48"/>
        <v>0</v>
      </c>
      <c r="AR18" s="24">
        <f t="shared" si="49"/>
        <v>2</v>
      </c>
      <c r="AS18" s="24">
        <f t="shared" si="50"/>
        <v>3</v>
      </c>
      <c r="AT18" s="28">
        <f t="shared" si="51"/>
        <v>2</v>
      </c>
      <c r="AU18" s="24">
        <v>0.0</v>
      </c>
      <c r="AV18" s="27">
        <f t="shared" si="7"/>
        <v>1.428571429</v>
      </c>
      <c r="AW18" s="24">
        <f t="shared" si="52"/>
        <v>0</v>
      </c>
      <c r="AX18" s="2">
        <f t="shared" si="53"/>
        <v>2</v>
      </c>
      <c r="AY18" s="24">
        <f t="shared" si="54"/>
        <v>3</v>
      </c>
      <c r="AZ18" s="24">
        <f t="shared" si="55"/>
        <v>2</v>
      </c>
      <c r="BA18" s="24">
        <f t="shared" si="56"/>
        <v>3</v>
      </c>
      <c r="BB18" s="24">
        <f t="shared" si="57"/>
        <v>4</v>
      </c>
      <c r="BC18" s="24">
        <f t="shared" si="58"/>
        <v>0</v>
      </c>
      <c r="BD18" s="24">
        <f t="shared" si="59"/>
        <v>0</v>
      </c>
      <c r="BE18" s="28">
        <f t="shared" si="60"/>
        <v>2</v>
      </c>
      <c r="BF18" s="29">
        <f t="shared" ref="BF18:BO18" si="70">+(AK18+Z18+O18+D18)/4</f>
        <v>1.75</v>
      </c>
      <c r="BG18" s="24">
        <f t="shared" si="70"/>
        <v>4</v>
      </c>
      <c r="BH18" s="24">
        <f t="shared" si="70"/>
        <v>3.25</v>
      </c>
      <c r="BI18" s="24">
        <f t="shared" si="70"/>
        <v>1.5</v>
      </c>
      <c r="BJ18" s="24">
        <f t="shared" si="70"/>
        <v>5.25</v>
      </c>
      <c r="BK18" s="24">
        <f t="shared" si="70"/>
        <v>3.5</v>
      </c>
      <c r="BL18" s="24">
        <f t="shared" si="70"/>
        <v>1.25</v>
      </c>
      <c r="BM18" s="24">
        <f t="shared" si="70"/>
        <v>2</v>
      </c>
      <c r="BN18" s="24">
        <f t="shared" si="70"/>
        <v>2</v>
      </c>
      <c r="BO18" s="61">
        <f t="shared" si="70"/>
        <v>1.25</v>
      </c>
      <c r="BP18" s="30">
        <f t="shared" si="9"/>
        <v>-0.3214285714</v>
      </c>
      <c r="BQ18" s="31">
        <f t="shared" si="62"/>
        <v>0.5714285714</v>
      </c>
      <c r="BR18" s="31">
        <f t="shared" si="10"/>
        <v>0</v>
      </c>
      <c r="BS18" s="31">
        <f t="shared" si="11"/>
        <v>0</v>
      </c>
      <c r="BT18" s="31">
        <f t="shared" si="12"/>
        <v>0.2857142857</v>
      </c>
      <c r="BU18" s="31">
        <f t="shared" si="13"/>
        <v>0.1428571429</v>
      </c>
      <c r="BV18" s="31">
        <f t="shared" si="14"/>
        <v>0.4285714286</v>
      </c>
      <c r="BW18" s="31">
        <f t="shared" ref="BW18:BX18" si="71">+BR18+BS18+BT18</f>
        <v>0.2857142857</v>
      </c>
      <c r="BX18" s="32">
        <f t="shared" si="71"/>
        <v>0.4285714286</v>
      </c>
    </row>
    <row r="19">
      <c r="B19" s="33">
        <v>8.0</v>
      </c>
      <c r="C19" s="2">
        <v>3.0</v>
      </c>
      <c r="D19" s="3">
        <f t="shared" si="3"/>
        <v>2.25</v>
      </c>
      <c r="E19" s="2">
        <f t="shared" si="16"/>
        <v>2</v>
      </c>
      <c r="F19" s="2">
        <f t="shared" si="17"/>
        <v>4</v>
      </c>
      <c r="G19" s="2">
        <f t="shared" si="18"/>
        <v>3</v>
      </c>
      <c r="H19" s="2">
        <f t="shared" si="19"/>
        <v>5</v>
      </c>
      <c r="I19" s="2">
        <f t="shared" si="20"/>
        <v>4</v>
      </c>
      <c r="J19" s="2">
        <f t="shared" si="21"/>
        <v>2</v>
      </c>
      <c r="K19" s="2">
        <f t="shared" si="22"/>
        <v>1</v>
      </c>
      <c r="L19" s="2">
        <f t="shared" si="23"/>
        <v>1</v>
      </c>
      <c r="M19" s="34">
        <f t="shared" si="24"/>
        <v>3</v>
      </c>
      <c r="N19" s="2">
        <v>4.0</v>
      </c>
      <c r="O19" s="3">
        <f t="shared" si="4"/>
        <v>2.125</v>
      </c>
      <c r="P19" s="2">
        <f t="shared" si="25"/>
        <v>4</v>
      </c>
      <c r="Q19" s="2">
        <f t="shared" si="26"/>
        <v>3</v>
      </c>
      <c r="R19" s="2">
        <f t="shared" si="27"/>
        <v>3</v>
      </c>
      <c r="S19" s="2">
        <f t="shared" si="28"/>
        <v>5</v>
      </c>
      <c r="T19" s="2">
        <f t="shared" si="29"/>
        <v>5</v>
      </c>
      <c r="U19" s="2">
        <f t="shared" si="30"/>
        <v>1</v>
      </c>
      <c r="V19" s="2">
        <f t="shared" si="31"/>
        <v>2</v>
      </c>
      <c r="W19" s="2">
        <f t="shared" si="32"/>
        <v>2</v>
      </c>
      <c r="X19" s="34">
        <f t="shared" si="33"/>
        <v>1</v>
      </c>
      <c r="Y19" s="2">
        <v>3.0</v>
      </c>
      <c r="Z19" s="3">
        <f t="shared" si="5"/>
        <v>1.25</v>
      </c>
      <c r="AA19" s="2">
        <f t="shared" si="34"/>
        <v>5</v>
      </c>
      <c r="AB19" s="2">
        <f t="shared" si="35"/>
        <v>3</v>
      </c>
      <c r="AC19" s="2">
        <f t="shared" si="36"/>
        <v>1</v>
      </c>
      <c r="AD19" s="2">
        <f t="shared" si="37"/>
        <v>6</v>
      </c>
      <c r="AE19" s="2">
        <f t="shared" si="38"/>
        <v>3</v>
      </c>
      <c r="AF19" s="2">
        <f t="shared" si="39"/>
        <v>2</v>
      </c>
      <c r="AG19" s="2">
        <f t="shared" si="40"/>
        <v>3</v>
      </c>
      <c r="AH19" s="2">
        <f t="shared" si="41"/>
        <v>2</v>
      </c>
      <c r="AI19" s="34">
        <f t="shared" si="42"/>
        <v>1</v>
      </c>
      <c r="AJ19" s="2">
        <v>0.0</v>
      </c>
      <c r="AK19" s="3">
        <f t="shared" si="6"/>
        <v>1.75</v>
      </c>
      <c r="AL19" s="2">
        <f t="shared" si="43"/>
        <v>5</v>
      </c>
      <c r="AM19" s="2">
        <f t="shared" si="44"/>
        <v>5</v>
      </c>
      <c r="AN19" s="2">
        <f t="shared" si="45"/>
        <v>2</v>
      </c>
      <c r="AO19" s="2">
        <f t="shared" si="46"/>
        <v>7</v>
      </c>
      <c r="AP19" s="2">
        <f t="shared" si="47"/>
        <v>5</v>
      </c>
      <c r="AQ19" s="2">
        <f t="shared" si="48"/>
        <v>1</v>
      </c>
      <c r="AR19" s="2">
        <f t="shared" si="49"/>
        <v>2</v>
      </c>
      <c r="AS19" s="2">
        <f t="shared" si="50"/>
        <v>3</v>
      </c>
      <c r="AT19" s="34">
        <f t="shared" si="51"/>
        <v>2</v>
      </c>
      <c r="AU19" s="2">
        <v>1.0</v>
      </c>
      <c r="AV19" s="3">
        <f t="shared" si="7"/>
        <v>1.375</v>
      </c>
      <c r="AW19" s="2">
        <f t="shared" si="52"/>
        <v>1</v>
      </c>
      <c r="AX19" s="2">
        <f t="shared" si="53"/>
        <v>2</v>
      </c>
      <c r="AY19" s="2">
        <f t="shared" si="54"/>
        <v>3</v>
      </c>
      <c r="AZ19" s="2">
        <f t="shared" si="55"/>
        <v>3</v>
      </c>
      <c r="BA19" s="2">
        <f t="shared" si="56"/>
        <v>3</v>
      </c>
      <c r="BB19" s="2">
        <f t="shared" si="57"/>
        <v>4</v>
      </c>
      <c r="BC19" s="2">
        <f t="shared" si="58"/>
        <v>1</v>
      </c>
      <c r="BD19" s="2">
        <f t="shared" si="59"/>
        <v>0</v>
      </c>
      <c r="BE19" s="34">
        <f t="shared" si="60"/>
        <v>2</v>
      </c>
      <c r="BF19" s="36">
        <f t="shared" ref="BF19:BO19" si="72">+(AK19+Z19+O19+D19)/4</f>
        <v>1.84375</v>
      </c>
      <c r="BG19" s="2">
        <f t="shared" si="72"/>
        <v>4</v>
      </c>
      <c r="BH19" s="2">
        <f t="shared" si="72"/>
        <v>3.75</v>
      </c>
      <c r="BI19" s="2">
        <f t="shared" si="72"/>
        <v>2.25</v>
      </c>
      <c r="BJ19" s="2">
        <f t="shared" si="72"/>
        <v>5.75</v>
      </c>
      <c r="BK19" s="2">
        <f t="shared" si="72"/>
        <v>4.25</v>
      </c>
      <c r="BL19" s="2">
        <f t="shared" si="72"/>
        <v>1.5</v>
      </c>
      <c r="BM19" s="2">
        <f t="shared" si="72"/>
        <v>2</v>
      </c>
      <c r="BN19" s="2">
        <f t="shared" si="72"/>
        <v>2</v>
      </c>
      <c r="BO19" s="62">
        <f t="shared" si="72"/>
        <v>1.75</v>
      </c>
      <c r="BP19" s="37">
        <f t="shared" si="9"/>
        <v>-0.46875</v>
      </c>
      <c r="BQ19" s="38">
        <f t="shared" si="62"/>
        <v>0.5</v>
      </c>
      <c r="BR19" s="38">
        <f t="shared" si="10"/>
        <v>0.125</v>
      </c>
      <c r="BS19" s="38">
        <f t="shared" si="11"/>
        <v>0</v>
      </c>
      <c r="BT19" s="38">
        <f t="shared" si="12"/>
        <v>0.25</v>
      </c>
      <c r="BU19" s="38">
        <f t="shared" si="13"/>
        <v>0.125</v>
      </c>
      <c r="BV19" s="38">
        <f t="shared" si="14"/>
        <v>0.5</v>
      </c>
      <c r="BW19" s="38">
        <f t="shared" ref="BW19:BX19" si="73">+BR19+BS19+BT19</f>
        <v>0.375</v>
      </c>
      <c r="BX19" s="39">
        <f t="shared" si="73"/>
        <v>0.375</v>
      </c>
    </row>
    <row r="20">
      <c r="A20" s="60"/>
      <c r="B20" s="40">
        <v>9.0</v>
      </c>
      <c r="C20" s="24">
        <v>1.0</v>
      </c>
      <c r="D20" s="27">
        <f t="shared" si="3"/>
        <v>2.111111111</v>
      </c>
      <c r="E20" s="24">
        <f t="shared" si="16"/>
        <v>3</v>
      </c>
      <c r="F20" s="2">
        <f t="shared" si="17"/>
        <v>4</v>
      </c>
      <c r="G20" s="24">
        <f t="shared" si="18"/>
        <v>3</v>
      </c>
      <c r="H20" s="24">
        <f t="shared" si="19"/>
        <v>6</v>
      </c>
      <c r="I20" s="24">
        <f t="shared" si="20"/>
        <v>4</v>
      </c>
      <c r="J20" s="24">
        <f t="shared" si="21"/>
        <v>2</v>
      </c>
      <c r="K20" s="24">
        <f t="shared" si="22"/>
        <v>2</v>
      </c>
      <c r="L20" s="24">
        <f t="shared" si="23"/>
        <v>1</v>
      </c>
      <c r="M20" s="28">
        <f t="shared" si="24"/>
        <v>3</v>
      </c>
      <c r="N20" s="24">
        <v>4.0</v>
      </c>
      <c r="O20" s="27">
        <f t="shared" si="4"/>
        <v>2.333333333</v>
      </c>
      <c r="P20" s="24">
        <f t="shared" si="25"/>
        <v>4</v>
      </c>
      <c r="Q20" s="2">
        <f t="shared" si="26"/>
        <v>3</v>
      </c>
      <c r="R20" s="24">
        <f t="shared" si="27"/>
        <v>4</v>
      </c>
      <c r="S20" s="24">
        <f t="shared" si="28"/>
        <v>5</v>
      </c>
      <c r="T20" s="24">
        <f t="shared" si="29"/>
        <v>6</v>
      </c>
      <c r="U20" s="24">
        <f t="shared" si="30"/>
        <v>1</v>
      </c>
      <c r="V20" s="24">
        <f t="shared" si="31"/>
        <v>2</v>
      </c>
      <c r="W20" s="24">
        <f t="shared" si="32"/>
        <v>2</v>
      </c>
      <c r="X20" s="28">
        <f t="shared" si="33"/>
        <v>1</v>
      </c>
      <c r="Y20" s="24">
        <v>2.0</v>
      </c>
      <c r="Z20" s="27">
        <f t="shared" si="5"/>
        <v>1.333333333</v>
      </c>
      <c r="AA20" s="24">
        <f t="shared" si="34"/>
        <v>6</v>
      </c>
      <c r="AB20" s="2">
        <f t="shared" si="35"/>
        <v>4</v>
      </c>
      <c r="AC20" s="24">
        <f t="shared" si="36"/>
        <v>1</v>
      </c>
      <c r="AD20" s="24">
        <f t="shared" si="37"/>
        <v>7</v>
      </c>
      <c r="AE20" s="24">
        <f t="shared" si="38"/>
        <v>4</v>
      </c>
      <c r="AF20" s="24">
        <f t="shared" si="39"/>
        <v>2</v>
      </c>
      <c r="AG20" s="24">
        <f t="shared" si="40"/>
        <v>3</v>
      </c>
      <c r="AH20" s="24">
        <f t="shared" si="41"/>
        <v>3</v>
      </c>
      <c r="AI20" s="28">
        <f t="shared" si="42"/>
        <v>1</v>
      </c>
      <c r="AJ20" s="24">
        <v>3.0</v>
      </c>
      <c r="AK20" s="27">
        <f t="shared" si="6"/>
        <v>1.888888889</v>
      </c>
      <c r="AL20" s="24">
        <f t="shared" si="43"/>
        <v>5</v>
      </c>
      <c r="AM20" s="2">
        <f t="shared" si="44"/>
        <v>6</v>
      </c>
      <c r="AN20" s="24">
        <f t="shared" si="45"/>
        <v>3</v>
      </c>
      <c r="AO20" s="24">
        <f t="shared" si="46"/>
        <v>8</v>
      </c>
      <c r="AP20" s="24">
        <f t="shared" si="47"/>
        <v>6</v>
      </c>
      <c r="AQ20" s="24">
        <f t="shared" si="48"/>
        <v>1</v>
      </c>
      <c r="AR20" s="24">
        <f t="shared" si="49"/>
        <v>2</v>
      </c>
      <c r="AS20" s="24">
        <f t="shared" si="50"/>
        <v>3</v>
      </c>
      <c r="AT20" s="28">
        <f t="shared" si="51"/>
        <v>3</v>
      </c>
      <c r="AU20" s="24">
        <v>0.0</v>
      </c>
      <c r="AV20" s="27">
        <f t="shared" si="7"/>
        <v>1.222222222</v>
      </c>
      <c r="AW20" s="24">
        <f t="shared" si="52"/>
        <v>1</v>
      </c>
      <c r="AX20" s="2">
        <f t="shared" si="53"/>
        <v>2</v>
      </c>
      <c r="AY20" s="24">
        <f t="shared" si="54"/>
        <v>3</v>
      </c>
      <c r="AZ20" s="24">
        <f t="shared" si="55"/>
        <v>3</v>
      </c>
      <c r="BA20" s="24">
        <f t="shared" si="56"/>
        <v>3</v>
      </c>
      <c r="BB20" s="24">
        <f t="shared" si="57"/>
        <v>5</v>
      </c>
      <c r="BC20" s="24">
        <f t="shared" si="58"/>
        <v>1</v>
      </c>
      <c r="BD20" s="24">
        <f t="shared" si="59"/>
        <v>0</v>
      </c>
      <c r="BE20" s="28">
        <f t="shared" si="60"/>
        <v>2</v>
      </c>
      <c r="BF20" s="29">
        <f t="shared" ref="BF20:BO20" si="74">+(AK20+Z20+O20+D20)/4</f>
        <v>1.916666667</v>
      </c>
      <c r="BG20" s="24">
        <f t="shared" si="74"/>
        <v>4.5</v>
      </c>
      <c r="BH20" s="24">
        <f t="shared" si="74"/>
        <v>4.25</v>
      </c>
      <c r="BI20" s="24">
        <f t="shared" si="74"/>
        <v>2.75</v>
      </c>
      <c r="BJ20" s="24">
        <f t="shared" si="74"/>
        <v>6.5</v>
      </c>
      <c r="BK20" s="24">
        <f t="shared" si="74"/>
        <v>5</v>
      </c>
      <c r="BL20" s="24">
        <f t="shared" si="74"/>
        <v>1.5</v>
      </c>
      <c r="BM20" s="24">
        <f t="shared" si="74"/>
        <v>2.25</v>
      </c>
      <c r="BN20" s="24">
        <f t="shared" si="74"/>
        <v>2.25</v>
      </c>
      <c r="BO20" s="61">
        <f t="shared" si="74"/>
        <v>2</v>
      </c>
      <c r="BP20" s="30">
        <f t="shared" si="9"/>
        <v>-0.6944444444</v>
      </c>
      <c r="BQ20" s="31">
        <f t="shared" si="62"/>
        <v>0.5555555556</v>
      </c>
      <c r="BR20" s="31">
        <f t="shared" si="10"/>
        <v>0.1111111111</v>
      </c>
      <c r="BS20" s="31">
        <f t="shared" si="11"/>
        <v>0</v>
      </c>
      <c r="BT20" s="31">
        <f t="shared" si="12"/>
        <v>0.2222222222</v>
      </c>
      <c r="BU20" s="31">
        <f t="shared" si="13"/>
        <v>0.1111111111</v>
      </c>
      <c r="BV20" s="31">
        <f t="shared" si="14"/>
        <v>0.4444444444</v>
      </c>
      <c r="BW20" s="31">
        <f t="shared" ref="BW20:BX20" si="75">+BR20+BS20+BT20</f>
        <v>0.3333333333</v>
      </c>
      <c r="BX20" s="32">
        <f t="shared" si="75"/>
        <v>0.3333333333</v>
      </c>
    </row>
    <row r="21">
      <c r="B21" s="42">
        <v>10.0</v>
      </c>
      <c r="C21" s="43">
        <v>1.0</v>
      </c>
      <c r="D21" s="3">
        <f t="shared" si="3"/>
        <v>2</v>
      </c>
      <c r="E21" s="43">
        <f t="shared" si="16"/>
        <v>4</v>
      </c>
      <c r="F21" s="2">
        <f t="shared" si="17"/>
        <v>4</v>
      </c>
      <c r="G21" s="43">
        <f t="shared" si="18"/>
        <v>3</v>
      </c>
      <c r="H21" s="43">
        <f t="shared" si="19"/>
        <v>7</v>
      </c>
      <c r="I21" s="43">
        <f t="shared" si="20"/>
        <v>4</v>
      </c>
      <c r="J21" s="43">
        <f t="shared" si="21"/>
        <v>2</v>
      </c>
      <c r="K21" s="43">
        <f t="shared" si="22"/>
        <v>3</v>
      </c>
      <c r="L21" s="43">
        <f t="shared" si="23"/>
        <v>1</v>
      </c>
      <c r="M21" s="44">
        <f t="shared" si="24"/>
        <v>3</v>
      </c>
      <c r="N21" s="43">
        <v>0.0</v>
      </c>
      <c r="O21" s="3">
        <f t="shared" si="4"/>
        <v>2.1</v>
      </c>
      <c r="P21" s="43">
        <f t="shared" si="25"/>
        <v>4</v>
      </c>
      <c r="Q21" s="2">
        <f t="shared" si="26"/>
        <v>3</v>
      </c>
      <c r="R21" s="43">
        <f t="shared" si="27"/>
        <v>4</v>
      </c>
      <c r="S21" s="43">
        <f t="shared" si="28"/>
        <v>5</v>
      </c>
      <c r="T21" s="43">
        <f t="shared" si="29"/>
        <v>6</v>
      </c>
      <c r="U21" s="43">
        <f t="shared" si="30"/>
        <v>2</v>
      </c>
      <c r="V21" s="43">
        <f t="shared" si="31"/>
        <v>2</v>
      </c>
      <c r="W21" s="43">
        <f t="shared" si="32"/>
        <v>2</v>
      </c>
      <c r="X21" s="44">
        <f t="shared" si="33"/>
        <v>1</v>
      </c>
      <c r="Y21" s="43">
        <v>1.0</v>
      </c>
      <c r="Z21" s="3">
        <f t="shared" si="5"/>
        <v>1.3</v>
      </c>
      <c r="AA21" s="43">
        <f t="shared" si="34"/>
        <v>7</v>
      </c>
      <c r="AB21" s="2">
        <f t="shared" si="35"/>
        <v>4</v>
      </c>
      <c r="AC21" s="43">
        <f t="shared" si="36"/>
        <v>1</v>
      </c>
      <c r="AD21" s="43">
        <f t="shared" si="37"/>
        <v>8</v>
      </c>
      <c r="AE21" s="43">
        <f t="shared" si="38"/>
        <v>4</v>
      </c>
      <c r="AF21" s="43">
        <f t="shared" si="39"/>
        <v>2</v>
      </c>
      <c r="AG21" s="43">
        <f t="shared" si="40"/>
        <v>4</v>
      </c>
      <c r="AH21" s="43">
        <f t="shared" si="41"/>
        <v>3</v>
      </c>
      <c r="AI21" s="44">
        <f t="shared" si="42"/>
        <v>1</v>
      </c>
      <c r="AJ21" s="43">
        <v>5.0</v>
      </c>
      <c r="AK21" s="3">
        <f t="shared" si="6"/>
        <v>2.2</v>
      </c>
      <c r="AL21" s="43">
        <f t="shared" si="43"/>
        <v>5</v>
      </c>
      <c r="AM21" s="2">
        <f t="shared" si="44"/>
        <v>6</v>
      </c>
      <c r="AN21" s="43">
        <f t="shared" si="45"/>
        <v>3</v>
      </c>
      <c r="AO21" s="43">
        <f t="shared" si="46"/>
        <v>8</v>
      </c>
      <c r="AP21" s="43">
        <f t="shared" si="47"/>
        <v>6</v>
      </c>
      <c r="AQ21" s="43">
        <f t="shared" si="48"/>
        <v>1</v>
      </c>
      <c r="AR21" s="43">
        <f t="shared" si="49"/>
        <v>2</v>
      </c>
      <c r="AS21" s="43">
        <f t="shared" si="50"/>
        <v>3</v>
      </c>
      <c r="AT21" s="44">
        <f t="shared" si="51"/>
        <v>3</v>
      </c>
      <c r="AU21" s="43">
        <v>2.0</v>
      </c>
      <c r="AV21" s="3">
        <f t="shared" si="7"/>
        <v>1.3</v>
      </c>
      <c r="AW21" s="43">
        <f t="shared" si="52"/>
        <v>2</v>
      </c>
      <c r="AX21" s="2">
        <f t="shared" si="53"/>
        <v>3</v>
      </c>
      <c r="AY21" s="43">
        <f t="shared" si="54"/>
        <v>3</v>
      </c>
      <c r="AZ21" s="43">
        <f t="shared" si="55"/>
        <v>4</v>
      </c>
      <c r="BA21" s="43">
        <f t="shared" si="56"/>
        <v>4</v>
      </c>
      <c r="BB21" s="43">
        <f t="shared" si="57"/>
        <v>5</v>
      </c>
      <c r="BC21" s="43">
        <f t="shared" si="58"/>
        <v>1</v>
      </c>
      <c r="BD21" s="43">
        <f t="shared" si="59"/>
        <v>1</v>
      </c>
      <c r="BE21" s="44">
        <f t="shared" si="60"/>
        <v>2</v>
      </c>
      <c r="BF21" s="46">
        <f t="shared" ref="BF21:BO21" si="76">+(AK21+Z21+O21+D21)/4</f>
        <v>1.9</v>
      </c>
      <c r="BG21" s="43">
        <f t="shared" si="76"/>
        <v>5</v>
      </c>
      <c r="BH21" s="43">
        <f t="shared" si="76"/>
        <v>4.25</v>
      </c>
      <c r="BI21" s="43">
        <f t="shared" si="76"/>
        <v>2.75</v>
      </c>
      <c r="BJ21" s="43">
        <f t="shared" si="76"/>
        <v>7</v>
      </c>
      <c r="BK21" s="43">
        <f t="shared" si="76"/>
        <v>5</v>
      </c>
      <c r="BL21" s="43">
        <f t="shared" si="76"/>
        <v>1.75</v>
      </c>
      <c r="BM21" s="43">
        <f t="shared" si="76"/>
        <v>2.75</v>
      </c>
      <c r="BN21" s="43">
        <f t="shared" si="76"/>
        <v>2.25</v>
      </c>
      <c r="BO21" s="63">
        <f t="shared" si="76"/>
        <v>2</v>
      </c>
      <c r="BP21" s="37">
        <f t="shared" si="9"/>
        <v>-0.6</v>
      </c>
      <c r="BQ21" s="38">
        <f t="shared" si="62"/>
        <v>0.5</v>
      </c>
      <c r="BR21" s="38">
        <f t="shared" si="10"/>
        <v>0.1</v>
      </c>
      <c r="BS21" s="38">
        <f t="shared" si="11"/>
        <v>0.1</v>
      </c>
      <c r="BT21" s="38">
        <f t="shared" si="12"/>
        <v>0.2</v>
      </c>
      <c r="BU21" s="38">
        <f t="shared" si="13"/>
        <v>0.1</v>
      </c>
      <c r="BV21" s="38">
        <f t="shared" si="14"/>
        <v>0.5</v>
      </c>
      <c r="BW21" s="38">
        <f t="shared" ref="BW21:BX21" si="77">+BR21+BS21+BT21</f>
        <v>0.4</v>
      </c>
      <c r="BX21" s="39">
        <f t="shared" si="77"/>
        <v>0.4</v>
      </c>
    </row>
    <row r="22">
      <c r="A22" s="60"/>
      <c r="B22" s="40">
        <v>11.0</v>
      </c>
      <c r="C22" s="24">
        <v>2.0</v>
      </c>
      <c r="D22" s="27">
        <f t="shared" si="3"/>
        <v>2</v>
      </c>
      <c r="E22" s="24">
        <f t="shared" si="16"/>
        <v>5</v>
      </c>
      <c r="F22" s="2">
        <f t="shared" si="17"/>
        <v>5</v>
      </c>
      <c r="G22" s="24">
        <f t="shared" si="18"/>
        <v>3</v>
      </c>
      <c r="H22" s="24">
        <f t="shared" si="19"/>
        <v>8</v>
      </c>
      <c r="I22" s="24">
        <f t="shared" si="20"/>
        <v>5</v>
      </c>
      <c r="J22" s="24">
        <f t="shared" si="21"/>
        <v>2</v>
      </c>
      <c r="K22" s="24">
        <f t="shared" si="22"/>
        <v>3</v>
      </c>
      <c r="L22" s="24">
        <f t="shared" si="23"/>
        <v>2</v>
      </c>
      <c r="M22" s="28">
        <f t="shared" si="24"/>
        <v>3</v>
      </c>
      <c r="N22" s="24">
        <v>2.0</v>
      </c>
      <c r="O22" s="27">
        <f t="shared" si="4"/>
        <v>2.090909091</v>
      </c>
      <c r="P22" s="24">
        <f t="shared" si="25"/>
        <v>5</v>
      </c>
      <c r="Q22" s="2">
        <f t="shared" si="26"/>
        <v>4</v>
      </c>
      <c r="R22" s="24">
        <f t="shared" si="27"/>
        <v>4</v>
      </c>
      <c r="S22" s="24">
        <f t="shared" si="28"/>
        <v>6</v>
      </c>
      <c r="T22" s="24">
        <f t="shared" si="29"/>
        <v>7</v>
      </c>
      <c r="U22" s="24">
        <f t="shared" si="30"/>
        <v>2</v>
      </c>
      <c r="V22" s="24">
        <f t="shared" si="31"/>
        <v>2</v>
      </c>
      <c r="W22" s="24">
        <f t="shared" si="32"/>
        <v>3</v>
      </c>
      <c r="X22" s="28">
        <f t="shared" si="33"/>
        <v>1</v>
      </c>
      <c r="Y22" s="24">
        <v>0.0</v>
      </c>
      <c r="Z22" s="27">
        <f t="shared" si="5"/>
        <v>1.181818182</v>
      </c>
      <c r="AA22" s="24">
        <f t="shared" si="34"/>
        <v>7</v>
      </c>
      <c r="AB22" s="2">
        <f t="shared" si="35"/>
        <v>4</v>
      </c>
      <c r="AC22" s="24">
        <f t="shared" si="36"/>
        <v>1</v>
      </c>
      <c r="AD22" s="24">
        <f t="shared" si="37"/>
        <v>8</v>
      </c>
      <c r="AE22" s="24">
        <f t="shared" si="38"/>
        <v>4</v>
      </c>
      <c r="AF22" s="24">
        <f t="shared" si="39"/>
        <v>3</v>
      </c>
      <c r="AG22" s="24">
        <f t="shared" si="40"/>
        <v>4</v>
      </c>
      <c r="AH22" s="24">
        <f t="shared" si="41"/>
        <v>3</v>
      </c>
      <c r="AI22" s="28">
        <f t="shared" si="42"/>
        <v>1</v>
      </c>
      <c r="AJ22" s="24">
        <v>2.0</v>
      </c>
      <c r="AK22" s="27">
        <f t="shared" si="6"/>
        <v>2.181818182</v>
      </c>
      <c r="AL22" s="24">
        <f t="shared" si="43"/>
        <v>6</v>
      </c>
      <c r="AM22" s="2">
        <f t="shared" si="44"/>
        <v>7</v>
      </c>
      <c r="AN22" s="24">
        <f t="shared" si="45"/>
        <v>3</v>
      </c>
      <c r="AO22" s="24">
        <f t="shared" si="46"/>
        <v>9</v>
      </c>
      <c r="AP22" s="24">
        <f t="shared" si="47"/>
        <v>7</v>
      </c>
      <c r="AQ22" s="24">
        <f t="shared" si="48"/>
        <v>1</v>
      </c>
      <c r="AR22" s="24">
        <f t="shared" si="49"/>
        <v>2</v>
      </c>
      <c r="AS22" s="24">
        <f t="shared" si="50"/>
        <v>4</v>
      </c>
      <c r="AT22" s="28">
        <f t="shared" si="51"/>
        <v>3</v>
      </c>
      <c r="AU22" s="24">
        <v>0.0</v>
      </c>
      <c r="AV22" s="27">
        <f t="shared" si="7"/>
        <v>1.181818182</v>
      </c>
      <c r="AW22" s="24">
        <f t="shared" si="52"/>
        <v>2</v>
      </c>
      <c r="AX22" s="2">
        <f t="shared" si="53"/>
        <v>3</v>
      </c>
      <c r="AY22" s="24">
        <f t="shared" si="54"/>
        <v>3</v>
      </c>
      <c r="AZ22" s="24">
        <f t="shared" si="55"/>
        <v>4</v>
      </c>
      <c r="BA22" s="24">
        <f t="shared" si="56"/>
        <v>4</v>
      </c>
      <c r="BB22" s="24">
        <f t="shared" si="57"/>
        <v>6</v>
      </c>
      <c r="BC22" s="24">
        <f t="shared" si="58"/>
        <v>1</v>
      </c>
      <c r="BD22" s="24">
        <f t="shared" si="59"/>
        <v>1</v>
      </c>
      <c r="BE22" s="28">
        <f t="shared" si="60"/>
        <v>2</v>
      </c>
      <c r="BF22" s="29">
        <f t="shared" ref="BF22:BO22" si="78">+(AK22+Z22+O22+D22)/4</f>
        <v>1.863636364</v>
      </c>
      <c r="BG22" s="24">
        <f t="shared" si="78"/>
        <v>5.75</v>
      </c>
      <c r="BH22" s="24">
        <f t="shared" si="78"/>
        <v>5</v>
      </c>
      <c r="BI22" s="24">
        <f t="shared" si="78"/>
        <v>2.75</v>
      </c>
      <c r="BJ22" s="24">
        <f t="shared" si="78"/>
        <v>7.75</v>
      </c>
      <c r="BK22" s="24">
        <f t="shared" si="78"/>
        <v>5.75</v>
      </c>
      <c r="BL22" s="24">
        <f t="shared" si="78"/>
        <v>2</v>
      </c>
      <c r="BM22" s="24">
        <f t="shared" si="78"/>
        <v>2.75</v>
      </c>
      <c r="BN22" s="24">
        <f t="shared" si="78"/>
        <v>3</v>
      </c>
      <c r="BO22" s="61">
        <f t="shared" si="78"/>
        <v>2</v>
      </c>
      <c r="BP22" s="30">
        <f t="shared" si="9"/>
        <v>-0.6818181818</v>
      </c>
      <c r="BQ22" s="31">
        <f t="shared" si="62"/>
        <v>0.5454545455</v>
      </c>
      <c r="BR22" s="31">
        <f t="shared" si="10"/>
        <v>0.09090909091</v>
      </c>
      <c r="BS22" s="31">
        <f t="shared" si="11"/>
        <v>0.09090909091</v>
      </c>
      <c r="BT22" s="31">
        <f t="shared" si="12"/>
        <v>0.1818181818</v>
      </c>
      <c r="BU22" s="31">
        <f t="shared" si="13"/>
        <v>0.09090909091</v>
      </c>
      <c r="BV22" s="31">
        <f t="shared" si="14"/>
        <v>0.4545454545</v>
      </c>
      <c r="BW22" s="31">
        <f t="shared" ref="BW22:BX22" si="79">+BR22+BS22+BT22</f>
        <v>0.3636363636</v>
      </c>
      <c r="BX22" s="32">
        <f t="shared" si="79"/>
        <v>0.3636363636</v>
      </c>
    </row>
    <row r="23">
      <c r="B23" s="33">
        <v>12.0</v>
      </c>
      <c r="C23" s="2">
        <v>3.0</v>
      </c>
      <c r="D23" s="3">
        <f t="shared" si="3"/>
        <v>2.083333333</v>
      </c>
      <c r="E23" s="2">
        <f t="shared" si="16"/>
        <v>5</v>
      </c>
      <c r="F23" s="2">
        <f t="shared" si="17"/>
        <v>6</v>
      </c>
      <c r="G23" s="2">
        <f t="shared" si="18"/>
        <v>4</v>
      </c>
      <c r="H23" s="2">
        <f t="shared" si="19"/>
        <v>9</v>
      </c>
      <c r="I23" s="2">
        <f t="shared" si="20"/>
        <v>6</v>
      </c>
      <c r="J23" s="2">
        <f t="shared" si="21"/>
        <v>2</v>
      </c>
      <c r="K23" s="2">
        <f t="shared" si="22"/>
        <v>3</v>
      </c>
      <c r="L23" s="2">
        <f t="shared" si="23"/>
        <v>2</v>
      </c>
      <c r="M23" s="34">
        <f t="shared" si="24"/>
        <v>4</v>
      </c>
      <c r="N23" s="2">
        <v>1.0</v>
      </c>
      <c r="O23" s="3">
        <f t="shared" si="4"/>
        <v>2</v>
      </c>
      <c r="P23" s="2">
        <f t="shared" si="25"/>
        <v>6</v>
      </c>
      <c r="Q23" s="2">
        <f t="shared" si="26"/>
        <v>4</v>
      </c>
      <c r="R23" s="2">
        <f t="shared" si="27"/>
        <v>4</v>
      </c>
      <c r="S23" s="2">
        <f t="shared" si="28"/>
        <v>7</v>
      </c>
      <c r="T23" s="2">
        <f t="shared" si="29"/>
        <v>7</v>
      </c>
      <c r="U23" s="2">
        <f t="shared" si="30"/>
        <v>2</v>
      </c>
      <c r="V23" s="2">
        <f t="shared" si="31"/>
        <v>3</v>
      </c>
      <c r="W23" s="2">
        <f t="shared" si="32"/>
        <v>3</v>
      </c>
      <c r="X23" s="34">
        <f t="shared" si="33"/>
        <v>1</v>
      </c>
      <c r="Y23" s="2">
        <v>0.0</v>
      </c>
      <c r="Z23" s="3">
        <f t="shared" si="5"/>
        <v>1.083333333</v>
      </c>
      <c r="AA23" s="2">
        <f t="shared" si="34"/>
        <v>7</v>
      </c>
      <c r="AB23" s="2">
        <f t="shared" si="35"/>
        <v>4</v>
      </c>
      <c r="AC23" s="2">
        <f t="shared" si="36"/>
        <v>1</v>
      </c>
      <c r="AD23" s="2">
        <f t="shared" si="37"/>
        <v>8</v>
      </c>
      <c r="AE23" s="2">
        <f t="shared" si="38"/>
        <v>4</v>
      </c>
      <c r="AF23" s="2">
        <f t="shared" si="39"/>
        <v>4</v>
      </c>
      <c r="AG23" s="2">
        <f t="shared" si="40"/>
        <v>4</v>
      </c>
      <c r="AH23" s="2">
        <f t="shared" si="41"/>
        <v>3</v>
      </c>
      <c r="AI23" s="34">
        <f t="shared" si="42"/>
        <v>1</v>
      </c>
      <c r="AJ23" s="2">
        <v>1.0</v>
      </c>
      <c r="AK23" s="3">
        <f t="shared" si="6"/>
        <v>2.083333333</v>
      </c>
      <c r="AL23" s="2">
        <f t="shared" si="43"/>
        <v>7</v>
      </c>
      <c r="AM23" s="2">
        <f t="shared" si="44"/>
        <v>7</v>
      </c>
      <c r="AN23" s="2">
        <f t="shared" si="45"/>
        <v>3</v>
      </c>
      <c r="AO23" s="2">
        <f t="shared" si="46"/>
        <v>10</v>
      </c>
      <c r="AP23" s="2">
        <f t="shared" si="47"/>
        <v>7</v>
      </c>
      <c r="AQ23" s="2">
        <f t="shared" si="48"/>
        <v>1</v>
      </c>
      <c r="AR23" s="2">
        <f t="shared" si="49"/>
        <v>3</v>
      </c>
      <c r="AS23" s="2">
        <f t="shared" si="50"/>
        <v>4</v>
      </c>
      <c r="AT23" s="34">
        <f t="shared" si="51"/>
        <v>3</v>
      </c>
      <c r="AU23" s="2">
        <v>2.0</v>
      </c>
      <c r="AV23" s="3">
        <f t="shared" si="7"/>
        <v>1.25</v>
      </c>
      <c r="AW23" s="2">
        <f t="shared" si="52"/>
        <v>3</v>
      </c>
      <c r="AX23" s="2">
        <f t="shared" si="53"/>
        <v>4</v>
      </c>
      <c r="AY23" s="2">
        <f t="shared" si="54"/>
        <v>3</v>
      </c>
      <c r="AZ23" s="2">
        <f t="shared" si="55"/>
        <v>5</v>
      </c>
      <c r="BA23" s="2">
        <f t="shared" si="56"/>
        <v>5</v>
      </c>
      <c r="BB23" s="2">
        <f t="shared" si="57"/>
        <v>6</v>
      </c>
      <c r="BC23" s="2">
        <f t="shared" si="58"/>
        <v>1</v>
      </c>
      <c r="BD23" s="2">
        <f t="shared" si="59"/>
        <v>2</v>
      </c>
      <c r="BE23" s="34">
        <f t="shared" si="60"/>
        <v>2</v>
      </c>
      <c r="BF23" s="36">
        <f t="shared" ref="BF23:BO23" si="80">+(AK23+Z23+O23+D23)/4</f>
        <v>1.8125</v>
      </c>
      <c r="BG23" s="2">
        <f t="shared" si="80"/>
        <v>6.25</v>
      </c>
      <c r="BH23" s="2">
        <f t="shared" si="80"/>
        <v>5.25</v>
      </c>
      <c r="BI23" s="2">
        <f t="shared" si="80"/>
        <v>3</v>
      </c>
      <c r="BJ23" s="2">
        <f t="shared" si="80"/>
        <v>8.5</v>
      </c>
      <c r="BK23" s="2">
        <f t="shared" si="80"/>
        <v>6</v>
      </c>
      <c r="BL23" s="2">
        <f t="shared" si="80"/>
        <v>2.25</v>
      </c>
      <c r="BM23" s="2">
        <f t="shared" si="80"/>
        <v>3.25</v>
      </c>
      <c r="BN23" s="2">
        <f t="shared" si="80"/>
        <v>3</v>
      </c>
      <c r="BO23" s="62">
        <f t="shared" si="80"/>
        <v>2.25</v>
      </c>
      <c r="BP23" s="37">
        <f t="shared" si="9"/>
        <v>-0.5625</v>
      </c>
      <c r="BQ23" s="38">
        <f t="shared" si="62"/>
        <v>0.5</v>
      </c>
      <c r="BR23" s="38">
        <f t="shared" si="10"/>
        <v>0.08333333333</v>
      </c>
      <c r="BS23" s="38">
        <f t="shared" si="11"/>
        <v>0.1666666667</v>
      </c>
      <c r="BT23" s="38">
        <f t="shared" si="12"/>
        <v>0.1666666667</v>
      </c>
      <c r="BU23" s="38">
        <f t="shared" si="13"/>
        <v>0.08333333333</v>
      </c>
      <c r="BV23" s="38">
        <f t="shared" si="14"/>
        <v>0.5</v>
      </c>
      <c r="BW23" s="38">
        <f t="shared" ref="BW23:BX23" si="81">+BR23+BS23+BT23</f>
        <v>0.4166666667</v>
      </c>
      <c r="BX23" s="39">
        <f t="shared" si="81"/>
        <v>0.4166666667</v>
      </c>
    </row>
    <row r="24">
      <c r="A24" s="60"/>
      <c r="B24" s="40">
        <v>13.0</v>
      </c>
      <c r="C24" s="24">
        <v>0.0</v>
      </c>
      <c r="D24" s="27">
        <f t="shared" si="3"/>
        <v>1.923076923</v>
      </c>
      <c r="E24" s="24">
        <f t="shared" si="16"/>
        <v>5</v>
      </c>
      <c r="F24" s="2">
        <f t="shared" si="17"/>
        <v>6</v>
      </c>
      <c r="G24" s="24">
        <f t="shared" si="18"/>
        <v>4</v>
      </c>
      <c r="H24" s="24">
        <f t="shared" si="19"/>
        <v>9</v>
      </c>
      <c r="I24" s="24">
        <f t="shared" si="20"/>
        <v>6</v>
      </c>
      <c r="J24" s="24">
        <f t="shared" si="21"/>
        <v>3</v>
      </c>
      <c r="K24" s="24">
        <f t="shared" si="22"/>
        <v>3</v>
      </c>
      <c r="L24" s="24">
        <f t="shared" si="23"/>
        <v>2</v>
      </c>
      <c r="M24" s="28">
        <f t="shared" si="24"/>
        <v>4</v>
      </c>
      <c r="N24" s="24">
        <v>1.0</v>
      </c>
      <c r="O24" s="27">
        <f t="shared" si="4"/>
        <v>1.923076923</v>
      </c>
      <c r="P24" s="24">
        <f t="shared" si="25"/>
        <v>7</v>
      </c>
      <c r="Q24" s="2">
        <f t="shared" si="26"/>
        <v>4</v>
      </c>
      <c r="R24" s="24">
        <f t="shared" si="27"/>
        <v>4</v>
      </c>
      <c r="S24" s="24">
        <f t="shared" si="28"/>
        <v>8</v>
      </c>
      <c r="T24" s="24">
        <f t="shared" si="29"/>
        <v>7</v>
      </c>
      <c r="U24" s="24">
        <f t="shared" si="30"/>
        <v>2</v>
      </c>
      <c r="V24" s="24">
        <f t="shared" si="31"/>
        <v>4</v>
      </c>
      <c r="W24" s="24">
        <f t="shared" si="32"/>
        <v>3</v>
      </c>
      <c r="X24" s="28">
        <f t="shared" si="33"/>
        <v>1</v>
      </c>
      <c r="Y24" s="24">
        <v>1.0</v>
      </c>
      <c r="Z24" s="27">
        <f t="shared" si="5"/>
        <v>1.076923077</v>
      </c>
      <c r="AA24" s="24">
        <f t="shared" si="34"/>
        <v>8</v>
      </c>
      <c r="AB24" s="2">
        <f t="shared" si="35"/>
        <v>4</v>
      </c>
      <c r="AC24" s="24">
        <f t="shared" si="36"/>
        <v>1</v>
      </c>
      <c r="AD24" s="24">
        <f t="shared" si="37"/>
        <v>9</v>
      </c>
      <c r="AE24" s="24">
        <f t="shared" si="38"/>
        <v>4</v>
      </c>
      <c r="AF24" s="24">
        <f t="shared" si="39"/>
        <v>4</v>
      </c>
      <c r="AG24" s="24">
        <f t="shared" si="40"/>
        <v>5</v>
      </c>
      <c r="AH24" s="24">
        <f t="shared" si="41"/>
        <v>3</v>
      </c>
      <c r="AI24" s="28">
        <f t="shared" si="42"/>
        <v>1</v>
      </c>
      <c r="AJ24" s="24">
        <v>3.0</v>
      </c>
      <c r="AK24" s="27">
        <f t="shared" si="6"/>
        <v>2.153846154</v>
      </c>
      <c r="AL24" s="24">
        <f t="shared" si="43"/>
        <v>7</v>
      </c>
      <c r="AM24" s="2">
        <f t="shared" si="44"/>
        <v>8</v>
      </c>
      <c r="AN24" s="24">
        <f t="shared" si="45"/>
        <v>4</v>
      </c>
      <c r="AO24" s="24">
        <f t="shared" si="46"/>
        <v>11</v>
      </c>
      <c r="AP24" s="24">
        <f t="shared" si="47"/>
        <v>8</v>
      </c>
      <c r="AQ24" s="24">
        <f t="shared" si="48"/>
        <v>1</v>
      </c>
      <c r="AR24" s="24">
        <f t="shared" si="49"/>
        <v>3</v>
      </c>
      <c r="AS24" s="24">
        <f t="shared" si="50"/>
        <v>4</v>
      </c>
      <c r="AT24" s="28">
        <f t="shared" si="51"/>
        <v>4</v>
      </c>
      <c r="AU24" s="24">
        <v>0.0</v>
      </c>
      <c r="AV24" s="27">
        <f t="shared" si="7"/>
        <v>1.153846154</v>
      </c>
      <c r="AW24" s="24">
        <f t="shared" si="52"/>
        <v>3</v>
      </c>
      <c r="AX24" s="2">
        <f t="shared" si="53"/>
        <v>4</v>
      </c>
      <c r="AY24" s="24">
        <f t="shared" si="54"/>
        <v>3</v>
      </c>
      <c r="AZ24" s="24">
        <f t="shared" si="55"/>
        <v>5</v>
      </c>
      <c r="BA24" s="24">
        <f t="shared" si="56"/>
        <v>5</v>
      </c>
      <c r="BB24" s="24">
        <f t="shared" si="57"/>
        <v>7</v>
      </c>
      <c r="BC24" s="24">
        <f t="shared" si="58"/>
        <v>1</v>
      </c>
      <c r="BD24" s="24">
        <f t="shared" si="59"/>
        <v>2</v>
      </c>
      <c r="BE24" s="28">
        <f t="shared" si="60"/>
        <v>2</v>
      </c>
      <c r="BF24" s="29">
        <f t="shared" ref="BF24:BO24" si="82">+(AK24+Z24+O24+D24)/4</f>
        <v>1.769230769</v>
      </c>
      <c r="BG24" s="24">
        <f t="shared" si="82"/>
        <v>6.75</v>
      </c>
      <c r="BH24" s="24">
        <f t="shared" si="82"/>
        <v>5.5</v>
      </c>
      <c r="BI24" s="24">
        <f t="shared" si="82"/>
        <v>3.25</v>
      </c>
      <c r="BJ24" s="24">
        <f t="shared" si="82"/>
        <v>9.25</v>
      </c>
      <c r="BK24" s="24">
        <f t="shared" si="82"/>
        <v>6.25</v>
      </c>
      <c r="BL24" s="24">
        <f t="shared" si="82"/>
        <v>2.5</v>
      </c>
      <c r="BM24" s="24">
        <f t="shared" si="82"/>
        <v>3.75</v>
      </c>
      <c r="BN24" s="24">
        <f t="shared" si="82"/>
        <v>3</v>
      </c>
      <c r="BO24" s="61">
        <f t="shared" si="82"/>
        <v>2.5</v>
      </c>
      <c r="BP24" s="30">
        <f t="shared" si="9"/>
        <v>-0.6153846154</v>
      </c>
      <c r="BQ24" s="31">
        <f t="shared" si="62"/>
        <v>0.5384615385</v>
      </c>
      <c r="BR24" s="31">
        <f t="shared" si="10"/>
        <v>0.07692307692</v>
      </c>
      <c r="BS24" s="31">
        <f t="shared" si="11"/>
        <v>0.1538461538</v>
      </c>
      <c r="BT24" s="31">
        <f t="shared" si="12"/>
        <v>0.1538461538</v>
      </c>
      <c r="BU24" s="31">
        <f t="shared" si="13"/>
        <v>0.07692307692</v>
      </c>
      <c r="BV24" s="31">
        <f t="shared" si="14"/>
        <v>0.4615384615</v>
      </c>
      <c r="BW24" s="31">
        <f t="shared" ref="BW24:BX24" si="83">+BR24+BS24+BT24</f>
        <v>0.3846153846</v>
      </c>
      <c r="BX24" s="32">
        <f t="shared" si="83"/>
        <v>0.3846153846</v>
      </c>
    </row>
    <row r="25">
      <c r="B25" s="33">
        <v>14.0</v>
      </c>
      <c r="C25" s="2">
        <v>0.0</v>
      </c>
      <c r="D25" s="3">
        <f t="shared" si="3"/>
        <v>1.785714286</v>
      </c>
      <c r="E25" s="2">
        <f t="shared" si="16"/>
        <v>5</v>
      </c>
      <c r="F25" s="2">
        <f t="shared" si="17"/>
        <v>6</v>
      </c>
      <c r="G25" s="2">
        <f t="shared" si="18"/>
        <v>4</v>
      </c>
      <c r="H25" s="2">
        <f t="shared" si="19"/>
        <v>9</v>
      </c>
      <c r="I25" s="2">
        <f t="shared" si="20"/>
        <v>6</v>
      </c>
      <c r="J25" s="2">
        <f t="shared" si="21"/>
        <v>4</v>
      </c>
      <c r="K25" s="2">
        <f t="shared" si="22"/>
        <v>3</v>
      </c>
      <c r="L25" s="2">
        <f t="shared" si="23"/>
        <v>2</v>
      </c>
      <c r="M25" s="34">
        <f t="shared" si="24"/>
        <v>4</v>
      </c>
      <c r="N25" s="2">
        <v>1.0</v>
      </c>
      <c r="O25" s="3">
        <f t="shared" si="4"/>
        <v>1.857142857</v>
      </c>
      <c r="P25" s="2">
        <f t="shared" si="25"/>
        <v>8</v>
      </c>
      <c r="Q25" s="2">
        <f t="shared" si="26"/>
        <v>4</v>
      </c>
      <c r="R25" s="2">
        <f t="shared" si="27"/>
        <v>4</v>
      </c>
      <c r="S25" s="2">
        <f t="shared" si="28"/>
        <v>9</v>
      </c>
      <c r="T25" s="2">
        <f t="shared" si="29"/>
        <v>7</v>
      </c>
      <c r="U25" s="2">
        <f t="shared" si="30"/>
        <v>2</v>
      </c>
      <c r="V25" s="2">
        <f t="shared" si="31"/>
        <v>5</v>
      </c>
      <c r="W25" s="2">
        <f t="shared" si="32"/>
        <v>3</v>
      </c>
      <c r="X25" s="34">
        <f t="shared" si="33"/>
        <v>1</v>
      </c>
      <c r="Y25" s="2">
        <v>1.0</v>
      </c>
      <c r="Z25" s="3">
        <f t="shared" si="5"/>
        <v>1.071428571</v>
      </c>
      <c r="AA25" s="2">
        <f t="shared" si="34"/>
        <v>9</v>
      </c>
      <c r="AB25" s="2">
        <f t="shared" si="35"/>
        <v>4</v>
      </c>
      <c r="AC25" s="2">
        <f t="shared" si="36"/>
        <v>1</v>
      </c>
      <c r="AD25" s="2">
        <f t="shared" si="37"/>
        <v>10</v>
      </c>
      <c r="AE25" s="2">
        <f t="shared" si="38"/>
        <v>4</v>
      </c>
      <c r="AF25" s="2">
        <f t="shared" si="39"/>
        <v>4</v>
      </c>
      <c r="AG25" s="2">
        <f t="shared" si="40"/>
        <v>6</v>
      </c>
      <c r="AH25" s="2">
        <f t="shared" si="41"/>
        <v>3</v>
      </c>
      <c r="AI25" s="34">
        <f t="shared" si="42"/>
        <v>1</v>
      </c>
      <c r="AJ25" s="2">
        <v>1.0</v>
      </c>
      <c r="AK25" s="3">
        <f t="shared" si="6"/>
        <v>2.071428571</v>
      </c>
      <c r="AL25" s="2">
        <f t="shared" si="43"/>
        <v>8</v>
      </c>
      <c r="AM25" s="2">
        <f t="shared" si="44"/>
        <v>8</v>
      </c>
      <c r="AN25" s="2">
        <f t="shared" si="45"/>
        <v>4</v>
      </c>
      <c r="AO25" s="2">
        <f t="shared" si="46"/>
        <v>12</v>
      </c>
      <c r="AP25" s="2">
        <f t="shared" si="47"/>
        <v>8</v>
      </c>
      <c r="AQ25" s="2">
        <f t="shared" si="48"/>
        <v>1</v>
      </c>
      <c r="AR25" s="2">
        <f t="shared" si="49"/>
        <v>4</v>
      </c>
      <c r="AS25" s="2">
        <f t="shared" si="50"/>
        <v>4</v>
      </c>
      <c r="AT25" s="34">
        <f t="shared" si="51"/>
        <v>4</v>
      </c>
      <c r="AU25" s="2">
        <v>1.0</v>
      </c>
      <c r="AV25" s="3">
        <f t="shared" si="7"/>
        <v>1.142857143</v>
      </c>
      <c r="AW25" s="2">
        <f t="shared" si="52"/>
        <v>4</v>
      </c>
      <c r="AX25" s="2">
        <f t="shared" si="53"/>
        <v>4</v>
      </c>
      <c r="AY25" s="2">
        <f t="shared" si="54"/>
        <v>3</v>
      </c>
      <c r="AZ25" s="2">
        <f t="shared" si="55"/>
        <v>6</v>
      </c>
      <c r="BA25" s="2">
        <f t="shared" si="56"/>
        <v>5</v>
      </c>
      <c r="BB25" s="2">
        <f t="shared" si="57"/>
        <v>7</v>
      </c>
      <c r="BC25" s="2">
        <f t="shared" si="58"/>
        <v>2</v>
      </c>
      <c r="BD25" s="2">
        <f t="shared" si="59"/>
        <v>2</v>
      </c>
      <c r="BE25" s="34">
        <f t="shared" si="60"/>
        <v>2</v>
      </c>
      <c r="BF25" s="36">
        <f t="shared" ref="BF25:BO25" si="84">+(AK25+Z25+O25+D25)/4</f>
        <v>1.696428571</v>
      </c>
      <c r="BG25" s="2">
        <f t="shared" si="84"/>
        <v>7.5</v>
      </c>
      <c r="BH25" s="2">
        <f t="shared" si="84"/>
        <v>5.5</v>
      </c>
      <c r="BI25" s="2">
        <f t="shared" si="84"/>
        <v>3.25</v>
      </c>
      <c r="BJ25" s="2">
        <f t="shared" si="84"/>
        <v>10</v>
      </c>
      <c r="BK25" s="2">
        <f t="shared" si="84"/>
        <v>6.25</v>
      </c>
      <c r="BL25" s="2">
        <f t="shared" si="84"/>
        <v>2.75</v>
      </c>
      <c r="BM25" s="2">
        <f t="shared" si="84"/>
        <v>4.5</v>
      </c>
      <c r="BN25" s="2">
        <f t="shared" si="84"/>
        <v>3</v>
      </c>
      <c r="BO25" s="62">
        <f t="shared" si="84"/>
        <v>2.5</v>
      </c>
      <c r="BP25" s="37">
        <f t="shared" si="9"/>
        <v>-0.5535714286</v>
      </c>
      <c r="BQ25" s="38">
        <f t="shared" si="62"/>
        <v>0.5</v>
      </c>
      <c r="BR25" s="38">
        <f t="shared" si="10"/>
        <v>0.1428571429</v>
      </c>
      <c r="BS25" s="38">
        <f t="shared" si="11"/>
        <v>0.1428571429</v>
      </c>
      <c r="BT25" s="38">
        <f t="shared" si="12"/>
        <v>0.1428571429</v>
      </c>
      <c r="BU25" s="38">
        <f t="shared" si="13"/>
        <v>0.07142857143</v>
      </c>
      <c r="BV25" s="38">
        <f t="shared" si="14"/>
        <v>0.5</v>
      </c>
      <c r="BW25" s="38">
        <f t="shared" ref="BW25:BX25" si="85">+BR25+BS25+BT25</f>
        <v>0.4285714286</v>
      </c>
      <c r="BX25" s="39">
        <f t="shared" si="85"/>
        <v>0.3571428571</v>
      </c>
    </row>
    <row r="26">
      <c r="A26" s="60"/>
      <c r="B26" s="40">
        <v>15.0</v>
      </c>
      <c r="C26" s="24">
        <v>4.0</v>
      </c>
      <c r="D26" s="27">
        <f t="shared" si="3"/>
        <v>1.933333333</v>
      </c>
      <c r="E26" s="24">
        <f t="shared" si="16"/>
        <v>5</v>
      </c>
      <c r="F26" s="2">
        <f t="shared" si="17"/>
        <v>6</v>
      </c>
      <c r="G26" s="24">
        <f t="shared" si="18"/>
        <v>5</v>
      </c>
      <c r="H26" s="24">
        <f t="shared" si="19"/>
        <v>9</v>
      </c>
      <c r="I26" s="24">
        <f t="shared" si="20"/>
        <v>7</v>
      </c>
      <c r="J26" s="24">
        <f t="shared" si="21"/>
        <v>4</v>
      </c>
      <c r="K26" s="24">
        <f t="shared" si="22"/>
        <v>3</v>
      </c>
      <c r="L26" s="24">
        <f t="shared" si="23"/>
        <v>2</v>
      </c>
      <c r="M26" s="28">
        <f t="shared" si="24"/>
        <v>4</v>
      </c>
      <c r="N26" s="24">
        <v>0.0</v>
      </c>
      <c r="O26" s="27">
        <f t="shared" si="4"/>
        <v>1.733333333</v>
      </c>
      <c r="P26" s="24">
        <f t="shared" si="25"/>
        <v>8</v>
      </c>
      <c r="Q26" s="2">
        <f t="shared" si="26"/>
        <v>4</v>
      </c>
      <c r="R26" s="24">
        <f t="shared" si="27"/>
        <v>4</v>
      </c>
      <c r="S26" s="24">
        <f t="shared" si="28"/>
        <v>9</v>
      </c>
      <c r="T26" s="24">
        <f t="shared" si="29"/>
        <v>7</v>
      </c>
      <c r="U26" s="24">
        <f t="shared" si="30"/>
        <v>3</v>
      </c>
      <c r="V26" s="24">
        <f t="shared" si="31"/>
        <v>5</v>
      </c>
      <c r="W26" s="24">
        <f t="shared" si="32"/>
        <v>3</v>
      </c>
      <c r="X26" s="28">
        <f t="shared" si="33"/>
        <v>1</v>
      </c>
      <c r="Y26" s="24">
        <v>1.0</v>
      </c>
      <c r="Z26" s="27">
        <f t="shared" si="5"/>
        <v>1.066666667</v>
      </c>
      <c r="AA26" s="24">
        <f t="shared" si="34"/>
        <v>10</v>
      </c>
      <c r="AB26" s="2">
        <f t="shared" si="35"/>
        <v>4</v>
      </c>
      <c r="AC26" s="24">
        <f t="shared" si="36"/>
        <v>1</v>
      </c>
      <c r="AD26" s="24">
        <f t="shared" si="37"/>
        <v>11</v>
      </c>
      <c r="AE26" s="24">
        <f t="shared" si="38"/>
        <v>4</v>
      </c>
      <c r="AF26" s="24">
        <f t="shared" si="39"/>
        <v>4</v>
      </c>
      <c r="AG26" s="24">
        <f t="shared" si="40"/>
        <v>7</v>
      </c>
      <c r="AH26" s="24">
        <f t="shared" si="41"/>
        <v>3</v>
      </c>
      <c r="AI26" s="28">
        <f t="shared" si="42"/>
        <v>1</v>
      </c>
      <c r="AJ26" s="24">
        <v>1.0</v>
      </c>
      <c r="AK26" s="27">
        <f t="shared" si="6"/>
        <v>2</v>
      </c>
      <c r="AL26" s="24">
        <f t="shared" si="43"/>
        <v>9</v>
      </c>
      <c r="AM26" s="2">
        <f t="shared" si="44"/>
        <v>8</v>
      </c>
      <c r="AN26" s="24">
        <f t="shared" si="45"/>
        <v>4</v>
      </c>
      <c r="AO26" s="24">
        <f t="shared" si="46"/>
        <v>13</v>
      </c>
      <c r="AP26" s="24">
        <f t="shared" si="47"/>
        <v>8</v>
      </c>
      <c r="AQ26" s="24">
        <f t="shared" si="48"/>
        <v>1</v>
      </c>
      <c r="AR26" s="24">
        <f t="shared" si="49"/>
        <v>5</v>
      </c>
      <c r="AS26" s="24">
        <f t="shared" si="50"/>
        <v>4</v>
      </c>
      <c r="AT26" s="28">
        <f t="shared" si="51"/>
        <v>4</v>
      </c>
      <c r="AU26" s="24">
        <v>1.0</v>
      </c>
      <c r="AV26" s="27">
        <f t="shared" si="7"/>
        <v>1.133333333</v>
      </c>
      <c r="AW26" s="24">
        <f t="shared" si="52"/>
        <v>5</v>
      </c>
      <c r="AX26" s="2">
        <f t="shared" si="53"/>
        <v>4</v>
      </c>
      <c r="AY26" s="24">
        <f t="shared" si="54"/>
        <v>3</v>
      </c>
      <c r="AZ26" s="24">
        <f t="shared" si="55"/>
        <v>7</v>
      </c>
      <c r="BA26" s="24">
        <f t="shared" si="56"/>
        <v>5</v>
      </c>
      <c r="BB26" s="24">
        <f t="shared" si="57"/>
        <v>7</v>
      </c>
      <c r="BC26" s="24">
        <f t="shared" si="58"/>
        <v>3</v>
      </c>
      <c r="BD26" s="24">
        <f t="shared" si="59"/>
        <v>2</v>
      </c>
      <c r="BE26" s="28">
        <f t="shared" si="60"/>
        <v>2</v>
      </c>
      <c r="BF26" s="29">
        <f t="shared" ref="BF26:BO26" si="86">+(AK26+Z26+O26+D26)/4</f>
        <v>1.683333333</v>
      </c>
      <c r="BG26" s="24">
        <f t="shared" si="86"/>
        <v>8</v>
      </c>
      <c r="BH26" s="24">
        <f t="shared" si="86"/>
        <v>5.5</v>
      </c>
      <c r="BI26" s="24">
        <f t="shared" si="86"/>
        <v>3.5</v>
      </c>
      <c r="BJ26" s="24">
        <f t="shared" si="86"/>
        <v>10.5</v>
      </c>
      <c r="BK26" s="24">
        <f t="shared" si="86"/>
        <v>6.5</v>
      </c>
      <c r="BL26" s="24">
        <f t="shared" si="86"/>
        <v>3</v>
      </c>
      <c r="BM26" s="24">
        <f t="shared" si="86"/>
        <v>5</v>
      </c>
      <c r="BN26" s="24">
        <f t="shared" si="86"/>
        <v>3</v>
      </c>
      <c r="BO26" s="61">
        <f t="shared" si="86"/>
        <v>2.5</v>
      </c>
      <c r="BP26" s="30">
        <f t="shared" si="9"/>
        <v>-0.55</v>
      </c>
      <c r="BQ26" s="31">
        <f t="shared" si="62"/>
        <v>0.4666666667</v>
      </c>
      <c r="BR26" s="31">
        <f t="shared" si="10"/>
        <v>0.2</v>
      </c>
      <c r="BS26" s="31">
        <f t="shared" si="11"/>
        <v>0.1333333333</v>
      </c>
      <c r="BT26" s="31">
        <f t="shared" si="12"/>
        <v>0.1333333333</v>
      </c>
      <c r="BU26" s="31">
        <f t="shared" si="13"/>
        <v>0.06666666667</v>
      </c>
      <c r="BV26" s="31">
        <f t="shared" si="14"/>
        <v>0.5333333333</v>
      </c>
      <c r="BW26" s="31">
        <f t="shared" ref="BW26:BX26" si="87">+BR26+BS26+BT26</f>
        <v>0.4666666667</v>
      </c>
      <c r="BX26" s="32">
        <f t="shared" si="87"/>
        <v>0.3333333333</v>
      </c>
    </row>
    <row r="27">
      <c r="B27" s="33">
        <v>16.0</v>
      </c>
      <c r="C27" s="2">
        <v>3.0</v>
      </c>
      <c r="D27" s="3">
        <f t="shared" si="3"/>
        <v>2</v>
      </c>
      <c r="E27" s="2">
        <f t="shared" si="16"/>
        <v>5</v>
      </c>
      <c r="F27" s="2">
        <f t="shared" si="17"/>
        <v>7</v>
      </c>
      <c r="G27" s="2">
        <f t="shared" si="18"/>
        <v>6</v>
      </c>
      <c r="H27" s="2">
        <f t="shared" si="19"/>
        <v>10</v>
      </c>
      <c r="I27" s="2">
        <f t="shared" si="20"/>
        <v>8</v>
      </c>
      <c r="J27" s="2">
        <f t="shared" si="21"/>
        <v>4</v>
      </c>
      <c r="K27" s="2">
        <f t="shared" si="22"/>
        <v>3</v>
      </c>
      <c r="L27" s="2">
        <f t="shared" si="23"/>
        <v>2</v>
      </c>
      <c r="M27" s="34">
        <f t="shared" si="24"/>
        <v>5</v>
      </c>
      <c r="N27" s="2">
        <v>1.0</v>
      </c>
      <c r="O27" s="3">
        <f t="shared" si="4"/>
        <v>1.6875</v>
      </c>
      <c r="P27" s="2">
        <f t="shared" si="25"/>
        <v>9</v>
      </c>
      <c r="Q27" s="2">
        <f t="shared" si="26"/>
        <v>4</v>
      </c>
      <c r="R27" s="2">
        <f t="shared" si="27"/>
        <v>4</v>
      </c>
      <c r="S27" s="2">
        <f t="shared" si="28"/>
        <v>10</v>
      </c>
      <c r="T27" s="2">
        <f t="shared" si="29"/>
        <v>7</v>
      </c>
      <c r="U27" s="2">
        <f t="shared" si="30"/>
        <v>3</v>
      </c>
      <c r="V27" s="2">
        <f t="shared" si="31"/>
        <v>6</v>
      </c>
      <c r="W27" s="2">
        <f t="shared" si="32"/>
        <v>3</v>
      </c>
      <c r="X27" s="34">
        <f t="shared" si="33"/>
        <v>1</v>
      </c>
      <c r="Y27" s="2">
        <v>0.0</v>
      </c>
      <c r="Z27" s="3">
        <f t="shared" si="5"/>
        <v>1</v>
      </c>
      <c r="AA27" s="2">
        <f t="shared" si="34"/>
        <v>10</v>
      </c>
      <c r="AB27" s="2">
        <f t="shared" si="35"/>
        <v>4</v>
      </c>
      <c r="AC27" s="2">
        <f t="shared" si="36"/>
        <v>1</v>
      </c>
      <c r="AD27" s="2">
        <f t="shared" si="37"/>
        <v>11</v>
      </c>
      <c r="AE27" s="2">
        <f t="shared" si="38"/>
        <v>4</v>
      </c>
      <c r="AF27" s="2">
        <f t="shared" si="39"/>
        <v>5</v>
      </c>
      <c r="AG27" s="2">
        <f t="shared" si="40"/>
        <v>7</v>
      </c>
      <c r="AH27" s="2">
        <f t="shared" si="41"/>
        <v>3</v>
      </c>
      <c r="AI27" s="34">
        <f t="shared" si="42"/>
        <v>1</v>
      </c>
      <c r="AJ27" s="2">
        <v>0.0</v>
      </c>
      <c r="AK27" s="3">
        <f t="shared" si="6"/>
        <v>1.875</v>
      </c>
      <c r="AL27" s="2">
        <f t="shared" si="43"/>
        <v>9</v>
      </c>
      <c r="AM27" s="2">
        <f t="shared" si="44"/>
        <v>8</v>
      </c>
      <c r="AN27" s="2">
        <f t="shared" si="45"/>
        <v>4</v>
      </c>
      <c r="AO27" s="2">
        <f t="shared" si="46"/>
        <v>13</v>
      </c>
      <c r="AP27" s="2">
        <f t="shared" si="47"/>
        <v>8</v>
      </c>
      <c r="AQ27" s="2">
        <f t="shared" si="48"/>
        <v>2</v>
      </c>
      <c r="AR27" s="2">
        <f t="shared" si="49"/>
        <v>5</v>
      </c>
      <c r="AS27" s="2">
        <f t="shared" si="50"/>
        <v>4</v>
      </c>
      <c r="AT27" s="34">
        <f t="shared" si="51"/>
        <v>4</v>
      </c>
      <c r="AU27" s="2">
        <v>0.0</v>
      </c>
      <c r="AV27" s="3">
        <f t="shared" si="7"/>
        <v>1.0625</v>
      </c>
      <c r="AW27" s="2">
        <f t="shared" si="52"/>
        <v>5</v>
      </c>
      <c r="AX27" s="2">
        <f t="shared" si="53"/>
        <v>4</v>
      </c>
      <c r="AY27" s="2">
        <f t="shared" si="54"/>
        <v>3</v>
      </c>
      <c r="AZ27" s="2">
        <f t="shared" si="55"/>
        <v>7</v>
      </c>
      <c r="BA27" s="2">
        <f t="shared" si="56"/>
        <v>5</v>
      </c>
      <c r="BB27" s="2">
        <f t="shared" si="57"/>
        <v>8</v>
      </c>
      <c r="BC27" s="2">
        <f t="shared" si="58"/>
        <v>3</v>
      </c>
      <c r="BD27" s="2">
        <f t="shared" si="59"/>
        <v>2</v>
      </c>
      <c r="BE27" s="34">
        <f t="shared" si="60"/>
        <v>2</v>
      </c>
      <c r="BF27" s="36">
        <f t="shared" ref="BF27:BO27" si="88">+(AK27+Z27+O27+D27)/4</f>
        <v>1.640625</v>
      </c>
      <c r="BG27" s="2">
        <f t="shared" si="88"/>
        <v>8.25</v>
      </c>
      <c r="BH27" s="2">
        <f t="shared" si="88"/>
        <v>5.75</v>
      </c>
      <c r="BI27" s="2">
        <f t="shared" si="88"/>
        <v>3.75</v>
      </c>
      <c r="BJ27" s="2">
        <f t="shared" si="88"/>
        <v>11</v>
      </c>
      <c r="BK27" s="2">
        <f t="shared" si="88"/>
        <v>6.75</v>
      </c>
      <c r="BL27" s="2">
        <f t="shared" si="88"/>
        <v>3.5</v>
      </c>
      <c r="BM27" s="2">
        <f t="shared" si="88"/>
        <v>5.25</v>
      </c>
      <c r="BN27" s="2">
        <f t="shared" si="88"/>
        <v>3</v>
      </c>
      <c r="BO27" s="62">
        <f t="shared" si="88"/>
        <v>2.75</v>
      </c>
      <c r="BP27" s="37">
        <f t="shared" si="9"/>
        <v>-0.578125</v>
      </c>
      <c r="BQ27" s="38">
        <f t="shared" si="62"/>
        <v>0.5</v>
      </c>
      <c r="BR27" s="38">
        <f t="shared" si="10"/>
        <v>0.1875</v>
      </c>
      <c r="BS27" s="38">
        <f t="shared" si="11"/>
        <v>0.125</v>
      </c>
      <c r="BT27" s="38">
        <f t="shared" si="12"/>
        <v>0.125</v>
      </c>
      <c r="BU27" s="38">
        <f t="shared" si="13"/>
        <v>0.0625</v>
      </c>
      <c r="BV27" s="38">
        <f t="shared" si="14"/>
        <v>0.5</v>
      </c>
      <c r="BW27" s="38">
        <f t="shared" ref="BW27:BX27" si="89">+BR27+BS27+BT27</f>
        <v>0.4375</v>
      </c>
      <c r="BX27" s="39">
        <f t="shared" si="89"/>
        <v>0.3125</v>
      </c>
    </row>
    <row r="28" ht="15.75" customHeight="1">
      <c r="A28" s="60"/>
      <c r="B28" s="40">
        <v>17.0</v>
      </c>
      <c r="C28" s="24">
        <v>1.0</v>
      </c>
      <c r="D28" s="27">
        <f t="shared" si="3"/>
        <v>1.941176471</v>
      </c>
      <c r="E28" s="24">
        <f t="shared" si="16"/>
        <v>6</v>
      </c>
      <c r="F28" s="2">
        <f t="shared" si="17"/>
        <v>7</v>
      </c>
      <c r="G28" s="24">
        <f t="shared" si="18"/>
        <v>6</v>
      </c>
      <c r="H28" s="24">
        <f t="shared" si="19"/>
        <v>11</v>
      </c>
      <c r="I28" s="24">
        <f t="shared" si="20"/>
        <v>8</v>
      </c>
      <c r="J28" s="24">
        <f t="shared" si="21"/>
        <v>4</v>
      </c>
      <c r="K28" s="24">
        <f t="shared" si="22"/>
        <v>4</v>
      </c>
      <c r="L28" s="24">
        <f t="shared" si="23"/>
        <v>2</v>
      </c>
      <c r="M28" s="28">
        <f t="shared" si="24"/>
        <v>5</v>
      </c>
      <c r="N28" s="24">
        <v>2.0</v>
      </c>
      <c r="O28" s="27">
        <f t="shared" si="4"/>
        <v>1.705882353</v>
      </c>
      <c r="P28" s="24">
        <f t="shared" si="25"/>
        <v>10</v>
      </c>
      <c r="Q28" s="2">
        <f t="shared" si="26"/>
        <v>5</v>
      </c>
      <c r="R28" s="24">
        <f t="shared" si="27"/>
        <v>4</v>
      </c>
      <c r="S28" s="24">
        <f t="shared" si="28"/>
        <v>11</v>
      </c>
      <c r="T28" s="24">
        <f t="shared" si="29"/>
        <v>8</v>
      </c>
      <c r="U28" s="24">
        <f t="shared" si="30"/>
        <v>3</v>
      </c>
      <c r="V28" s="24">
        <f t="shared" si="31"/>
        <v>6</v>
      </c>
      <c r="W28" s="24">
        <f t="shared" si="32"/>
        <v>4</v>
      </c>
      <c r="X28" s="28">
        <f t="shared" si="33"/>
        <v>1</v>
      </c>
      <c r="Y28" s="24">
        <v>2.0</v>
      </c>
      <c r="Z28" s="27">
        <f t="shared" si="5"/>
        <v>1.058823529</v>
      </c>
      <c r="AA28" s="24">
        <f t="shared" si="34"/>
        <v>11</v>
      </c>
      <c r="AB28" s="2">
        <f t="shared" si="35"/>
        <v>5</v>
      </c>
      <c r="AC28" s="24">
        <f t="shared" si="36"/>
        <v>1</v>
      </c>
      <c r="AD28" s="24">
        <f t="shared" si="37"/>
        <v>12</v>
      </c>
      <c r="AE28" s="24">
        <f t="shared" si="38"/>
        <v>5</v>
      </c>
      <c r="AF28" s="24">
        <f t="shared" si="39"/>
        <v>5</v>
      </c>
      <c r="AG28" s="24">
        <f t="shared" si="40"/>
        <v>7</v>
      </c>
      <c r="AH28" s="24">
        <f t="shared" si="41"/>
        <v>4</v>
      </c>
      <c r="AI28" s="28">
        <f t="shared" si="42"/>
        <v>1</v>
      </c>
      <c r="AJ28" s="24">
        <v>2.0</v>
      </c>
      <c r="AK28" s="27">
        <f t="shared" si="6"/>
        <v>1.882352941</v>
      </c>
      <c r="AL28" s="24">
        <f t="shared" si="43"/>
        <v>10</v>
      </c>
      <c r="AM28" s="2">
        <f t="shared" si="44"/>
        <v>9</v>
      </c>
      <c r="AN28" s="24">
        <f t="shared" si="45"/>
        <v>4</v>
      </c>
      <c r="AO28" s="24">
        <f t="shared" si="46"/>
        <v>14</v>
      </c>
      <c r="AP28" s="24">
        <f t="shared" si="47"/>
        <v>9</v>
      </c>
      <c r="AQ28" s="24">
        <f t="shared" si="48"/>
        <v>2</v>
      </c>
      <c r="AR28" s="24">
        <f t="shared" si="49"/>
        <v>5</v>
      </c>
      <c r="AS28" s="24">
        <f t="shared" si="50"/>
        <v>5</v>
      </c>
      <c r="AT28" s="28">
        <f t="shared" si="51"/>
        <v>4</v>
      </c>
      <c r="AU28" s="41">
        <v>1.0</v>
      </c>
      <c r="AV28" s="27">
        <f t="shared" si="7"/>
        <v>1.058823529</v>
      </c>
      <c r="AW28" s="24">
        <f t="shared" si="52"/>
        <v>6</v>
      </c>
      <c r="AX28" s="2">
        <f t="shared" si="53"/>
        <v>4</v>
      </c>
      <c r="AY28" s="24">
        <f t="shared" si="54"/>
        <v>3</v>
      </c>
      <c r="AZ28" s="24">
        <f t="shared" si="55"/>
        <v>8</v>
      </c>
      <c r="BA28" s="24">
        <f t="shared" si="56"/>
        <v>5</v>
      </c>
      <c r="BB28" s="24">
        <f t="shared" si="57"/>
        <v>8</v>
      </c>
      <c r="BC28" s="24">
        <f t="shared" si="58"/>
        <v>4</v>
      </c>
      <c r="BD28" s="24">
        <f t="shared" si="59"/>
        <v>2</v>
      </c>
      <c r="BE28" s="28">
        <f t="shared" si="60"/>
        <v>2</v>
      </c>
      <c r="BF28" s="29">
        <f t="shared" ref="BF28:BO28" si="90">+(AK28+Z28+O28+D28)/4</f>
        <v>1.647058824</v>
      </c>
      <c r="BG28" s="24">
        <f t="shared" si="90"/>
        <v>9.25</v>
      </c>
      <c r="BH28" s="24">
        <f t="shared" si="90"/>
        <v>6.5</v>
      </c>
      <c r="BI28" s="24">
        <f t="shared" si="90"/>
        <v>3.75</v>
      </c>
      <c r="BJ28" s="24">
        <f t="shared" si="90"/>
        <v>12</v>
      </c>
      <c r="BK28" s="24">
        <f t="shared" si="90"/>
        <v>7.5</v>
      </c>
      <c r="BL28" s="24">
        <f t="shared" si="90"/>
        <v>3.5</v>
      </c>
      <c r="BM28" s="24">
        <f t="shared" si="90"/>
        <v>5.5</v>
      </c>
      <c r="BN28" s="24">
        <f t="shared" si="90"/>
        <v>3.75</v>
      </c>
      <c r="BO28" s="61">
        <f t="shared" si="90"/>
        <v>2.75</v>
      </c>
      <c r="BP28" s="30">
        <f t="shared" si="9"/>
        <v>-0.5882352941</v>
      </c>
      <c r="BQ28" s="31">
        <f t="shared" si="62"/>
        <v>0.4705882353</v>
      </c>
      <c r="BR28" s="31">
        <f t="shared" si="10"/>
        <v>0.2352941176</v>
      </c>
      <c r="BS28" s="31">
        <f t="shared" si="11"/>
        <v>0.1176470588</v>
      </c>
      <c r="BT28" s="31">
        <f t="shared" si="12"/>
        <v>0.1176470588</v>
      </c>
      <c r="BU28" s="31">
        <f t="shared" si="13"/>
        <v>0.05882352941</v>
      </c>
      <c r="BV28" s="31">
        <f t="shared" si="14"/>
        <v>0.5294117647</v>
      </c>
      <c r="BW28" s="31">
        <f t="shared" ref="BW28:BX28" si="91">+BR28+BS28+BT28</f>
        <v>0.4705882353</v>
      </c>
      <c r="BX28" s="32">
        <f t="shared" si="91"/>
        <v>0.2941176471</v>
      </c>
    </row>
    <row r="29" ht="15.75" customHeight="1">
      <c r="B29" s="33">
        <v>18.0</v>
      </c>
      <c r="C29" s="2">
        <v>3.0</v>
      </c>
      <c r="D29" s="3">
        <f t="shared" si="3"/>
        <v>2</v>
      </c>
      <c r="E29" s="2">
        <f t="shared" si="16"/>
        <v>6</v>
      </c>
      <c r="F29" s="2">
        <f t="shared" si="17"/>
        <v>8</v>
      </c>
      <c r="G29" s="2">
        <f t="shared" si="18"/>
        <v>7</v>
      </c>
      <c r="H29" s="2">
        <f t="shared" si="19"/>
        <v>12</v>
      </c>
      <c r="I29" s="2">
        <f t="shared" si="20"/>
        <v>9</v>
      </c>
      <c r="J29" s="2">
        <f t="shared" si="21"/>
        <v>4</v>
      </c>
      <c r="K29" s="2">
        <f t="shared" si="22"/>
        <v>4</v>
      </c>
      <c r="L29" s="2">
        <f t="shared" si="23"/>
        <v>2</v>
      </c>
      <c r="M29" s="34">
        <f t="shared" si="24"/>
        <v>6</v>
      </c>
      <c r="N29" s="2">
        <v>2.0</v>
      </c>
      <c r="O29" s="3">
        <f t="shared" si="4"/>
        <v>1.722222222</v>
      </c>
      <c r="P29" s="2">
        <f t="shared" si="25"/>
        <v>11</v>
      </c>
      <c r="Q29" s="2">
        <f t="shared" si="26"/>
        <v>6</v>
      </c>
      <c r="R29" s="2">
        <f t="shared" si="27"/>
        <v>4</v>
      </c>
      <c r="S29" s="2">
        <f t="shared" si="28"/>
        <v>12</v>
      </c>
      <c r="T29" s="2">
        <f t="shared" si="29"/>
        <v>9</v>
      </c>
      <c r="U29" s="2">
        <f t="shared" si="30"/>
        <v>3</v>
      </c>
      <c r="V29" s="2">
        <f t="shared" si="31"/>
        <v>6</v>
      </c>
      <c r="W29" s="2">
        <f t="shared" si="32"/>
        <v>5</v>
      </c>
      <c r="X29" s="34">
        <f t="shared" si="33"/>
        <v>1</v>
      </c>
      <c r="Y29" s="2">
        <v>3.0</v>
      </c>
      <c r="Z29" s="3">
        <f t="shared" si="5"/>
        <v>1.166666667</v>
      </c>
      <c r="AA29" s="2">
        <f t="shared" si="34"/>
        <v>11</v>
      </c>
      <c r="AB29" s="2">
        <f t="shared" si="35"/>
        <v>6</v>
      </c>
      <c r="AC29" s="2">
        <f t="shared" si="36"/>
        <v>2</v>
      </c>
      <c r="AD29" s="2">
        <f t="shared" si="37"/>
        <v>13</v>
      </c>
      <c r="AE29" s="2">
        <f t="shared" si="38"/>
        <v>6</v>
      </c>
      <c r="AF29" s="2">
        <f t="shared" si="39"/>
        <v>5</v>
      </c>
      <c r="AG29" s="2">
        <f t="shared" si="40"/>
        <v>7</v>
      </c>
      <c r="AH29" s="2">
        <f t="shared" si="41"/>
        <v>4</v>
      </c>
      <c r="AI29" s="34">
        <f t="shared" si="42"/>
        <v>2</v>
      </c>
      <c r="AJ29" s="2">
        <v>1.0</v>
      </c>
      <c r="AK29" s="3">
        <f t="shared" si="6"/>
        <v>1.833333333</v>
      </c>
      <c r="AL29" s="2">
        <f t="shared" si="43"/>
        <v>11</v>
      </c>
      <c r="AM29" s="2">
        <f t="shared" si="44"/>
        <v>9</v>
      </c>
      <c r="AN29" s="2">
        <f t="shared" si="45"/>
        <v>4</v>
      </c>
      <c r="AO29" s="2">
        <f t="shared" si="46"/>
        <v>15</v>
      </c>
      <c r="AP29" s="2">
        <f t="shared" si="47"/>
        <v>9</v>
      </c>
      <c r="AQ29" s="2">
        <f t="shared" si="48"/>
        <v>2</v>
      </c>
      <c r="AR29" s="2">
        <f t="shared" si="49"/>
        <v>6</v>
      </c>
      <c r="AS29" s="2">
        <f t="shared" si="50"/>
        <v>5</v>
      </c>
      <c r="AT29" s="34">
        <f t="shared" si="51"/>
        <v>4</v>
      </c>
      <c r="AU29" s="47">
        <v>0.0</v>
      </c>
      <c r="AV29" s="3">
        <f t="shared" si="7"/>
        <v>1</v>
      </c>
      <c r="AW29" s="2">
        <f t="shared" si="52"/>
        <v>6</v>
      </c>
      <c r="AX29" s="2">
        <f t="shared" si="53"/>
        <v>4</v>
      </c>
      <c r="AY29" s="2">
        <f t="shared" si="54"/>
        <v>3</v>
      </c>
      <c r="AZ29" s="2">
        <f t="shared" si="55"/>
        <v>8</v>
      </c>
      <c r="BA29" s="2">
        <f t="shared" si="56"/>
        <v>5</v>
      </c>
      <c r="BB29" s="2">
        <f t="shared" si="57"/>
        <v>9</v>
      </c>
      <c r="BC29" s="2">
        <f t="shared" si="58"/>
        <v>4</v>
      </c>
      <c r="BD29" s="2">
        <f t="shared" si="59"/>
        <v>2</v>
      </c>
      <c r="BE29" s="34">
        <f t="shared" si="60"/>
        <v>2</v>
      </c>
      <c r="BF29" s="36">
        <f t="shared" ref="BF29:BO29" si="92">+(AK29+Z29+O29+D29)/4</f>
        <v>1.680555556</v>
      </c>
      <c r="BG29" s="2">
        <f t="shared" si="92"/>
        <v>9.75</v>
      </c>
      <c r="BH29" s="2">
        <f t="shared" si="92"/>
        <v>7.25</v>
      </c>
      <c r="BI29" s="2">
        <f t="shared" si="92"/>
        <v>4.25</v>
      </c>
      <c r="BJ29" s="2">
        <f t="shared" si="92"/>
        <v>13</v>
      </c>
      <c r="BK29" s="2">
        <f t="shared" si="92"/>
        <v>8.25</v>
      </c>
      <c r="BL29" s="2">
        <f t="shared" si="92"/>
        <v>3.5</v>
      </c>
      <c r="BM29" s="2">
        <f t="shared" si="92"/>
        <v>5.75</v>
      </c>
      <c r="BN29" s="2">
        <f t="shared" si="92"/>
        <v>4</v>
      </c>
      <c r="BO29" s="62">
        <f t="shared" si="92"/>
        <v>3.25</v>
      </c>
      <c r="BP29" s="37">
        <f t="shared" si="9"/>
        <v>-0.6805555556</v>
      </c>
      <c r="BQ29" s="38">
        <f t="shared" si="62"/>
        <v>0.5</v>
      </c>
      <c r="BR29" s="38">
        <f t="shared" si="10"/>
        <v>0.2222222222</v>
      </c>
      <c r="BS29" s="38">
        <f t="shared" si="11"/>
        <v>0.1111111111</v>
      </c>
      <c r="BT29" s="38">
        <f t="shared" si="12"/>
        <v>0.1111111111</v>
      </c>
      <c r="BU29" s="38">
        <f t="shared" si="13"/>
        <v>0.05555555556</v>
      </c>
      <c r="BV29" s="38">
        <f t="shared" si="14"/>
        <v>0.5</v>
      </c>
      <c r="BW29" s="38">
        <f t="shared" ref="BW29:BX29" si="93">+BR29+BS29+BT29</f>
        <v>0.4444444444</v>
      </c>
      <c r="BX29" s="39">
        <f t="shared" si="93"/>
        <v>0.2777777778</v>
      </c>
    </row>
    <row r="30" ht="15.75" customHeight="1">
      <c r="A30" s="60"/>
      <c r="B30" s="40">
        <v>19.0</v>
      </c>
      <c r="C30" s="24">
        <v>3.0</v>
      </c>
      <c r="D30" s="27">
        <f t="shared" si="3"/>
        <v>2.052631579</v>
      </c>
      <c r="E30" s="24">
        <f t="shared" si="16"/>
        <v>6</v>
      </c>
      <c r="F30" s="2">
        <f t="shared" si="17"/>
        <v>9</v>
      </c>
      <c r="G30" s="24">
        <f t="shared" si="18"/>
        <v>8</v>
      </c>
      <c r="H30" s="24">
        <f t="shared" si="19"/>
        <v>13</v>
      </c>
      <c r="I30" s="24">
        <f t="shared" si="20"/>
        <v>10</v>
      </c>
      <c r="J30" s="24">
        <f t="shared" si="21"/>
        <v>4</v>
      </c>
      <c r="K30" s="24">
        <f t="shared" si="22"/>
        <v>4</v>
      </c>
      <c r="L30" s="24">
        <f t="shared" si="23"/>
        <v>2</v>
      </c>
      <c r="M30" s="28">
        <f t="shared" si="24"/>
        <v>7</v>
      </c>
      <c r="N30" s="24">
        <v>4.0</v>
      </c>
      <c r="O30" s="27">
        <f t="shared" si="4"/>
        <v>1.842105263</v>
      </c>
      <c r="P30" s="24">
        <f t="shared" si="25"/>
        <v>11</v>
      </c>
      <c r="Q30" s="2">
        <f t="shared" si="26"/>
        <v>6</v>
      </c>
      <c r="R30" s="24">
        <f t="shared" si="27"/>
        <v>5</v>
      </c>
      <c r="S30" s="24">
        <f t="shared" si="28"/>
        <v>12</v>
      </c>
      <c r="T30" s="24">
        <f t="shared" si="29"/>
        <v>10</v>
      </c>
      <c r="U30" s="24">
        <f t="shared" si="30"/>
        <v>3</v>
      </c>
      <c r="V30" s="24">
        <f t="shared" si="31"/>
        <v>6</v>
      </c>
      <c r="W30" s="24">
        <f t="shared" si="32"/>
        <v>5</v>
      </c>
      <c r="X30" s="28">
        <f t="shared" si="33"/>
        <v>1</v>
      </c>
      <c r="Y30" s="24">
        <v>2.0</v>
      </c>
      <c r="Z30" s="27">
        <f t="shared" si="5"/>
        <v>1.210526316</v>
      </c>
      <c r="AA30" s="24">
        <f t="shared" si="34"/>
        <v>12</v>
      </c>
      <c r="AB30" s="2">
        <f t="shared" si="35"/>
        <v>7</v>
      </c>
      <c r="AC30" s="24">
        <f t="shared" si="36"/>
        <v>2</v>
      </c>
      <c r="AD30" s="24">
        <f t="shared" si="37"/>
        <v>14</v>
      </c>
      <c r="AE30" s="24">
        <f t="shared" si="38"/>
        <v>7</v>
      </c>
      <c r="AF30" s="24">
        <f t="shared" si="39"/>
        <v>5</v>
      </c>
      <c r="AG30" s="24">
        <f t="shared" si="40"/>
        <v>7</v>
      </c>
      <c r="AH30" s="24">
        <f t="shared" si="41"/>
        <v>5</v>
      </c>
      <c r="AI30" s="28">
        <f t="shared" si="42"/>
        <v>2</v>
      </c>
      <c r="AJ30" s="24">
        <v>0.0</v>
      </c>
      <c r="AK30" s="27">
        <f t="shared" si="6"/>
        <v>1.736842105</v>
      </c>
      <c r="AL30" s="24">
        <f t="shared" si="43"/>
        <v>11</v>
      </c>
      <c r="AM30" s="2">
        <f t="shared" si="44"/>
        <v>9</v>
      </c>
      <c r="AN30" s="24">
        <f t="shared" si="45"/>
        <v>4</v>
      </c>
      <c r="AO30" s="24">
        <f t="shared" si="46"/>
        <v>15</v>
      </c>
      <c r="AP30" s="24">
        <f t="shared" si="47"/>
        <v>9</v>
      </c>
      <c r="AQ30" s="24">
        <f t="shared" si="48"/>
        <v>3</v>
      </c>
      <c r="AR30" s="24">
        <f t="shared" si="49"/>
        <v>6</v>
      </c>
      <c r="AS30" s="24">
        <f t="shared" si="50"/>
        <v>5</v>
      </c>
      <c r="AT30" s="28">
        <f t="shared" si="51"/>
        <v>4</v>
      </c>
      <c r="AU30" s="24"/>
      <c r="AV30" s="27">
        <f t="shared" si="7"/>
        <v>1</v>
      </c>
      <c r="AW30" s="24">
        <f t="shared" si="52"/>
        <v>6</v>
      </c>
      <c r="AX30" s="2">
        <f t="shared" si="53"/>
        <v>4</v>
      </c>
      <c r="AY30" s="24">
        <f t="shared" si="54"/>
        <v>3</v>
      </c>
      <c r="AZ30" s="24">
        <f t="shared" si="55"/>
        <v>8</v>
      </c>
      <c r="BA30" s="24">
        <f t="shared" si="56"/>
        <v>5</v>
      </c>
      <c r="BB30" s="24">
        <f t="shared" si="57"/>
        <v>10</v>
      </c>
      <c r="BC30" s="24">
        <f t="shared" si="58"/>
        <v>4</v>
      </c>
      <c r="BD30" s="24">
        <f t="shared" si="59"/>
        <v>2</v>
      </c>
      <c r="BE30" s="28">
        <f t="shared" si="60"/>
        <v>2</v>
      </c>
      <c r="BF30" s="29">
        <f t="shared" ref="BF30:BO30" si="94">+(AK30+Z30+O30+D30)/4</f>
        <v>1.710526316</v>
      </c>
      <c r="BG30" s="24">
        <f t="shared" si="94"/>
        <v>10</v>
      </c>
      <c r="BH30" s="24">
        <f t="shared" si="94"/>
        <v>7.75</v>
      </c>
      <c r="BI30" s="24">
        <f t="shared" si="94"/>
        <v>4.75</v>
      </c>
      <c r="BJ30" s="24">
        <f t="shared" si="94"/>
        <v>13.5</v>
      </c>
      <c r="BK30" s="24">
        <f t="shared" si="94"/>
        <v>9</v>
      </c>
      <c r="BL30" s="24">
        <f t="shared" si="94"/>
        <v>3.75</v>
      </c>
      <c r="BM30" s="24">
        <f t="shared" si="94"/>
        <v>5.75</v>
      </c>
      <c r="BN30" s="24">
        <f t="shared" si="94"/>
        <v>4.25</v>
      </c>
      <c r="BO30" s="61">
        <f t="shared" si="94"/>
        <v>3.5</v>
      </c>
      <c r="BP30" s="30">
        <f t="shared" si="9"/>
        <v>-0.7105263158</v>
      </c>
      <c r="BQ30" s="31">
        <f t="shared" si="62"/>
        <v>0.4736842105</v>
      </c>
      <c r="BR30" s="31">
        <f t="shared" si="10"/>
        <v>0.2105263158</v>
      </c>
      <c r="BS30" s="31">
        <f t="shared" si="11"/>
        <v>0.1052631579</v>
      </c>
      <c r="BT30" s="31">
        <f t="shared" si="12"/>
        <v>0.1052631579</v>
      </c>
      <c r="BU30" s="31">
        <f t="shared" si="13"/>
        <v>0.05263157895</v>
      </c>
      <c r="BV30" s="31">
        <f t="shared" si="14"/>
        <v>0.5263157895</v>
      </c>
      <c r="BW30" s="31">
        <f t="shared" ref="BW30:BX30" si="95">+BR30+BS30+BT30</f>
        <v>0.4210526316</v>
      </c>
      <c r="BX30" s="32">
        <f t="shared" si="95"/>
        <v>0.2631578947</v>
      </c>
    </row>
    <row r="31" ht="15.75" customHeight="1">
      <c r="B31" s="33">
        <v>20.0</v>
      </c>
      <c r="C31" s="2">
        <v>3.0</v>
      </c>
      <c r="D31" s="3">
        <f t="shared" si="3"/>
        <v>2.1</v>
      </c>
      <c r="E31" s="2">
        <f t="shared" si="16"/>
        <v>6</v>
      </c>
      <c r="F31" s="2">
        <f t="shared" si="17"/>
        <v>10</v>
      </c>
      <c r="G31" s="2">
        <f t="shared" si="18"/>
        <v>9</v>
      </c>
      <c r="H31" s="2">
        <f t="shared" si="19"/>
        <v>14</v>
      </c>
      <c r="I31" s="2">
        <f t="shared" si="20"/>
        <v>11</v>
      </c>
      <c r="J31" s="2">
        <f t="shared" si="21"/>
        <v>4</v>
      </c>
      <c r="K31" s="2">
        <f t="shared" si="22"/>
        <v>4</v>
      </c>
      <c r="L31" s="2">
        <f t="shared" si="23"/>
        <v>2</v>
      </c>
      <c r="M31" s="34">
        <f t="shared" si="24"/>
        <v>8</v>
      </c>
      <c r="N31" s="2">
        <v>1.0</v>
      </c>
      <c r="O31" s="3">
        <f t="shared" si="4"/>
        <v>1.8</v>
      </c>
      <c r="P31" s="2">
        <f t="shared" si="25"/>
        <v>12</v>
      </c>
      <c r="Q31" s="2">
        <f t="shared" si="26"/>
        <v>6</v>
      </c>
      <c r="R31" s="2">
        <f t="shared" si="27"/>
        <v>5</v>
      </c>
      <c r="S31" s="2">
        <f t="shared" si="28"/>
        <v>13</v>
      </c>
      <c r="T31" s="2">
        <f t="shared" si="29"/>
        <v>10</v>
      </c>
      <c r="U31" s="2">
        <f t="shared" si="30"/>
        <v>3</v>
      </c>
      <c r="V31" s="2">
        <f t="shared" si="31"/>
        <v>7</v>
      </c>
      <c r="W31" s="2">
        <f t="shared" si="32"/>
        <v>5</v>
      </c>
      <c r="X31" s="34">
        <f t="shared" si="33"/>
        <v>1</v>
      </c>
      <c r="Y31" s="2">
        <v>1.0</v>
      </c>
      <c r="Z31" s="3">
        <f t="shared" si="5"/>
        <v>1.2</v>
      </c>
      <c r="AA31" s="2">
        <f t="shared" si="34"/>
        <v>13</v>
      </c>
      <c r="AB31" s="2">
        <f t="shared" si="35"/>
        <v>7</v>
      </c>
      <c r="AC31" s="2">
        <f t="shared" si="36"/>
        <v>2</v>
      </c>
      <c r="AD31" s="2">
        <f t="shared" si="37"/>
        <v>15</v>
      </c>
      <c r="AE31" s="2">
        <f t="shared" si="38"/>
        <v>7</v>
      </c>
      <c r="AF31" s="2">
        <f t="shared" si="39"/>
        <v>5</v>
      </c>
      <c r="AG31" s="2">
        <f t="shared" si="40"/>
        <v>8</v>
      </c>
      <c r="AH31" s="2">
        <f t="shared" si="41"/>
        <v>5</v>
      </c>
      <c r="AI31" s="34">
        <f t="shared" si="42"/>
        <v>2</v>
      </c>
      <c r="AJ31" s="2">
        <v>1.0</v>
      </c>
      <c r="AK31" s="3">
        <f t="shared" si="6"/>
        <v>1.7</v>
      </c>
      <c r="AL31" s="2">
        <f t="shared" si="43"/>
        <v>12</v>
      </c>
      <c r="AM31" s="2">
        <f t="shared" si="44"/>
        <v>9</v>
      </c>
      <c r="AN31" s="2">
        <f t="shared" si="45"/>
        <v>4</v>
      </c>
      <c r="AO31" s="2">
        <f t="shared" si="46"/>
        <v>16</v>
      </c>
      <c r="AP31" s="2">
        <f t="shared" si="47"/>
        <v>9</v>
      </c>
      <c r="AQ31" s="2">
        <f t="shared" si="48"/>
        <v>3</v>
      </c>
      <c r="AR31" s="2">
        <f t="shared" si="49"/>
        <v>7</v>
      </c>
      <c r="AS31" s="2">
        <f t="shared" si="50"/>
        <v>5</v>
      </c>
      <c r="AT31" s="34">
        <f t="shared" si="51"/>
        <v>4</v>
      </c>
      <c r="AU31" s="2"/>
      <c r="AV31" s="3">
        <f t="shared" si="7"/>
        <v>1</v>
      </c>
      <c r="AW31" s="2">
        <f t="shared" si="52"/>
        <v>6</v>
      </c>
      <c r="AX31" s="2">
        <f t="shared" si="53"/>
        <v>4</v>
      </c>
      <c r="AY31" s="2">
        <f t="shared" si="54"/>
        <v>3</v>
      </c>
      <c r="AZ31" s="2">
        <f t="shared" si="55"/>
        <v>8</v>
      </c>
      <c r="BA31" s="2">
        <f t="shared" si="56"/>
        <v>5</v>
      </c>
      <c r="BB31" s="2">
        <f t="shared" si="57"/>
        <v>11</v>
      </c>
      <c r="BC31" s="2">
        <f t="shared" si="58"/>
        <v>4</v>
      </c>
      <c r="BD31" s="2">
        <f t="shared" si="59"/>
        <v>2</v>
      </c>
      <c r="BE31" s="34">
        <f t="shared" si="60"/>
        <v>2</v>
      </c>
      <c r="BF31" s="36">
        <f t="shared" ref="BF31:BO31" si="96">+(AK31+Z31+O31+D31)/4</f>
        <v>1.7</v>
      </c>
      <c r="BG31" s="2">
        <f t="shared" si="96"/>
        <v>10.75</v>
      </c>
      <c r="BH31" s="2">
        <f t="shared" si="96"/>
        <v>8</v>
      </c>
      <c r="BI31" s="2">
        <f t="shared" si="96"/>
        <v>5</v>
      </c>
      <c r="BJ31" s="2">
        <f t="shared" si="96"/>
        <v>14.5</v>
      </c>
      <c r="BK31" s="2">
        <f t="shared" si="96"/>
        <v>9.25</v>
      </c>
      <c r="BL31" s="2">
        <f t="shared" si="96"/>
        <v>3.75</v>
      </c>
      <c r="BM31" s="2">
        <f t="shared" si="96"/>
        <v>6.5</v>
      </c>
      <c r="BN31" s="2">
        <f t="shared" si="96"/>
        <v>4.25</v>
      </c>
      <c r="BO31" s="62">
        <f t="shared" si="96"/>
        <v>3.75</v>
      </c>
      <c r="BP31" s="37">
        <f t="shared" si="9"/>
        <v>-0.7</v>
      </c>
      <c r="BQ31" s="38">
        <f t="shared" si="62"/>
        <v>0.45</v>
      </c>
      <c r="BR31" s="38">
        <f t="shared" si="10"/>
        <v>0.2</v>
      </c>
      <c r="BS31" s="38">
        <f t="shared" si="11"/>
        <v>0.1</v>
      </c>
      <c r="BT31" s="38">
        <f t="shared" si="12"/>
        <v>0.1</v>
      </c>
      <c r="BU31" s="38">
        <f t="shared" si="13"/>
        <v>0.05</v>
      </c>
      <c r="BV31" s="38">
        <f t="shared" si="14"/>
        <v>0.55</v>
      </c>
      <c r="BW31" s="38">
        <f t="shared" ref="BW31:BX31" si="97">+BR31+BS31+BT31</f>
        <v>0.4</v>
      </c>
      <c r="BX31" s="39">
        <f t="shared" si="97"/>
        <v>0.25</v>
      </c>
    </row>
    <row r="32" ht="15.75" customHeight="1">
      <c r="A32" s="60"/>
      <c r="B32" s="40">
        <v>21.0</v>
      </c>
      <c r="C32" s="24">
        <v>1.0</v>
      </c>
      <c r="D32" s="27">
        <f t="shared" si="3"/>
        <v>2.047619048</v>
      </c>
      <c r="E32" s="24">
        <f t="shared" si="16"/>
        <v>7</v>
      </c>
      <c r="F32" s="2">
        <f t="shared" si="17"/>
        <v>10</v>
      </c>
      <c r="G32" s="24">
        <f t="shared" si="18"/>
        <v>9</v>
      </c>
      <c r="H32" s="24">
        <f t="shared" si="19"/>
        <v>15</v>
      </c>
      <c r="I32" s="24">
        <f t="shared" si="20"/>
        <v>11</v>
      </c>
      <c r="J32" s="24">
        <f t="shared" si="21"/>
        <v>4</v>
      </c>
      <c r="K32" s="24">
        <f t="shared" si="22"/>
        <v>5</v>
      </c>
      <c r="L32" s="24">
        <f t="shared" si="23"/>
        <v>2</v>
      </c>
      <c r="M32" s="28">
        <f t="shared" si="24"/>
        <v>8</v>
      </c>
      <c r="N32" s="24">
        <v>1.0</v>
      </c>
      <c r="O32" s="27">
        <f t="shared" si="4"/>
        <v>1.761904762</v>
      </c>
      <c r="P32" s="24">
        <f t="shared" si="25"/>
        <v>13</v>
      </c>
      <c r="Q32" s="2">
        <f t="shared" si="26"/>
        <v>6</v>
      </c>
      <c r="R32" s="24">
        <f t="shared" si="27"/>
        <v>5</v>
      </c>
      <c r="S32" s="24">
        <f t="shared" si="28"/>
        <v>14</v>
      </c>
      <c r="T32" s="24">
        <f t="shared" si="29"/>
        <v>10</v>
      </c>
      <c r="U32" s="24">
        <f t="shared" si="30"/>
        <v>3</v>
      </c>
      <c r="V32" s="24">
        <f t="shared" si="31"/>
        <v>8</v>
      </c>
      <c r="W32" s="24">
        <f t="shared" si="32"/>
        <v>5</v>
      </c>
      <c r="X32" s="28">
        <f t="shared" si="33"/>
        <v>1</v>
      </c>
      <c r="Y32" s="24">
        <v>2.0</v>
      </c>
      <c r="Z32" s="27">
        <f t="shared" si="5"/>
        <v>1.238095238</v>
      </c>
      <c r="AA32" s="24">
        <f t="shared" si="34"/>
        <v>14</v>
      </c>
      <c r="AB32" s="2">
        <f t="shared" si="35"/>
        <v>8</v>
      </c>
      <c r="AC32" s="24">
        <f t="shared" si="36"/>
        <v>2</v>
      </c>
      <c r="AD32" s="24">
        <f t="shared" si="37"/>
        <v>16</v>
      </c>
      <c r="AE32" s="24">
        <f t="shared" si="38"/>
        <v>8</v>
      </c>
      <c r="AF32" s="24">
        <f t="shared" si="39"/>
        <v>5</v>
      </c>
      <c r="AG32" s="24">
        <f t="shared" si="40"/>
        <v>8</v>
      </c>
      <c r="AH32" s="24">
        <f t="shared" si="41"/>
        <v>6</v>
      </c>
      <c r="AI32" s="28">
        <f t="shared" si="42"/>
        <v>2</v>
      </c>
      <c r="AJ32" s="24">
        <v>3.0</v>
      </c>
      <c r="AK32" s="27">
        <f t="shared" si="6"/>
        <v>1.761904762</v>
      </c>
      <c r="AL32" s="24">
        <f t="shared" si="43"/>
        <v>12</v>
      </c>
      <c r="AM32" s="2">
        <f t="shared" si="44"/>
        <v>10</v>
      </c>
      <c r="AN32" s="24">
        <f t="shared" si="45"/>
        <v>5</v>
      </c>
      <c r="AO32" s="24">
        <f t="shared" si="46"/>
        <v>17</v>
      </c>
      <c r="AP32" s="24">
        <f t="shared" si="47"/>
        <v>10</v>
      </c>
      <c r="AQ32" s="24">
        <f t="shared" si="48"/>
        <v>3</v>
      </c>
      <c r="AR32" s="24">
        <f t="shared" si="49"/>
        <v>7</v>
      </c>
      <c r="AS32" s="24">
        <f t="shared" si="50"/>
        <v>5</v>
      </c>
      <c r="AT32" s="28">
        <f t="shared" si="51"/>
        <v>5</v>
      </c>
      <c r="AU32" s="24"/>
      <c r="AV32" s="27">
        <f t="shared" si="7"/>
        <v>1</v>
      </c>
      <c r="AW32" s="24">
        <f t="shared" si="52"/>
        <v>6</v>
      </c>
      <c r="AX32" s="2">
        <f t="shared" si="53"/>
        <v>4</v>
      </c>
      <c r="AY32" s="24">
        <f t="shared" si="54"/>
        <v>3</v>
      </c>
      <c r="AZ32" s="24">
        <f t="shared" si="55"/>
        <v>8</v>
      </c>
      <c r="BA32" s="24">
        <f t="shared" si="56"/>
        <v>5</v>
      </c>
      <c r="BB32" s="24">
        <f t="shared" si="57"/>
        <v>12</v>
      </c>
      <c r="BC32" s="24">
        <f t="shared" si="58"/>
        <v>4</v>
      </c>
      <c r="BD32" s="24">
        <f t="shared" si="59"/>
        <v>2</v>
      </c>
      <c r="BE32" s="28">
        <f t="shared" si="60"/>
        <v>2</v>
      </c>
      <c r="BF32" s="29">
        <f t="shared" ref="BF32:BO32" si="98">+(AK32+Z32+O32+D32)/4</f>
        <v>1.702380952</v>
      </c>
      <c r="BG32" s="24">
        <f t="shared" si="98"/>
        <v>11.5</v>
      </c>
      <c r="BH32" s="24">
        <f t="shared" si="98"/>
        <v>8.5</v>
      </c>
      <c r="BI32" s="24">
        <f t="shared" si="98"/>
        <v>5.25</v>
      </c>
      <c r="BJ32" s="24">
        <f t="shared" si="98"/>
        <v>15.5</v>
      </c>
      <c r="BK32" s="24">
        <f t="shared" si="98"/>
        <v>9.75</v>
      </c>
      <c r="BL32" s="24">
        <f t="shared" si="98"/>
        <v>3.75</v>
      </c>
      <c r="BM32" s="24">
        <f t="shared" si="98"/>
        <v>7</v>
      </c>
      <c r="BN32" s="24">
        <f t="shared" si="98"/>
        <v>4.5</v>
      </c>
      <c r="BO32" s="61">
        <f t="shared" si="98"/>
        <v>4</v>
      </c>
      <c r="BP32" s="30">
        <f t="shared" si="9"/>
        <v>-0.7023809524</v>
      </c>
      <c r="BQ32" s="31">
        <f t="shared" si="62"/>
        <v>0.4285714286</v>
      </c>
      <c r="BR32" s="31">
        <f t="shared" si="10"/>
        <v>0.1904761905</v>
      </c>
      <c r="BS32" s="31">
        <f t="shared" si="11"/>
        <v>0.09523809524</v>
      </c>
      <c r="BT32" s="31">
        <f t="shared" si="12"/>
        <v>0.09523809524</v>
      </c>
      <c r="BU32" s="31">
        <f t="shared" si="13"/>
        <v>0.04761904762</v>
      </c>
      <c r="BV32" s="31">
        <f t="shared" si="14"/>
        <v>0.5714285714</v>
      </c>
      <c r="BW32" s="31">
        <f t="shared" ref="BW32:BX32" si="99">+BR32+BS32+BT32</f>
        <v>0.380952381</v>
      </c>
      <c r="BX32" s="32">
        <f t="shared" si="99"/>
        <v>0.2380952381</v>
      </c>
    </row>
    <row r="33" ht="15.75" customHeight="1">
      <c r="B33" s="33">
        <v>22.0</v>
      </c>
      <c r="C33" s="2">
        <v>3.0</v>
      </c>
      <c r="D33" s="3">
        <f t="shared" si="3"/>
        <v>2.090909091</v>
      </c>
      <c r="E33" s="2">
        <f t="shared" si="16"/>
        <v>7</v>
      </c>
      <c r="F33" s="2">
        <f t="shared" si="17"/>
        <v>11</v>
      </c>
      <c r="G33" s="2">
        <f t="shared" si="18"/>
        <v>10</v>
      </c>
      <c r="H33" s="2">
        <f t="shared" si="19"/>
        <v>16</v>
      </c>
      <c r="I33" s="2">
        <f t="shared" si="20"/>
        <v>12</v>
      </c>
      <c r="J33" s="2">
        <f t="shared" si="21"/>
        <v>4</v>
      </c>
      <c r="K33" s="2">
        <f t="shared" si="22"/>
        <v>5</v>
      </c>
      <c r="L33" s="2">
        <f t="shared" si="23"/>
        <v>2</v>
      </c>
      <c r="M33" s="34">
        <f t="shared" si="24"/>
        <v>9</v>
      </c>
      <c r="N33" s="2">
        <v>0.0</v>
      </c>
      <c r="O33" s="3">
        <f t="shared" si="4"/>
        <v>1.681818182</v>
      </c>
      <c r="P33" s="2">
        <f t="shared" si="25"/>
        <v>13</v>
      </c>
      <c r="Q33" s="2">
        <f t="shared" si="26"/>
        <v>6</v>
      </c>
      <c r="R33" s="2">
        <f t="shared" si="27"/>
        <v>5</v>
      </c>
      <c r="S33" s="2">
        <f t="shared" si="28"/>
        <v>14</v>
      </c>
      <c r="T33" s="2">
        <f t="shared" si="29"/>
        <v>10</v>
      </c>
      <c r="U33" s="2">
        <f t="shared" si="30"/>
        <v>4</v>
      </c>
      <c r="V33" s="2">
        <f t="shared" si="31"/>
        <v>8</v>
      </c>
      <c r="W33" s="2">
        <f t="shared" si="32"/>
        <v>5</v>
      </c>
      <c r="X33" s="34">
        <f t="shared" si="33"/>
        <v>1</v>
      </c>
      <c r="Y33" s="2">
        <v>0.0</v>
      </c>
      <c r="Z33" s="3">
        <f t="shared" si="5"/>
        <v>1.181818182</v>
      </c>
      <c r="AA33" s="2">
        <f t="shared" si="34"/>
        <v>14</v>
      </c>
      <c r="AB33" s="2">
        <f t="shared" si="35"/>
        <v>8</v>
      </c>
      <c r="AC33" s="2">
        <f t="shared" si="36"/>
        <v>2</v>
      </c>
      <c r="AD33" s="2">
        <f t="shared" si="37"/>
        <v>16</v>
      </c>
      <c r="AE33" s="2">
        <f t="shared" si="38"/>
        <v>8</v>
      </c>
      <c r="AF33" s="2">
        <f t="shared" si="39"/>
        <v>6</v>
      </c>
      <c r="AG33" s="2">
        <f t="shared" si="40"/>
        <v>8</v>
      </c>
      <c r="AH33" s="2">
        <f t="shared" si="41"/>
        <v>6</v>
      </c>
      <c r="AI33" s="34">
        <f t="shared" si="42"/>
        <v>2</v>
      </c>
      <c r="AJ33" s="2">
        <v>1.0</v>
      </c>
      <c r="AK33" s="3">
        <f t="shared" si="6"/>
        <v>1.727272727</v>
      </c>
      <c r="AL33" s="2">
        <f t="shared" si="43"/>
        <v>13</v>
      </c>
      <c r="AM33" s="2">
        <f t="shared" si="44"/>
        <v>10</v>
      </c>
      <c r="AN33" s="2">
        <f t="shared" si="45"/>
        <v>5</v>
      </c>
      <c r="AO33" s="2">
        <f t="shared" si="46"/>
        <v>18</v>
      </c>
      <c r="AP33" s="2">
        <f t="shared" si="47"/>
        <v>10</v>
      </c>
      <c r="AQ33" s="2">
        <f t="shared" si="48"/>
        <v>3</v>
      </c>
      <c r="AR33" s="2">
        <f t="shared" si="49"/>
        <v>8</v>
      </c>
      <c r="AS33" s="2">
        <f t="shared" si="50"/>
        <v>5</v>
      </c>
      <c r="AT33" s="34">
        <f t="shared" si="51"/>
        <v>5</v>
      </c>
      <c r="AU33" s="2"/>
      <c r="AV33" s="3">
        <f t="shared" si="7"/>
        <v>1</v>
      </c>
      <c r="AW33" s="2">
        <f t="shared" si="52"/>
        <v>6</v>
      </c>
      <c r="AX33" s="2">
        <f t="shared" si="53"/>
        <v>4</v>
      </c>
      <c r="AY33" s="2">
        <f t="shared" si="54"/>
        <v>3</v>
      </c>
      <c r="AZ33" s="2">
        <f t="shared" si="55"/>
        <v>8</v>
      </c>
      <c r="BA33" s="2">
        <f t="shared" si="56"/>
        <v>5</v>
      </c>
      <c r="BB33" s="2">
        <f t="shared" si="57"/>
        <v>13</v>
      </c>
      <c r="BC33" s="2">
        <f t="shared" si="58"/>
        <v>4</v>
      </c>
      <c r="BD33" s="2">
        <f t="shared" si="59"/>
        <v>2</v>
      </c>
      <c r="BE33" s="34">
        <f t="shared" si="60"/>
        <v>2</v>
      </c>
      <c r="BF33" s="36">
        <f t="shared" ref="BF33:BO33" si="100">+(AK33+Z33+O33+D33)/4</f>
        <v>1.670454545</v>
      </c>
      <c r="BG33" s="2">
        <f t="shared" si="100"/>
        <v>11.75</v>
      </c>
      <c r="BH33" s="2">
        <f t="shared" si="100"/>
        <v>8.75</v>
      </c>
      <c r="BI33" s="2">
        <f t="shared" si="100"/>
        <v>5.5</v>
      </c>
      <c r="BJ33" s="2">
        <f t="shared" si="100"/>
        <v>16</v>
      </c>
      <c r="BK33" s="2">
        <f t="shared" si="100"/>
        <v>10</v>
      </c>
      <c r="BL33" s="2">
        <f t="shared" si="100"/>
        <v>4.25</v>
      </c>
      <c r="BM33" s="2">
        <f t="shared" si="100"/>
        <v>7.25</v>
      </c>
      <c r="BN33" s="2">
        <f t="shared" si="100"/>
        <v>4.5</v>
      </c>
      <c r="BO33" s="62">
        <f t="shared" si="100"/>
        <v>4.25</v>
      </c>
      <c r="BP33" s="37">
        <f t="shared" si="9"/>
        <v>-0.6704545455</v>
      </c>
      <c r="BQ33" s="38">
        <f t="shared" si="62"/>
        <v>0.4090909091</v>
      </c>
      <c r="BR33" s="38">
        <f t="shared" si="10"/>
        <v>0.1818181818</v>
      </c>
      <c r="BS33" s="38">
        <f t="shared" si="11"/>
        <v>0.09090909091</v>
      </c>
      <c r="BT33" s="38">
        <f t="shared" si="12"/>
        <v>0.09090909091</v>
      </c>
      <c r="BU33" s="38">
        <f t="shared" si="13"/>
        <v>0.04545454545</v>
      </c>
      <c r="BV33" s="38">
        <f t="shared" si="14"/>
        <v>0.5909090909</v>
      </c>
      <c r="BW33" s="38">
        <f t="shared" ref="BW33:BX33" si="101">+BR33+BS33+BT33</f>
        <v>0.3636363636</v>
      </c>
      <c r="BX33" s="39">
        <f t="shared" si="101"/>
        <v>0.2272727273</v>
      </c>
    </row>
    <row r="34" ht="15.75" customHeight="1">
      <c r="A34" s="60"/>
      <c r="B34" s="40">
        <v>23.0</v>
      </c>
      <c r="C34" s="24">
        <v>0.0</v>
      </c>
      <c r="D34" s="27">
        <f t="shared" si="3"/>
        <v>2</v>
      </c>
      <c r="E34" s="24">
        <f t="shared" si="16"/>
        <v>7</v>
      </c>
      <c r="F34" s="2">
        <f t="shared" si="17"/>
        <v>11</v>
      </c>
      <c r="G34" s="24">
        <f t="shared" si="18"/>
        <v>10</v>
      </c>
      <c r="H34" s="24">
        <f t="shared" si="19"/>
        <v>16</v>
      </c>
      <c r="I34" s="24">
        <f t="shared" si="20"/>
        <v>12</v>
      </c>
      <c r="J34" s="24">
        <f t="shared" si="21"/>
        <v>5</v>
      </c>
      <c r="K34" s="24">
        <f t="shared" si="22"/>
        <v>5</v>
      </c>
      <c r="L34" s="24">
        <f t="shared" si="23"/>
        <v>2</v>
      </c>
      <c r="M34" s="28">
        <f t="shared" si="24"/>
        <v>9</v>
      </c>
      <c r="N34" s="24">
        <v>2.0</v>
      </c>
      <c r="O34" s="27">
        <f t="shared" si="4"/>
        <v>1.695652174</v>
      </c>
      <c r="P34" s="24">
        <f t="shared" si="25"/>
        <v>14</v>
      </c>
      <c r="Q34" s="2">
        <f t="shared" si="26"/>
        <v>7</v>
      </c>
      <c r="R34" s="24">
        <f t="shared" si="27"/>
        <v>5</v>
      </c>
      <c r="S34" s="24">
        <f t="shared" si="28"/>
        <v>15</v>
      </c>
      <c r="T34" s="24">
        <f t="shared" si="29"/>
        <v>11</v>
      </c>
      <c r="U34" s="24">
        <f t="shared" si="30"/>
        <v>4</v>
      </c>
      <c r="V34" s="24">
        <f t="shared" si="31"/>
        <v>8</v>
      </c>
      <c r="W34" s="24">
        <f t="shared" si="32"/>
        <v>6</v>
      </c>
      <c r="X34" s="28">
        <f t="shared" si="33"/>
        <v>1</v>
      </c>
      <c r="Y34" s="24">
        <v>1.0</v>
      </c>
      <c r="Z34" s="27">
        <f t="shared" si="5"/>
        <v>1.173913043</v>
      </c>
      <c r="AA34" s="24">
        <f t="shared" si="34"/>
        <v>15</v>
      </c>
      <c r="AB34" s="2">
        <f t="shared" si="35"/>
        <v>8</v>
      </c>
      <c r="AC34" s="24">
        <f t="shared" si="36"/>
        <v>2</v>
      </c>
      <c r="AD34" s="24">
        <f t="shared" si="37"/>
        <v>17</v>
      </c>
      <c r="AE34" s="24">
        <f t="shared" si="38"/>
        <v>8</v>
      </c>
      <c r="AF34" s="24">
        <f t="shared" si="39"/>
        <v>6</v>
      </c>
      <c r="AG34" s="24">
        <f t="shared" si="40"/>
        <v>9</v>
      </c>
      <c r="AH34" s="24">
        <f t="shared" si="41"/>
        <v>6</v>
      </c>
      <c r="AI34" s="28">
        <f t="shared" si="42"/>
        <v>2</v>
      </c>
      <c r="AJ34" s="24">
        <v>2.0</v>
      </c>
      <c r="AK34" s="27">
        <f t="shared" si="6"/>
        <v>1.739130435</v>
      </c>
      <c r="AL34" s="24">
        <f t="shared" si="43"/>
        <v>14</v>
      </c>
      <c r="AM34" s="2">
        <f t="shared" si="44"/>
        <v>11</v>
      </c>
      <c r="AN34" s="24">
        <f t="shared" si="45"/>
        <v>5</v>
      </c>
      <c r="AO34" s="24">
        <f t="shared" si="46"/>
        <v>19</v>
      </c>
      <c r="AP34" s="24">
        <f t="shared" si="47"/>
        <v>11</v>
      </c>
      <c r="AQ34" s="24">
        <f t="shared" si="48"/>
        <v>3</v>
      </c>
      <c r="AR34" s="24">
        <f t="shared" si="49"/>
        <v>8</v>
      </c>
      <c r="AS34" s="24">
        <f t="shared" si="50"/>
        <v>6</v>
      </c>
      <c r="AT34" s="28">
        <f t="shared" si="51"/>
        <v>5</v>
      </c>
      <c r="AU34" s="24"/>
      <c r="AV34" s="27">
        <f t="shared" si="7"/>
        <v>1</v>
      </c>
      <c r="AW34" s="24">
        <f t="shared" si="52"/>
        <v>6</v>
      </c>
      <c r="AX34" s="2">
        <f t="shared" si="53"/>
        <v>4</v>
      </c>
      <c r="AY34" s="24">
        <f t="shared" si="54"/>
        <v>3</v>
      </c>
      <c r="AZ34" s="24">
        <f t="shared" si="55"/>
        <v>8</v>
      </c>
      <c r="BA34" s="24">
        <f t="shared" si="56"/>
        <v>5</v>
      </c>
      <c r="BB34" s="24">
        <f t="shared" si="57"/>
        <v>14</v>
      </c>
      <c r="BC34" s="24">
        <f t="shared" si="58"/>
        <v>4</v>
      </c>
      <c r="BD34" s="24">
        <f t="shared" si="59"/>
        <v>2</v>
      </c>
      <c r="BE34" s="28">
        <f t="shared" si="60"/>
        <v>2</v>
      </c>
      <c r="BF34" s="29">
        <f t="shared" ref="BF34:BO34" si="102">+(AK34+Z34+O34+D34)/4</f>
        <v>1.652173913</v>
      </c>
      <c r="BG34" s="24">
        <f t="shared" si="102"/>
        <v>12.5</v>
      </c>
      <c r="BH34" s="24">
        <f t="shared" si="102"/>
        <v>9.25</v>
      </c>
      <c r="BI34" s="24">
        <f t="shared" si="102"/>
        <v>5.5</v>
      </c>
      <c r="BJ34" s="24">
        <f t="shared" si="102"/>
        <v>16.75</v>
      </c>
      <c r="BK34" s="24">
        <f t="shared" si="102"/>
        <v>10.5</v>
      </c>
      <c r="BL34" s="24">
        <f t="shared" si="102"/>
        <v>4.5</v>
      </c>
      <c r="BM34" s="24">
        <f t="shared" si="102"/>
        <v>7.5</v>
      </c>
      <c r="BN34" s="24">
        <f t="shared" si="102"/>
        <v>5</v>
      </c>
      <c r="BO34" s="61">
        <f t="shared" si="102"/>
        <v>4.25</v>
      </c>
      <c r="BP34" s="30">
        <f t="shared" si="9"/>
        <v>-0.652173913</v>
      </c>
      <c r="BQ34" s="31">
        <f t="shared" si="62"/>
        <v>0.3913043478</v>
      </c>
      <c r="BR34" s="31">
        <f t="shared" si="10"/>
        <v>0.1739130435</v>
      </c>
      <c r="BS34" s="31">
        <f t="shared" si="11"/>
        <v>0.08695652174</v>
      </c>
      <c r="BT34" s="31">
        <f t="shared" si="12"/>
        <v>0.08695652174</v>
      </c>
      <c r="BU34" s="31">
        <f t="shared" si="13"/>
        <v>0.04347826087</v>
      </c>
      <c r="BV34" s="31">
        <f t="shared" si="14"/>
        <v>0.6086956522</v>
      </c>
      <c r="BW34" s="31">
        <f t="shared" ref="BW34:BX34" si="103">+BR34+BS34+BT34</f>
        <v>0.347826087</v>
      </c>
      <c r="BX34" s="32">
        <f t="shared" si="103"/>
        <v>0.2173913043</v>
      </c>
    </row>
    <row r="35" ht="15.75" customHeight="1">
      <c r="B35" s="33">
        <v>24.0</v>
      </c>
      <c r="C35" s="2">
        <v>3.0</v>
      </c>
      <c r="D35" s="3">
        <f t="shared" si="3"/>
        <v>2.041666667</v>
      </c>
      <c r="E35" s="2">
        <f t="shared" si="16"/>
        <v>7</v>
      </c>
      <c r="F35" s="2">
        <f t="shared" si="17"/>
        <v>12</v>
      </c>
      <c r="G35" s="2">
        <f t="shared" si="18"/>
        <v>11</v>
      </c>
      <c r="H35" s="2">
        <f t="shared" si="19"/>
        <v>17</v>
      </c>
      <c r="I35" s="2">
        <f t="shared" si="20"/>
        <v>13</v>
      </c>
      <c r="J35" s="2">
        <f t="shared" si="21"/>
        <v>5</v>
      </c>
      <c r="K35" s="2">
        <f t="shared" si="22"/>
        <v>5</v>
      </c>
      <c r="L35" s="2">
        <f t="shared" si="23"/>
        <v>2</v>
      </c>
      <c r="M35" s="34">
        <f t="shared" si="24"/>
        <v>10</v>
      </c>
      <c r="N35" s="2">
        <v>1.0</v>
      </c>
      <c r="O35" s="3">
        <f t="shared" si="4"/>
        <v>1.666666667</v>
      </c>
      <c r="P35" s="2">
        <f t="shared" si="25"/>
        <v>15</v>
      </c>
      <c r="Q35" s="2">
        <f t="shared" si="26"/>
        <v>7</v>
      </c>
      <c r="R35" s="2">
        <f t="shared" si="27"/>
        <v>5</v>
      </c>
      <c r="S35" s="2">
        <f t="shared" si="28"/>
        <v>16</v>
      </c>
      <c r="T35" s="2">
        <f t="shared" si="29"/>
        <v>11</v>
      </c>
      <c r="U35" s="2">
        <f t="shared" si="30"/>
        <v>4</v>
      </c>
      <c r="V35" s="2">
        <f t="shared" si="31"/>
        <v>9</v>
      </c>
      <c r="W35" s="2">
        <f t="shared" si="32"/>
        <v>6</v>
      </c>
      <c r="X35" s="34">
        <f t="shared" si="33"/>
        <v>1</v>
      </c>
      <c r="Y35" s="2">
        <v>3.0</v>
      </c>
      <c r="Z35" s="3">
        <f t="shared" si="5"/>
        <v>1.25</v>
      </c>
      <c r="AA35" s="2">
        <f t="shared" si="34"/>
        <v>15</v>
      </c>
      <c r="AB35" s="2">
        <f t="shared" si="35"/>
        <v>9</v>
      </c>
      <c r="AC35" s="2">
        <f t="shared" si="36"/>
        <v>3</v>
      </c>
      <c r="AD35" s="2">
        <f t="shared" si="37"/>
        <v>18</v>
      </c>
      <c r="AE35" s="2">
        <f t="shared" si="38"/>
        <v>9</v>
      </c>
      <c r="AF35" s="2">
        <f t="shared" si="39"/>
        <v>6</v>
      </c>
      <c r="AG35" s="2">
        <f t="shared" si="40"/>
        <v>9</v>
      </c>
      <c r="AH35" s="2">
        <f t="shared" si="41"/>
        <v>6</v>
      </c>
      <c r="AI35" s="34">
        <f t="shared" si="42"/>
        <v>3</v>
      </c>
      <c r="AJ35" s="2">
        <v>5.0</v>
      </c>
      <c r="AK35" s="3">
        <f t="shared" si="6"/>
        <v>1.875</v>
      </c>
      <c r="AL35" s="2">
        <f t="shared" si="43"/>
        <v>14</v>
      </c>
      <c r="AM35" s="2">
        <f t="shared" si="44"/>
        <v>11</v>
      </c>
      <c r="AN35" s="2">
        <f t="shared" si="45"/>
        <v>5</v>
      </c>
      <c r="AO35" s="2">
        <f t="shared" si="46"/>
        <v>19</v>
      </c>
      <c r="AP35" s="2">
        <f t="shared" si="47"/>
        <v>11</v>
      </c>
      <c r="AQ35" s="2">
        <f t="shared" si="48"/>
        <v>3</v>
      </c>
      <c r="AR35" s="2">
        <f t="shared" si="49"/>
        <v>8</v>
      </c>
      <c r="AS35" s="2">
        <f t="shared" si="50"/>
        <v>6</v>
      </c>
      <c r="AT35" s="34">
        <f t="shared" si="51"/>
        <v>5</v>
      </c>
      <c r="AU35" s="2"/>
      <c r="AV35" s="3">
        <f t="shared" si="7"/>
        <v>1</v>
      </c>
      <c r="AW35" s="2">
        <f t="shared" si="52"/>
        <v>6</v>
      </c>
      <c r="AX35" s="2">
        <f t="shared" si="53"/>
        <v>4</v>
      </c>
      <c r="AY35" s="2">
        <f t="shared" si="54"/>
        <v>3</v>
      </c>
      <c r="AZ35" s="2">
        <f t="shared" si="55"/>
        <v>8</v>
      </c>
      <c r="BA35" s="2">
        <f t="shared" si="56"/>
        <v>5</v>
      </c>
      <c r="BB35" s="2">
        <f t="shared" si="57"/>
        <v>15</v>
      </c>
      <c r="BC35" s="2">
        <f t="shared" si="58"/>
        <v>4</v>
      </c>
      <c r="BD35" s="2">
        <f t="shared" si="59"/>
        <v>2</v>
      </c>
      <c r="BE35" s="34">
        <f t="shared" si="60"/>
        <v>2</v>
      </c>
      <c r="BF35" s="36">
        <f t="shared" ref="BF35:BO35" si="104">+(AK35+Z35+O35+D35)/4</f>
        <v>1.708333333</v>
      </c>
      <c r="BG35" s="2">
        <f t="shared" si="104"/>
        <v>12.75</v>
      </c>
      <c r="BH35" s="2">
        <f t="shared" si="104"/>
        <v>9.75</v>
      </c>
      <c r="BI35" s="2">
        <f t="shared" si="104"/>
        <v>6</v>
      </c>
      <c r="BJ35" s="2">
        <f t="shared" si="104"/>
        <v>17.5</v>
      </c>
      <c r="BK35" s="2">
        <f t="shared" si="104"/>
        <v>11</v>
      </c>
      <c r="BL35" s="2">
        <f t="shared" si="104"/>
        <v>4.5</v>
      </c>
      <c r="BM35" s="2">
        <f t="shared" si="104"/>
        <v>7.75</v>
      </c>
      <c r="BN35" s="2">
        <f t="shared" si="104"/>
        <v>5</v>
      </c>
      <c r="BO35" s="62">
        <f t="shared" si="104"/>
        <v>4.75</v>
      </c>
      <c r="BP35" s="37">
        <f t="shared" si="9"/>
        <v>-0.7083333333</v>
      </c>
      <c r="BQ35" s="38">
        <f t="shared" si="62"/>
        <v>0.375</v>
      </c>
      <c r="BR35" s="38">
        <f t="shared" si="10"/>
        <v>0.1666666667</v>
      </c>
      <c r="BS35" s="38">
        <f t="shared" si="11"/>
        <v>0.08333333333</v>
      </c>
      <c r="BT35" s="38">
        <f t="shared" si="12"/>
        <v>0.08333333333</v>
      </c>
      <c r="BU35" s="38">
        <f t="shared" si="13"/>
        <v>0.04166666667</v>
      </c>
      <c r="BV35" s="38">
        <f t="shared" si="14"/>
        <v>0.625</v>
      </c>
      <c r="BW35" s="38">
        <f t="shared" ref="BW35:BX35" si="105">+BR35+BS35+BT35</f>
        <v>0.3333333333</v>
      </c>
      <c r="BX35" s="39">
        <f t="shared" si="105"/>
        <v>0.2083333333</v>
      </c>
    </row>
    <row r="36" ht="15.75" customHeight="1">
      <c r="A36" s="60"/>
      <c r="B36" s="40">
        <v>25.0</v>
      </c>
      <c r="C36" s="24">
        <v>3.0</v>
      </c>
      <c r="D36" s="27">
        <f t="shared" si="3"/>
        <v>2.08</v>
      </c>
      <c r="E36" s="24">
        <f t="shared" si="16"/>
        <v>7</v>
      </c>
      <c r="F36" s="2">
        <f t="shared" si="17"/>
        <v>13</v>
      </c>
      <c r="G36" s="24">
        <f t="shared" si="18"/>
        <v>12</v>
      </c>
      <c r="H36" s="24">
        <f t="shared" si="19"/>
        <v>18</v>
      </c>
      <c r="I36" s="24">
        <f t="shared" si="20"/>
        <v>14</v>
      </c>
      <c r="J36" s="24">
        <f t="shared" si="21"/>
        <v>5</v>
      </c>
      <c r="K36" s="24">
        <f t="shared" si="22"/>
        <v>5</v>
      </c>
      <c r="L36" s="24">
        <f t="shared" si="23"/>
        <v>2</v>
      </c>
      <c r="M36" s="28">
        <f t="shared" si="24"/>
        <v>11</v>
      </c>
      <c r="N36" s="24">
        <v>1.0</v>
      </c>
      <c r="O36" s="27">
        <f t="shared" si="4"/>
        <v>1.64</v>
      </c>
      <c r="P36" s="24">
        <f t="shared" si="25"/>
        <v>16</v>
      </c>
      <c r="Q36" s="2">
        <f t="shared" si="26"/>
        <v>7</v>
      </c>
      <c r="R36" s="24">
        <f t="shared" si="27"/>
        <v>5</v>
      </c>
      <c r="S36" s="24">
        <f t="shared" si="28"/>
        <v>17</v>
      </c>
      <c r="T36" s="24">
        <f t="shared" si="29"/>
        <v>11</v>
      </c>
      <c r="U36" s="24">
        <f t="shared" si="30"/>
        <v>4</v>
      </c>
      <c r="V36" s="24">
        <f t="shared" si="31"/>
        <v>10</v>
      </c>
      <c r="W36" s="24">
        <f t="shared" si="32"/>
        <v>6</v>
      </c>
      <c r="X36" s="28">
        <f t="shared" si="33"/>
        <v>1</v>
      </c>
      <c r="Y36" s="24">
        <v>1.0</v>
      </c>
      <c r="Z36" s="27">
        <f t="shared" si="5"/>
        <v>1.24</v>
      </c>
      <c r="AA36" s="24">
        <f t="shared" si="34"/>
        <v>16</v>
      </c>
      <c r="AB36" s="2">
        <f t="shared" si="35"/>
        <v>9</v>
      </c>
      <c r="AC36" s="24">
        <f t="shared" si="36"/>
        <v>3</v>
      </c>
      <c r="AD36" s="24">
        <f t="shared" si="37"/>
        <v>19</v>
      </c>
      <c r="AE36" s="24">
        <f t="shared" si="38"/>
        <v>9</v>
      </c>
      <c r="AF36" s="24">
        <f t="shared" si="39"/>
        <v>6</v>
      </c>
      <c r="AG36" s="24">
        <f t="shared" si="40"/>
        <v>10</v>
      </c>
      <c r="AH36" s="24">
        <f t="shared" si="41"/>
        <v>6</v>
      </c>
      <c r="AI36" s="28">
        <f t="shared" si="42"/>
        <v>3</v>
      </c>
      <c r="AJ36" s="24">
        <v>2.0</v>
      </c>
      <c r="AK36" s="27">
        <f t="shared" si="6"/>
        <v>1.88</v>
      </c>
      <c r="AL36" s="24">
        <f t="shared" si="43"/>
        <v>15</v>
      </c>
      <c r="AM36" s="2">
        <f t="shared" si="44"/>
        <v>12</v>
      </c>
      <c r="AN36" s="24">
        <f t="shared" si="45"/>
        <v>5</v>
      </c>
      <c r="AO36" s="24">
        <f t="shared" si="46"/>
        <v>20</v>
      </c>
      <c r="AP36" s="24">
        <f t="shared" si="47"/>
        <v>12</v>
      </c>
      <c r="AQ36" s="24">
        <f t="shared" si="48"/>
        <v>3</v>
      </c>
      <c r="AR36" s="24">
        <f t="shared" si="49"/>
        <v>8</v>
      </c>
      <c r="AS36" s="24">
        <f t="shared" si="50"/>
        <v>7</v>
      </c>
      <c r="AT36" s="28">
        <f t="shared" si="51"/>
        <v>5</v>
      </c>
      <c r="AU36" s="24"/>
      <c r="AV36" s="27">
        <f t="shared" si="7"/>
        <v>1</v>
      </c>
      <c r="AW36" s="24">
        <f t="shared" si="52"/>
        <v>6</v>
      </c>
      <c r="AX36" s="2">
        <f t="shared" si="53"/>
        <v>4</v>
      </c>
      <c r="AY36" s="24">
        <f t="shared" si="54"/>
        <v>3</v>
      </c>
      <c r="AZ36" s="24">
        <f t="shared" si="55"/>
        <v>8</v>
      </c>
      <c r="BA36" s="24">
        <f t="shared" si="56"/>
        <v>5</v>
      </c>
      <c r="BB36" s="24">
        <f t="shared" si="57"/>
        <v>16</v>
      </c>
      <c r="BC36" s="24">
        <f t="shared" si="58"/>
        <v>4</v>
      </c>
      <c r="BD36" s="24">
        <f t="shared" si="59"/>
        <v>2</v>
      </c>
      <c r="BE36" s="28">
        <f t="shared" si="60"/>
        <v>2</v>
      </c>
      <c r="BF36" s="29">
        <f t="shared" ref="BF36:BO36" si="106">+(AK36+Z36+O36+D36)/4</f>
        <v>1.71</v>
      </c>
      <c r="BG36" s="24">
        <f t="shared" si="106"/>
        <v>13.5</v>
      </c>
      <c r="BH36" s="24">
        <f t="shared" si="106"/>
        <v>10.25</v>
      </c>
      <c r="BI36" s="24">
        <f t="shared" si="106"/>
        <v>6.25</v>
      </c>
      <c r="BJ36" s="24">
        <f t="shared" si="106"/>
        <v>18.5</v>
      </c>
      <c r="BK36" s="24">
        <f t="shared" si="106"/>
        <v>11.5</v>
      </c>
      <c r="BL36" s="24">
        <f t="shared" si="106"/>
        <v>4.5</v>
      </c>
      <c r="BM36" s="24">
        <f t="shared" si="106"/>
        <v>8.25</v>
      </c>
      <c r="BN36" s="24">
        <f t="shared" si="106"/>
        <v>5.25</v>
      </c>
      <c r="BO36" s="61">
        <f t="shared" si="106"/>
        <v>5</v>
      </c>
      <c r="BP36" s="30">
        <f t="shared" si="9"/>
        <v>-0.71</v>
      </c>
      <c r="BQ36" s="31">
        <f t="shared" si="62"/>
        <v>0.36</v>
      </c>
      <c r="BR36" s="31">
        <f t="shared" si="10"/>
        <v>0.16</v>
      </c>
      <c r="BS36" s="31">
        <f t="shared" si="11"/>
        <v>0.08</v>
      </c>
      <c r="BT36" s="31">
        <f t="shared" si="12"/>
        <v>0.08</v>
      </c>
      <c r="BU36" s="31">
        <f t="shared" si="13"/>
        <v>0.04</v>
      </c>
      <c r="BV36" s="31">
        <f t="shared" si="14"/>
        <v>0.64</v>
      </c>
      <c r="BW36" s="31">
        <f t="shared" ref="BW36:BX36" si="107">+BR36+BS36+BT36</f>
        <v>0.32</v>
      </c>
      <c r="BX36" s="32">
        <f t="shared" si="107"/>
        <v>0.2</v>
      </c>
    </row>
    <row r="37" ht="15.75" customHeight="1">
      <c r="B37" s="33">
        <v>26.0</v>
      </c>
      <c r="C37" s="2">
        <v>1.0</v>
      </c>
      <c r="D37" s="3">
        <f t="shared" si="3"/>
        <v>2.038461538</v>
      </c>
      <c r="E37" s="2">
        <f t="shared" si="16"/>
        <v>8</v>
      </c>
      <c r="F37" s="2">
        <f t="shared" si="17"/>
        <v>13</v>
      </c>
      <c r="G37" s="2">
        <f t="shared" si="18"/>
        <v>12</v>
      </c>
      <c r="H37" s="2">
        <f t="shared" si="19"/>
        <v>19</v>
      </c>
      <c r="I37" s="2">
        <f t="shared" si="20"/>
        <v>14</v>
      </c>
      <c r="J37" s="2">
        <f t="shared" si="21"/>
        <v>5</v>
      </c>
      <c r="K37" s="2">
        <f t="shared" si="22"/>
        <v>6</v>
      </c>
      <c r="L37" s="2">
        <f t="shared" si="23"/>
        <v>2</v>
      </c>
      <c r="M37" s="34">
        <f t="shared" si="24"/>
        <v>11</v>
      </c>
      <c r="N37" s="2">
        <v>0.0</v>
      </c>
      <c r="O37" s="3">
        <f t="shared" si="4"/>
        <v>1.576923077</v>
      </c>
      <c r="P37" s="2">
        <f t="shared" si="25"/>
        <v>16</v>
      </c>
      <c r="Q37" s="2">
        <f t="shared" si="26"/>
        <v>7</v>
      </c>
      <c r="R37" s="2">
        <f t="shared" si="27"/>
        <v>5</v>
      </c>
      <c r="S37" s="2">
        <f t="shared" si="28"/>
        <v>17</v>
      </c>
      <c r="T37" s="2">
        <f t="shared" si="29"/>
        <v>11</v>
      </c>
      <c r="U37" s="2">
        <f t="shared" si="30"/>
        <v>5</v>
      </c>
      <c r="V37" s="2">
        <f t="shared" si="31"/>
        <v>10</v>
      </c>
      <c r="W37" s="2">
        <f t="shared" si="32"/>
        <v>6</v>
      </c>
      <c r="X37" s="34">
        <f t="shared" si="33"/>
        <v>1</v>
      </c>
      <c r="Y37" s="2">
        <v>1.0</v>
      </c>
      <c r="Z37" s="3">
        <f t="shared" si="5"/>
        <v>1.230769231</v>
      </c>
      <c r="AA37" s="2">
        <f t="shared" si="34"/>
        <v>17</v>
      </c>
      <c r="AB37" s="2">
        <f t="shared" si="35"/>
        <v>9</v>
      </c>
      <c r="AC37" s="2">
        <f t="shared" si="36"/>
        <v>3</v>
      </c>
      <c r="AD37" s="2">
        <f t="shared" si="37"/>
        <v>20</v>
      </c>
      <c r="AE37" s="2">
        <f t="shared" si="38"/>
        <v>9</v>
      </c>
      <c r="AF37" s="2">
        <f t="shared" si="39"/>
        <v>6</v>
      </c>
      <c r="AG37" s="2">
        <f t="shared" si="40"/>
        <v>11</v>
      </c>
      <c r="AH37" s="2">
        <f t="shared" si="41"/>
        <v>6</v>
      </c>
      <c r="AI37" s="34">
        <f t="shared" si="42"/>
        <v>3</v>
      </c>
      <c r="AJ37" s="2">
        <v>0.0</v>
      </c>
      <c r="AK37" s="3">
        <f t="shared" si="6"/>
        <v>1.807692308</v>
      </c>
      <c r="AL37" s="2">
        <f t="shared" si="43"/>
        <v>15</v>
      </c>
      <c r="AM37" s="2">
        <f t="shared" si="44"/>
        <v>12</v>
      </c>
      <c r="AN37" s="2">
        <f t="shared" si="45"/>
        <v>5</v>
      </c>
      <c r="AO37" s="2">
        <f t="shared" si="46"/>
        <v>20</v>
      </c>
      <c r="AP37" s="2">
        <f t="shared" si="47"/>
        <v>12</v>
      </c>
      <c r="AQ37" s="2">
        <f t="shared" si="48"/>
        <v>4</v>
      </c>
      <c r="AR37" s="2">
        <f t="shared" si="49"/>
        <v>8</v>
      </c>
      <c r="AS37" s="2">
        <f t="shared" si="50"/>
        <v>7</v>
      </c>
      <c r="AT37" s="34">
        <f t="shared" si="51"/>
        <v>5</v>
      </c>
      <c r="AU37" s="2"/>
      <c r="AV37" s="3">
        <f t="shared" si="7"/>
        <v>1</v>
      </c>
      <c r="AW37" s="2">
        <f t="shared" si="52"/>
        <v>6</v>
      </c>
      <c r="AX37" s="2">
        <f t="shared" si="53"/>
        <v>4</v>
      </c>
      <c r="AY37" s="2">
        <f t="shared" si="54"/>
        <v>3</v>
      </c>
      <c r="AZ37" s="2">
        <f t="shared" si="55"/>
        <v>8</v>
      </c>
      <c r="BA37" s="2">
        <f t="shared" si="56"/>
        <v>5</v>
      </c>
      <c r="BB37" s="2">
        <f t="shared" si="57"/>
        <v>17</v>
      </c>
      <c r="BC37" s="2">
        <f t="shared" si="58"/>
        <v>4</v>
      </c>
      <c r="BD37" s="2">
        <f t="shared" si="59"/>
        <v>2</v>
      </c>
      <c r="BE37" s="34">
        <f t="shared" si="60"/>
        <v>2</v>
      </c>
      <c r="BF37" s="36">
        <f t="shared" ref="BF37:BO37" si="108">+(AK37+Z37+O37+D37)/4</f>
        <v>1.663461538</v>
      </c>
      <c r="BG37" s="2">
        <f t="shared" si="108"/>
        <v>14</v>
      </c>
      <c r="BH37" s="2">
        <f t="shared" si="108"/>
        <v>10.25</v>
      </c>
      <c r="BI37" s="2">
        <f t="shared" si="108"/>
        <v>6.25</v>
      </c>
      <c r="BJ37" s="2">
        <f t="shared" si="108"/>
        <v>19</v>
      </c>
      <c r="BK37" s="2">
        <f t="shared" si="108"/>
        <v>11.5</v>
      </c>
      <c r="BL37" s="2">
        <f t="shared" si="108"/>
        <v>5</v>
      </c>
      <c r="BM37" s="2">
        <f t="shared" si="108"/>
        <v>8.75</v>
      </c>
      <c r="BN37" s="2">
        <f t="shared" si="108"/>
        <v>5.25</v>
      </c>
      <c r="BO37" s="62">
        <f t="shared" si="108"/>
        <v>5</v>
      </c>
      <c r="BP37" s="37">
        <f t="shared" si="9"/>
        <v>-0.6634615385</v>
      </c>
      <c r="BQ37" s="38">
        <f t="shared" si="62"/>
        <v>0.3461538462</v>
      </c>
      <c r="BR37" s="38">
        <f t="shared" si="10"/>
        <v>0.1538461538</v>
      </c>
      <c r="BS37" s="38">
        <f t="shared" si="11"/>
        <v>0.07692307692</v>
      </c>
      <c r="BT37" s="38">
        <f t="shared" si="12"/>
        <v>0.07692307692</v>
      </c>
      <c r="BU37" s="38">
        <f t="shared" si="13"/>
        <v>0.03846153846</v>
      </c>
      <c r="BV37" s="38">
        <f t="shared" si="14"/>
        <v>0.6538461538</v>
      </c>
      <c r="BW37" s="38">
        <f t="shared" ref="BW37:BX37" si="109">+BR37+BS37+BT37</f>
        <v>0.3076923077</v>
      </c>
      <c r="BX37" s="39">
        <f t="shared" si="109"/>
        <v>0.1923076923</v>
      </c>
    </row>
    <row r="38" ht="15.75" customHeight="1">
      <c r="A38" s="60"/>
      <c r="B38" s="40">
        <v>27.0</v>
      </c>
      <c r="C38" s="24">
        <v>1.0</v>
      </c>
      <c r="D38" s="27">
        <f t="shared" si="3"/>
        <v>2</v>
      </c>
      <c r="E38" s="24">
        <f t="shared" si="16"/>
        <v>9</v>
      </c>
      <c r="F38" s="2">
        <f t="shared" si="17"/>
        <v>13</v>
      </c>
      <c r="G38" s="24">
        <f t="shared" si="18"/>
        <v>12</v>
      </c>
      <c r="H38" s="24">
        <f t="shared" si="19"/>
        <v>20</v>
      </c>
      <c r="I38" s="24">
        <f t="shared" si="20"/>
        <v>14</v>
      </c>
      <c r="J38" s="24">
        <f t="shared" si="21"/>
        <v>5</v>
      </c>
      <c r="K38" s="24">
        <f t="shared" si="22"/>
        <v>7</v>
      </c>
      <c r="L38" s="24">
        <f t="shared" si="23"/>
        <v>2</v>
      </c>
      <c r="M38" s="28">
        <f t="shared" si="24"/>
        <v>11</v>
      </c>
      <c r="N38" s="24">
        <v>1.0</v>
      </c>
      <c r="O38" s="27">
        <f t="shared" si="4"/>
        <v>1.555555556</v>
      </c>
      <c r="P38" s="24">
        <f t="shared" si="25"/>
        <v>17</v>
      </c>
      <c r="Q38" s="2">
        <f t="shared" si="26"/>
        <v>7</v>
      </c>
      <c r="R38" s="24">
        <f t="shared" si="27"/>
        <v>5</v>
      </c>
      <c r="S38" s="24">
        <f t="shared" si="28"/>
        <v>18</v>
      </c>
      <c r="T38" s="24">
        <f t="shared" si="29"/>
        <v>11</v>
      </c>
      <c r="U38" s="24">
        <f t="shared" si="30"/>
        <v>5</v>
      </c>
      <c r="V38" s="24">
        <f t="shared" si="31"/>
        <v>11</v>
      </c>
      <c r="W38" s="24">
        <f t="shared" si="32"/>
        <v>6</v>
      </c>
      <c r="X38" s="28">
        <f t="shared" si="33"/>
        <v>1</v>
      </c>
      <c r="Y38" s="24">
        <v>0.0</v>
      </c>
      <c r="Z38" s="27">
        <f t="shared" si="5"/>
        <v>1.185185185</v>
      </c>
      <c r="AA38" s="24">
        <f t="shared" si="34"/>
        <v>17</v>
      </c>
      <c r="AB38" s="2">
        <f t="shared" si="35"/>
        <v>9</v>
      </c>
      <c r="AC38" s="24">
        <f t="shared" si="36"/>
        <v>3</v>
      </c>
      <c r="AD38" s="24">
        <f t="shared" si="37"/>
        <v>20</v>
      </c>
      <c r="AE38" s="24">
        <f t="shared" si="38"/>
        <v>9</v>
      </c>
      <c r="AF38" s="24">
        <f t="shared" si="39"/>
        <v>7</v>
      </c>
      <c r="AG38" s="24">
        <f t="shared" si="40"/>
        <v>11</v>
      </c>
      <c r="AH38" s="24">
        <f t="shared" si="41"/>
        <v>6</v>
      </c>
      <c r="AI38" s="28">
        <f t="shared" si="42"/>
        <v>3</v>
      </c>
      <c r="AJ38" s="24">
        <v>2.0</v>
      </c>
      <c r="AK38" s="27">
        <f t="shared" si="6"/>
        <v>1.814814815</v>
      </c>
      <c r="AL38" s="24">
        <f t="shared" si="43"/>
        <v>16</v>
      </c>
      <c r="AM38" s="2">
        <f t="shared" si="44"/>
        <v>13</v>
      </c>
      <c r="AN38" s="24">
        <f t="shared" si="45"/>
        <v>5</v>
      </c>
      <c r="AO38" s="24">
        <f t="shared" si="46"/>
        <v>21</v>
      </c>
      <c r="AP38" s="24">
        <f t="shared" si="47"/>
        <v>13</v>
      </c>
      <c r="AQ38" s="24">
        <f t="shared" si="48"/>
        <v>4</v>
      </c>
      <c r="AR38" s="24">
        <f t="shared" si="49"/>
        <v>8</v>
      </c>
      <c r="AS38" s="24">
        <f t="shared" si="50"/>
        <v>8</v>
      </c>
      <c r="AT38" s="28">
        <f t="shared" si="51"/>
        <v>5</v>
      </c>
      <c r="AU38" s="24"/>
      <c r="AV38" s="27">
        <f t="shared" si="7"/>
        <v>1</v>
      </c>
      <c r="AW38" s="24">
        <f t="shared" si="52"/>
        <v>6</v>
      </c>
      <c r="AX38" s="2">
        <f t="shared" si="53"/>
        <v>4</v>
      </c>
      <c r="AY38" s="24">
        <f t="shared" si="54"/>
        <v>3</v>
      </c>
      <c r="AZ38" s="24">
        <f t="shared" si="55"/>
        <v>8</v>
      </c>
      <c r="BA38" s="24">
        <f t="shared" si="56"/>
        <v>5</v>
      </c>
      <c r="BB38" s="24">
        <f t="shared" si="57"/>
        <v>18</v>
      </c>
      <c r="BC38" s="24">
        <f t="shared" si="58"/>
        <v>4</v>
      </c>
      <c r="BD38" s="24">
        <f t="shared" si="59"/>
        <v>2</v>
      </c>
      <c r="BE38" s="28">
        <f t="shared" si="60"/>
        <v>2</v>
      </c>
      <c r="BF38" s="29">
        <f t="shared" ref="BF38:BO38" si="110">+(AK38+Z38+O38+D38)/4</f>
        <v>1.638888889</v>
      </c>
      <c r="BG38" s="24">
        <f t="shared" si="110"/>
        <v>14.75</v>
      </c>
      <c r="BH38" s="24">
        <f t="shared" si="110"/>
        <v>10.5</v>
      </c>
      <c r="BI38" s="24">
        <f t="shared" si="110"/>
        <v>6.25</v>
      </c>
      <c r="BJ38" s="24">
        <f t="shared" si="110"/>
        <v>19.75</v>
      </c>
      <c r="BK38" s="24">
        <f t="shared" si="110"/>
        <v>11.75</v>
      </c>
      <c r="BL38" s="24">
        <f t="shared" si="110"/>
        <v>5.25</v>
      </c>
      <c r="BM38" s="24">
        <f t="shared" si="110"/>
        <v>9.25</v>
      </c>
      <c r="BN38" s="24">
        <f t="shared" si="110"/>
        <v>5.5</v>
      </c>
      <c r="BO38" s="61">
        <f t="shared" si="110"/>
        <v>5</v>
      </c>
      <c r="BP38" s="30">
        <f t="shared" si="9"/>
        <v>-0.6388888889</v>
      </c>
      <c r="BQ38" s="31">
        <f t="shared" si="62"/>
        <v>0.3333333333</v>
      </c>
      <c r="BR38" s="31">
        <f t="shared" si="10"/>
        <v>0.1481481481</v>
      </c>
      <c r="BS38" s="31">
        <f t="shared" si="11"/>
        <v>0.07407407407</v>
      </c>
      <c r="BT38" s="31">
        <f t="shared" si="12"/>
        <v>0.07407407407</v>
      </c>
      <c r="BU38" s="31">
        <f t="shared" si="13"/>
        <v>0.03703703704</v>
      </c>
      <c r="BV38" s="31">
        <f t="shared" si="14"/>
        <v>0.6666666667</v>
      </c>
      <c r="BW38" s="31">
        <f t="shared" ref="BW38:BX38" si="111">+BR38+BS38+BT38</f>
        <v>0.2962962963</v>
      </c>
      <c r="BX38" s="32">
        <f t="shared" si="111"/>
        <v>0.1851851852</v>
      </c>
    </row>
    <row r="39" ht="15.75" customHeight="1">
      <c r="B39" s="33">
        <v>28.0</v>
      </c>
      <c r="C39" s="2">
        <v>3.0</v>
      </c>
      <c r="D39" s="3">
        <f t="shared" si="3"/>
        <v>2.035714286</v>
      </c>
      <c r="E39" s="2">
        <f t="shared" si="16"/>
        <v>9</v>
      </c>
      <c r="F39" s="2">
        <f t="shared" si="17"/>
        <v>14</v>
      </c>
      <c r="G39" s="2">
        <f t="shared" si="18"/>
        <v>13</v>
      </c>
      <c r="H39" s="2">
        <f t="shared" si="19"/>
        <v>21</v>
      </c>
      <c r="I39" s="2">
        <f t="shared" si="20"/>
        <v>15</v>
      </c>
      <c r="J39" s="2">
        <f t="shared" si="21"/>
        <v>5</v>
      </c>
      <c r="K39" s="2">
        <f t="shared" si="22"/>
        <v>7</v>
      </c>
      <c r="L39" s="2">
        <f t="shared" si="23"/>
        <v>2</v>
      </c>
      <c r="M39" s="34">
        <f t="shared" si="24"/>
        <v>12</v>
      </c>
      <c r="N39" s="2">
        <v>2.0</v>
      </c>
      <c r="O39" s="3">
        <f t="shared" si="4"/>
        <v>1.571428571</v>
      </c>
      <c r="P39" s="2">
        <f t="shared" si="25"/>
        <v>18</v>
      </c>
      <c r="Q39" s="2">
        <f t="shared" si="26"/>
        <v>8</v>
      </c>
      <c r="R39" s="2">
        <f t="shared" si="27"/>
        <v>5</v>
      </c>
      <c r="S39" s="2">
        <f t="shared" si="28"/>
        <v>19</v>
      </c>
      <c r="T39" s="2">
        <f t="shared" si="29"/>
        <v>12</v>
      </c>
      <c r="U39" s="2">
        <f t="shared" si="30"/>
        <v>5</v>
      </c>
      <c r="V39" s="2">
        <f t="shared" si="31"/>
        <v>11</v>
      </c>
      <c r="W39" s="2">
        <f t="shared" si="32"/>
        <v>7</v>
      </c>
      <c r="X39" s="34">
        <f t="shared" si="33"/>
        <v>1</v>
      </c>
      <c r="Y39" s="2">
        <v>1.0</v>
      </c>
      <c r="Z39" s="3">
        <f t="shared" si="5"/>
        <v>1.178571429</v>
      </c>
      <c r="AA39" s="2">
        <f t="shared" si="34"/>
        <v>18</v>
      </c>
      <c r="AB39" s="2">
        <f t="shared" si="35"/>
        <v>9</v>
      </c>
      <c r="AC39" s="2">
        <f t="shared" si="36"/>
        <v>3</v>
      </c>
      <c r="AD39" s="2">
        <f t="shared" si="37"/>
        <v>21</v>
      </c>
      <c r="AE39" s="2">
        <f t="shared" si="38"/>
        <v>9</v>
      </c>
      <c r="AF39" s="2">
        <f t="shared" si="39"/>
        <v>7</v>
      </c>
      <c r="AG39" s="2">
        <f t="shared" si="40"/>
        <v>12</v>
      </c>
      <c r="AH39" s="2">
        <f t="shared" si="41"/>
        <v>6</v>
      </c>
      <c r="AI39" s="34">
        <f t="shared" si="42"/>
        <v>3</v>
      </c>
      <c r="AJ39" s="2">
        <v>1.0</v>
      </c>
      <c r="AK39" s="3">
        <f t="shared" si="6"/>
        <v>1.785714286</v>
      </c>
      <c r="AL39" s="2">
        <f t="shared" si="43"/>
        <v>17</v>
      </c>
      <c r="AM39" s="2">
        <f t="shared" si="44"/>
        <v>13</v>
      </c>
      <c r="AN39" s="2">
        <f t="shared" si="45"/>
        <v>5</v>
      </c>
      <c r="AO39" s="2">
        <f t="shared" si="46"/>
        <v>22</v>
      </c>
      <c r="AP39" s="2">
        <f t="shared" si="47"/>
        <v>13</v>
      </c>
      <c r="AQ39" s="2">
        <f t="shared" si="48"/>
        <v>4</v>
      </c>
      <c r="AR39" s="2">
        <f t="shared" si="49"/>
        <v>9</v>
      </c>
      <c r="AS39" s="2">
        <f t="shared" si="50"/>
        <v>8</v>
      </c>
      <c r="AT39" s="34">
        <f t="shared" si="51"/>
        <v>5</v>
      </c>
      <c r="AU39" s="2"/>
      <c r="AV39" s="3">
        <f t="shared" si="7"/>
        <v>1</v>
      </c>
      <c r="AW39" s="2">
        <f t="shared" si="52"/>
        <v>6</v>
      </c>
      <c r="AX39" s="2">
        <f t="shared" si="53"/>
        <v>4</v>
      </c>
      <c r="AY39" s="2">
        <f t="shared" si="54"/>
        <v>3</v>
      </c>
      <c r="AZ39" s="2">
        <f t="shared" si="55"/>
        <v>8</v>
      </c>
      <c r="BA39" s="2">
        <f t="shared" si="56"/>
        <v>5</v>
      </c>
      <c r="BB39" s="2">
        <f t="shared" si="57"/>
        <v>19</v>
      </c>
      <c r="BC39" s="2">
        <f t="shared" si="58"/>
        <v>4</v>
      </c>
      <c r="BD39" s="2">
        <f t="shared" si="59"/>
        <v>2</v>
      </c>
      <c r="BE39" s="34">
        <f t="shared" si="60"/>
        <v>2</v>
      </c>
      <c r="BF39" s="36">
        <f t="shared" ref="BF39:BO39" si="112">+(AK39+Z39+O39+D39)/4</f>
        <v>1.642857143</v>
      </c>
      <c r="BG39" s="2">
        <f t="shared" si="112"/>
        <v>15.5</v>
      </c>
      <c r="BH39" s="2">
        <f t="shared" si="112"/>
        <v>11</v>
      </c>
      <c r="BI39" s="2">
        <f t="shared" si="112"/>
        <v>6.5</v>
      </c>
      <c r="BJ39" s="2">
        <f t="shared" si="112"/>
        <v>20.75</v>
      </c>
      <c r="BK39" s="2">
        <f t="shared" si="112"/>
        <v>12.25</v>
      </c>
      <c r="BL39" s="2">
        <f t="shared" si="112"/>
        <v>5.25</v>
      </c>
      <c r="BM39" s="2">
        <f t="shared" si="112"/>
        <v>9.75</v>
      </c>
      <c r="BN39" s="2">
        <f t="shared" si="112"/>
        <v>5.75</v>
      </c>
      <c r="BO39" s="62">
        <f t="shared" si="112"/>
        <v>5.25</v>
      </c>
      <c r="BP39" s="37">
        <f t="shared" si="9"/>
        <v>-0.6428571429</v>
      </c>
      <c r="BQ39" s="38">
        <f t="shared" si="62"/>
        <v>0.3214285714</v>
      </c>
      <c r="BR39" s="38">
        <f t="shared" si="10"/>
        <v>0.1428571429</v>
      </c>
      <c r="BS39" s="38">
        <f t="shared" si="11"/>
        <v>0.07142857143</v>
      </c>
      <c r="BT39" s="38">
        <f t="shared" si="12"/>
        <v>0.07142857143</v>
      </c>
      <c r="BU39" s="38">
        <f t="shared" si="13"/>
        <v>0.03571428571</v>
      </c>
      <c r="BV39" s="38">
        <f t="shared" si="14"/>
        <v>0.6785714286</v>
      </c>
      <c r="BW39" s="38">
        <f t="shared" ref="BW39:BX39" si="113">+BR39+BS39+BT39</f>
        <v>0.2857142857</v>
      </c>
      <c r="BX39" s="39">
        <f t="shared" si="113"/>
        <v>0.1785714286</v>
      </c>
    </row>
    <row r="40" ht="15.75" customHeight="1">
      <c r="A40" s="60"/>
      <c r="B40" s="40">
        <v>29.0</v>
      </c>
      <c r="C40" s="24">
        <v>1.0</v>
      </c>
      <c r="D40" s="27">
        <f t="shared" si="3"/>
        <v>2</v>
      </c>
      <c r="E40" s="24">
        <f t="shared" si="16"/>
        <v>10</v>
      </c>
      <c r="F40" s="2">
        <f t="shared" si="17"/>
        <v>14</v>
      </c>
      <c r="G40" s="24">
        <f t="shared" si="18"/>
        <v>13</v>
      </c>
      <c r="H40" s="24">
        <f t="shared" si="19"/>
        <v>22</v>
      </c>
      <c r="I40" s="24">
        <f t="shared" si="20"/>
        <v>15</v>
      </c>
      <c r="J40" s="24">
        <f t="shared" si="21"/>
        <v>5</v>
      </c>
      <c r="K40" s="24">
        <f t="shared" si="22"/>
        <v>8</v>
      </c>
      <c r="L40" s="24">
        <f t="shared" si="23"/>
        <v>2</v>
      </c>
      <c r="M40" s="28">
        <f t="shared" si="24"/>
        <v>12</v>
      </c>
      <c r="N40" s="24">
        <v>2.0</v>
      </c>
      <c r="O40" s="27">
        <f t="shared" si="4"/>
        <v>1.586206897</v>
      </c>
      <c r="P40" s="24">
        <f t="shared" si="25"/>
        <v>19</v>
      </c>
      <c r="Q40" s="2">
        <f t="shared" si="26"/>
        <v>9</v>
      </c>
      <c r="R40" s="24">
        <f t="shared" si="27"/>
        <v>5</v>
      </c>
      <c r="S40" s="24">
        <f t="shared" si="28"/>
        <v>20</v>
      </c>
      <c r="T40" s="24">
        <f t="shared" si="29"/>
        <v>13</v>
      </c>
      <c r="U40" s="24">
        <f t="shared" si="30"/>
        <v>5</v>
      </c>
      <c r="V40" s="24">
        <f t="shared" si="31"/>
        <v>11</v>
      </c>
      <c r="W40" s="24">
        <f t="shared" si="32"/>
        <v>8</v>
      </c>
      <c r="X40" s="28">
        <f t="shared" si="33"/>
        <v>1</v>
      </c>
      <c r="Y40" s="24">
        <v>3.0</v>
      </c>
      <c r="Z40" s="27">
        <f t="shared" si="5"/>
        <v>1.24137931</v>
      </c>
      <c r="AA40" s="24">
        <f t="shared" si="34"/>
        <v>18</v>
      </c>
      <c r="AB40" s="2">
        <f t="shared" si="35"/>
        <v>10</v>
      </c>
      <c r="AC40" s="24">
        <f t="shared" si="36"/>
        <v>4</v>
      </c>
      <c r="AD40" s="24">
        <f t="shared" si="37"/>
        <v>22</v>
      </c>
      <c r="AE40" s="24">
        <f t="shared" si="38"/>
        <v>10</v>
      </c>
      <c r="AF40" s="24">
        <f t="shared" si="39"/>
        <v>7</v>
      </c>
      <c r="AG40" s="24">
        <f t="shared" si="40"/>
        <v>12</v>
      </c>
      <c r="AH40" s="24">
        <f t="shared" si="41"/>
        <v>6</v>
      </c>
      <c r="AI40" s="28">
        <f t="shared" si="42"/>
        <v>4</v>
      </c>
      <c r="AJ40" s="24">
        <v>0.0</v>
      </c>
      <c r="AK40" s="27">
        <f t="shared" si="6"/>
        <v>1.724137931</v>
      </c>
      <c r="AL40" s="24">
        <f t="shared" si="43"/>
        <v>17</v>
      </c>
      <c r="AM40" s="2">
        <f t="shared" si="44"/>
        <v>13</v>
      </c>
      <c r="AN40" s="24">
        <f t="shared" si="45"/>
        <v>5</v>
      </c>
      <c r="AO40" s="24">
        <f t="shared" si="46"/>
        <v>22</v>
      </c>
      <c r="AP40" s="24">
        <f t="shared" si="47"/>
        <v>13</v>
      </c>
      <c r="AQ40" s="24">
        <f t="shared" si="48"/>
        <v>5</v>
      </c>
      <c r="AR40" s="24">
        <f t="shared" si="49"/>
        <v>9</v>
      </c>
      <c r="AS40" s="24">
        <f t="shared" si="50"/>
        <v>8</v>
      </c>
      <c r="AT40" s="28">
        <f t="shared" si="51"/>
        <v>5</v>
      </c>
      <c r="AU40" s="24"/>
      <c r="AV40" s="27">
        <f t="shared" si="7"/>
        <v>1</v>
      </c>
      <c r="AW40" s="24">
        <f t="shared" si="52"/>
        <v>6</v>
      </c>
      <c r="AX40" s="2">
        <f t="shared" si="53"/>
        <v>4</v>
      </c>
      <c r="AY40" s="24">
        <f t="shared" si="54"/>
        <v>3</v>
      </c>
      <c r="AZ40" s="24">
        <f t="shared" si="55"/>
        <v>8</v>
      </c>
      <c r="BA40" s="24">
        <f t="shared" si="56"/>
        <v>5</v>
      </c>
      <c r="BB40" s="24">
        <f t="shared" si="57"/>
        <v>20</v>
      </c>
      <c r="BC40" s="24">
        <f t="shared" si="58"/>
        <v>4</v>
      </c>
      <c r="BD40" s="24">
        <f t="shared" si="59"/>
        <v>2</v>
      </c>
      <c r="BE40" s="28">
        <f t="shared" si="60"/>
        <v>2</v>
      </c>
      <c r="BF40" s="29">
        <f t="shared" ref="BF40:BO40" si="114">+(AK40+Z40+O40+D40)/4</f>
        <v>1.637931034</v>
      </c>
      <c r="BG40" s="24">
        <f t="shared" si="114"/>
        <v>16</v>
      </c>
      <c r="BH40" s="24">
        <f t="shared" si="114"/>
        <v>11.5</v>
      </c>
      <c r="BI40" s="24">
        <f t="shared" si="114"/>
        <v>6.75</v>
      </c>
      <c r="BJ40" s="24">
        <f t="shared" si="114"/>
        <v>21.5</v>
      </c>
      <c r="BK40" s="24">
        <f t="shared" si="114"/>
        <v>12.75</v>
      </c>
      <c r="BL40" s="24">
        <f t="shared" si="114"/>
        <v>5.5</v>
      </c>
      <c r="BM40" s="24">
        <f t="shared" si="114"/>
        <v>10</v>
      </c>
      <c r="BN40" s="24">
        <f t="shared" si="114"/>
        <v>6</v>
      </c>
      <c r="BO40" s="61">
        <f t="shared" si="114"/>
        <v>5.5</v>
      </c>
      <c r="BP40" s="30">
        <f t="shared" si="9"/>
        <v>-0.6379310345</v>
      </c>
      <c r="BQ40" s="31">
        <f t="shared" si="62"/>
        <v>0.3103448276</v>
      </c>
      <c r="BR40" s="31">
        <f t="shared" si="10"/>
        <v>0.1379310345</v>
      </c>
      <c r="BS40" s="31">
        <f t="shared" si="11"/>
        <v>0.06896551724</v>
      </c>
      <c r="BT40" s="31">
        <f t="shared" si="12"/>
        <v>0.06896551724</v>
      </c>
      <c r="BU40" s="31">
        <f t="shared" si="13"/>
        <v>0.03448275862</v>
      </c>
      <c r="BV40" s="31">
        <f t="shared" si="14"/>
        <v>0.6896551724</v>
      </c>
      <c r="BW40" s="31">
        <f t="shared" ref="BW40:BX40" si="115">+BR40+BS40+BT40</f>
        <v>0.275862069</v>
      </c>
      <c r="BX40" s="32">
        <f t="shared" si="115"/>
        <v>0.1724137931</v>
      </c>
    </row>
    <row r="41" ht="15.75" customHeight="1">
      <c r="B41" s="42">
        <v>30.0</v>
      </c>
      <c r="C41" s="43">
        <v>0.0</v>
      </c>
      <c r="D41" s="3">
        <f t="shared" si="3"/>
        <v>1.933333333</v>
      </c>
      <c r="E41" s="43">
        <f t="shared" si="16"/>
        <v>10</v>
      </c>
      <c r="F41" s="2">
        <f t="shared" si="17"/>
        <v>14</v>
      </c>
      <c r="G41" s="43">
        <f t="shared" si="18"/>
        <v>13</v>
      </c>
      <c r="H41" s="43">
        <f t="shared" si="19"/>
        <v>22</v>
      </c>
      <c r="I41" s="43">
        <f t="shared" si="20"/>
        <v>15</v>
      </c>
      <c r="J41" s="43">
        <f t="shared" si="21"/>
        <v>6</v>
      </c>
      <c r="K41" s="43">
        <f t="shared" si="22"/>
        <v>8</v>
      </c>
      <c r="L41" s="43">
        <f t="shared" si="23"/>
        <v>2</v>
      </c>
      <c r="M41" s="44">
        <f t="shared" si="24"/>
        <v>12</v>
      </c>
      <c r="N41" s="43">
        <v>3.0</v>
      </c>
      <c r="O41" s="3">
        <f t="shared" si="4"/>
        <v>1.633333333</v>
      </c>
      <c r="P41" s="43">
        <f t="shared" si="25"/>
        <v>19</v>
      </c>
      <c r="Q41" s="2">
        <f t="shared" si="26"/>
        <v>10</v>
      </c>
      <c r="R41" s="43">
        <f t="shared" si="27"/>
        <v>6</v>
      </c>
      <c r="S41" s="43">
        <f t="shared" si="28"/>
        <v>21</v>
      </c>
      <c r="T41" s="43">
        <f t="shared" si="29"/>
        <v>14</v>
      </c>
      <c r="U41" s="43">
        <f t="shared" si="30"/>
        <v>5</v>
      </c>
      <c r="V41" s="43">
        <f t="shared" si="31"/>
        <v>11</v>
      </c>
      <c r="W41" s="43">
        <f t="shared" si="32"/>
        <v>8</v>
      </c>
      <c r="X41" s="44">
        <f t="shared" si="33"/>
        <v>2</v>
      </c>
      <c r="Y41" s="43">
        <v>1.0</v>
      </c>
      <c r="Z41" s="3">
        <f t="shared" si="5"/>
        <v>1.233333333</v>
      </c>
      <c r="AA41" s="43">
        <f t="shared" si="34"/>
        <v>19</v>
      </c>
      <c r="AB41" s="2">
        <f t="shared" si="35"/>
        <v>10</v>
      </c>
      <c r="AC41" s="43">
        <f t="shared" si="36"/>
        <v>4</v>
      </c>
      <c r="AD41" s="43">
        <f t="shared" si="37"/>
        <v>23</v>
      </c>
      <c r="AE41" s="43">
        <f t="shared" si="38"/>
        <v>10</v>
      </c>
      <c r="AF41" s="43">
        <f t="shared" si="39"/>
        <v>7</v>
      </c>
      <c r="AG41" s="43">
        <f t="shared" si="40"/>
        <v>13</v>
      </c>
      <c r="AH41" s="43">
        <f t="shared" si="41"/>
        <v>6</v>
      </c>
      <c r="AI41" s="44">
        <f t="shared" si="42"/>
        <v>4</v>
      </c>
      <c r="AJ41" s="43">
        <v>1.0</v>
      </c>
      <c r="AK41" s="3">
        <f t="shared" si="6"/>
        <v>1.7</v>
      </c>
      <c r="AL41" s="43">
        <f t="shared" si="43"/>
        <v>18</v>
      </c>
      <c r="AM41" s="2">
        <f t="shared" si="44"/>
        <v>13</v>
      </c>
      <c r="AN41" s="43">
        <f t="shared" si="45"/>
        <v>5</v>
      </c>
      <c r="AO41" s="43">
        <f t="shared" si="46"/>
        <v>23</v>
      </c>
      <c r="AP41" s="43">
        <f t="shared" si="47"/>
        <v>13</v>
      </c>
      <c r="AQ41" s="43">
        <f t="shared" si="48"/>
        <v>5</v>
      </c>
      <c r="AR41" s="43">
        <f t="shared" si="49"/>
        <v>10</v>
      </c>
      <c r="AS41" s="43">
        <f t="shared" si="50"/>
        <v>8</v>
      </c>
      <c r="AT41" s="44">
        <f t="shared" si="51"/>
        <v>5</v>
      </c>
      <c r="AU41" s="43"/>
      <c r="AV41" s="3">
        <f t="shared" si="7"/>
        <v>1</v>
      </c>
      <c r="AW41" s="43">
        <f t="shared" si="52"/>
        <v>6</v>
      </c>
      <c r="AX41" s="2">
        <f t="shared" si="53"/>
        <v>4</v>
      </c>
      <c r="AY41" s="43">
        <f t="shared" si="54"/>
        <v>3</v>
      </c>
      <c r="AZ41" s="43">
        <f t="shared" si="55"/>
        <v>8</v>
      </c>
      <c r="BA41" s="43">
        <f t="shared" si="56"/>
        <v>5</v>
      </c>
      <c r="BB41" s="43">
        <f t="shared" si="57"/>
        <v>21</v>
      </c>
      <c r="BC41" s="43">
        <f t="shared" si="58"/>
        <v>4</v>
      </c>
      <c r="BD41" s="43">
        <f t="shared" si="59"/>
        <v>2</v>
      </c>
      <c r="BE41" s="44">
        <f t="shared" si="60"/>
        <v>2</v>
      </c>
      <c r="BF41" s="46">
        <f t="shared" ref="BF41:BO41" si="116">+(AK41+Z41+O41+D41)/4</f>
        <v>1.625</v>
      </c>
      <c r="BG41" s="43">
        <f t="shared" si="116"/>
        <v>16.5</v>
      </c>
      <c r="BH41" s="43">
        <f t="shared" si="116"/>
        <v>11.75</v>
      </c>
      <c r="BI41" s="43">
        <f t="shared" si="116"/>
        <v>7</v>
      </c>
      <c r="BJ41" s="43">
        <f t="shared" si="116"/>
        <v>22.25</v>
      </c>
      <c r="BK41" s="43">
        <f t="shared" si="116"/>
        <v>13</v>
      </c>
      <c r="BL41" s="43">
        <f t="shared" si="116"/>
        <v>5.75</v>
      </c>
      <c r="BM41" s="43">
        <f t="shared" si="116"/>
        <v>10.5</v>
      </c>
      <c r="BN41" s="43">
        <f t="shared" si="116"/>
        <v>6</v>
      </c>
      <c r="BO41" s="63">
        <f t="shared" si="116"/>
        <v>5.75</v>
      </c>
      <c r="BP41" s="37">
        <f t="shared" si="9"/>
        <v>-0.625</v>
      </c>
      <c r="BQ41" s="38">
        <f t="shared" si="62"/>
        <v>0.3</v>
      </c>
      <c r="BR41" s="38">
        <f t="shared" si="10"/>
        <v>0.1333333333</v>
      </c>
      <c r="BS41" s="38">
        <f t="shared" si="11"/>
        <v>0.06666666667</v>
      </c>
      <c r="BT41" s="38">
        <f t="shared" si="12"/>
        <v>0.06666666667</v>
      </c>
      <c r="BU41" s="38">
        <f t="shared" si="13"/>
        <v>0.03333333333</v>
      </c>
      <c r="BV41" s="38">
        <f t="shared" si="14"/>
        <v>0.7</v>
      </c>
      <c r="BW41" s="38">
        <f t="shared" ref="BW41:BX41" si="117">+BR41+BS41+BT41</f>
        <v>0.2666666667</v>
      </c>
      <c r="BX41" s="39">
        <f t="shared" si="117"/>
        <v>0.1666666667</v>
      </c>
    </row>
    <row r="42" ht="15.75" customHeight="1">
      <c r="A42" s="60"/>
      <c r="B42" s="40">
        <v>31.0</v>
      </c>
      <c r="C42" s="24">
        <v>2.0</v>
      </c>
      <c r="D42" s="27">
        <f t="shared" si="3"/>
        <v>1.935483871</v>
      </c>
      <c r="E42" s="24">
        <f t="shared" si="16"/>
        <v>11</v>
      </c>
      <c r="F42" s="2">
        <f t="shared" si="17"/>
        <v>15</v>
      </c>
      <c r="G42" s="24">
        <f t="shared" si="18"/>
        <v>13</v>
      </c>
      <c r="H42" s="24">
        <f t="shared" si="19"/>
        <v>23</v>
      </c>
      <c r="I42" s="24">
        <f t="shared" si="20"/>
        <v>16</v>
      </c>
      <c r="J42" s="24">
        <f t="shared" si="21"/>
        <v>6</v>
      </c>
      <c r="K42" s="24">
        <f t="shared" si="22"/>
        <v>8</v>
      </c>
      <c r="L42" s="24">
        <f t="shared" si="23"/>
        <v>3</v>
      </c>
      <c r="M42" s="28">
        <f t="shared" si="24"/>
        <v>12</v>
      </c>
      <c r="N42" s="24">
        <v>0.0</v>
      </c>
      <c r="O42" s="27">
        <f t="shared" si="4"/>
        <v>1.580645161</v>
      </c>
      <c r="P42" s="24">
        <f t="shared" si="25"/>
        <v>19</v>
      </c>
      <c r="Q42" s="2">
        <f t="shared" si="26"/>
        <v>10</v>
      </c>
      <c r="R42" s="24">
        <f t="shared" si="27"/>
        <v>6</v>
      </c>
      <c r="S42" s="24">
        <f t="shared" si="28"/>
        <v>21</v>
      </c>
      <c r="T42" s="24">
        <f t="shared" si="29"/>
        <v>14</v>
      </c>
      <c r="U42" s="24">
        <f t="shared" si="30"/>
        <v>6</v>
      </c>
      <c r="V42" s="24">
        <f t="shared" si="31"/>
        <v>11</v>
      </c>
      <c r="W42" s="24">
        <f t="shared" si="32"/>
        <v>8</v>
      </c>
      <c r="X42" s="28">
        <f t="shared" si="33"/>
        <v>2</v>
      </c>
      <c r="Y42" s="24">
        <v>0.0</v>
      </c>
      <c r="Z42" s="27">
        <f t="shared" si="5"/>
        <v>1.193548387</v>
      </c>
      <c r="AA42" s="24">
        <f t="shared" si="34"/>
        <v>19</v>
      </c>
      <c r="AB42" s="2">
        <f t="shared" si="35"/>
        <v>10</v>
      </c>
      <c r="AC42" s="24">
        <f t="shared" si="36"/>
        <v>4</v>
      </c>
      <c r="AD42" s="24">
        <f t="shared" si="37"/>
        <v>23</v>
      </c>
      <c r="AE42" s="24">
        <f t="shared" si="38"/>
        <v>10</v>
      </c>
      <c r="AF42" s="24">
        <f t="shared" si="39"/>
        <v>8</v>
      </c>
      <c r="AG42" s="24">
        <f t="shared" si="40"/>
        <v>13</v>
      </c>
      <c r="AH42" s="24">
        <f t="shared" si="41"/>
        <v>6</v>
      </c>
      <c r="AI42" s="28">
        <f t="shared" si="42"/>
        <v>4</v>
      </c>
      <c r="AJ42" s="24">
        <v>1.0</v>
      </c>
      <c r="AK42" s="27">
        <f t="shared" si="6"/>
        <v>1.677419355</v>
      </c>
      <c r="AL42" s="24">
        <f t="shared" si="43"/>
        <v>19</v>
      </c>
      <c r="AM42" s="2">
        <f t="shared" si="44"/>
        <v>13</v>
      </c>
      <c r="AN42" s="24">
        <f t="shared" si="45"/>
        <v>5</v>
      </c>
      <c r="AO42" s="24">
        <f t="shared" si="46"/>
        <v>24</v>
      </c>
      <c r="AP42" s="24">
        <f t="shared" si="47"/>
        <v>13</v>
      </c>
      <c r="AQ42" s="24">
        <f t="shared" si="48"/>
        <v>5</v>
      </c>
      <c r="AR42" s="24">
        <f t="shared" si="49"/>
        <v>11</v>
      </c>
      <c r="AS42" s="24">
        <f t="shared" si="50"/>
        <v>8</v>
      </c>
      <c r="AT42" s="28">
        <f t="shared" si="51"/>
        <v>5</v>
      </c>
      <c r="AU42" s="24"/>
      <c r="AV42" s="27">
        <f t="shared" si="7"/>
        <v>1</v>
      </c>
      <c r="AW42" s="24">
        <f t="shared" si="52"/>
        <v>6</v>
      </c>
      <c r="AX42" s="2">
        <f t="shared" si="53"/>
        <v>4</v>
      </c>
      <c r="AY42" s="24">
        <f t="shared" si="54"/>
        <v>3</v>
      </c>
      <c r="AZ42" s="24">
        <f t="shared" si="55"/>
        <v>8</v>
      </c>
      <c r="BA42" s="24">
        <f t="shared" si="56"/>
        <v>5</v>
      </c>
      <c r="BB42" s="24">
        <f t="shared" si="57"/>
        <v>22</v>
      </c>
      <c r="BC42" s="24">
        <f t="shared" si="58"/>
        <v>4</v>
      </c>
      <c r="BD42" s="24">
        <f t="shared" si="59"/>
        <v>2</v>
      </c>
      <c r="BE42" s="28">
        <f t="shared" si="60"/>
        <v>2</v>
      </c>
      <c r="BF42" s="29">
        <f t="shared" ref="BF42:BO42" si="118">+(AK42+Z42+O42+D42)/4</f>
        <v>1.596774194</v>
      </c>
      <c r="BG42" s="24">
        <f t="shared" si="118"/>
        <v>17</v>
      </c>
      <c r="BH42" s="24">
        <f t="shared" si="118"/>
        <v>12</v>
      </c>
      <c r="BI42" s="24">
        <f t="shared" si="118"/>
        <v>7</v>
      </c>
      <c r="BJ42" s="24">
        <f t="shared" si="118"/>
        <v>22.75</v>
      </c>
      <c r="BK42" s="24">
        <f t="shared" si="118"/>
        <v>13.25</v>
      </c>
      <c r="BL42" s="24">
        <f t="shared" si="118"/>
        <v>6.25</v>
      </c>
      <c r="BM42" s="24">
        <f t="shared" si="118"/>
        <v>10.75</v>
      </c>
      <c r="BN42" s="24">
        <f t="shared" si="118"/>
        <v>6.25</v>
      </c>
      <c r="BO42" s="61">
        <f t="shared" si="118"/>
        <v>5.75</v>
      </c>
      <c r="BP42" s="30">
        <f t="shared" si="9"/>
        <v>-0.5967741935</v>
      </c>
      <c r="BQ42" s="31">
        <f t="shared" si="62"/>
        <v>0.2903225806</v>
      </c>
      <c r="BR42" s="31">
        <f t="shared" si="10"/>
        <v>0.1290322581</v>
      </c>
      <c r="BS42" s="31">
        <f t="shared" si="11"/>
        <v>0.06451612903</v>
      </c>
      <c r="BT42" s="31">
        <f t="shared" si="12"/>
        <v>0.06451612903</v>
      </c>
      <c r="BU42" s="31">
        <f t="shared" si="13"/>
        <v>0.03225806452</v>
      </c>
      <c r="BV42" s="31">
        <f t="shared" si="14"/>
        <v>0.7096774194</v>
      </c>
      <c r="BW42" s="31">
        <f t="shared" ref="BW42:BX42" si="119">+BR42+BS42+BT42</f>
        <v>0.2580645161</v>
      </c>
      <c r="BX42" s="32">
        <f t="shared" si="119"/>
        <v>0.1612903226</v>
      </c>
    </row>
    <row r="43" ht="15.75" customHeight="1">
      <c r="B43" s="33">
        <v>32.0</v>
      </c>
      <c r="C43" s="2">
        <v>4.0</v>
      </c>
      <c r="D43" s="3">
        <f t="shared" si="3"/>
        <v>2</v>
      </c>
      <c r="E43" s="2">
        <f t="shared" si="16"/>
        <v>11</v>
      </c>
      <c r="F43" s="2">
        <f t="shared" si="17"/>
        <v>15</v>
      </c>
      <c r="G43" s="2">
        <f t="shared" si="18"/>
        <v>14</v>
      </c>
      <c r="H43" s="2">
        <f t="shared" si="19"/>
        <v>23</v>
      </c>
      <c r="I43" s="2">
        <f t="shared" si="20"/>
        <v>17</v>
      </c>
      <c r="J43" s="2">
        <f t="shared" si="21"/>
        <v>6</v>
      </c>
      <c r="K43" s="2">
        <f t="shared" si="22"/>
        <v>8</v>
      </c>
      <c r="L43" s="2">
        <f t="shared" si="23"/>
        <v>3</v>
      </c>
      <c r="M43" s="34">
        <f t="shared" si="24"/>
        <v>12</v>
      </c>
      <c r="N43" s="2">
        <v>1.0</v>
      </c>
      <c r="O43" s="3">
        <f t="shared" si="4"/>
        <v>1.5625</v>
      </c>
      <c r="P43" s="2">
        <f t="shared" si="25"/>
        <v>20</v>
      </c>
      <c r="Q43" s="2">
        <f t="shared" si="26"/>
        <v>10</v>
      </c>
      <c r="R43" s="2">
        <f t="shared" si="27"/>
        <v>6</v>
      </c>
      <c r="S43" s="2">
        <f t="shared" si="28"/>
        <v>22</v>
      </c>
      <c r="T43" s="2">
        <f t="shared" si="29"/>
        <v>14</v>
      </c>
      <c r="U43" s="2">
        <f t="shared" si="30"/>
        <v>6</v>
      </c>
      <c r="V43" s="2">
        <f t="shared" si="31"/>
        <v>12</v>
      </c>
      <c r="W43" s="2">
        <f t="shared" si="32"/>
        <v>8</v>
      </c>
      <c r="X43" s="34">
        <f t="shared" si="33"/>
        <v>2</v>
      </c>
      <c r="Y43" s="2">
        <v>4.0</v>
      </c>
      <c r="Z43" s="3">
        <f t="shared" si="5"/>
        <v>1.28125</v>
      </c>
      <c r="AA43" s="2">
        <f t="shared" si="34"/>
        <v>19</v>
      </c>
      <c r="AB43" s="2">
        <f t="shared" si="35"/>
        <v>10</v>
      </c>
      <c r="AC43" s="2">
        <f t="shared" si="36"/>
        <v>5</v>
      </c>
      <c r="AD43" s="2">
        <f t="shared" si="37"/>
        <v>23</v>
      </c>
      <c r="AE43" s="2">
        <f t="shared" si="38"/>
        <v>11</v>
      </c>
      <c r="AF43" s="2">
        <f t="shared" si="39"/>
        <v>8</v>
      </c>
      <c r="AG43" s="2">
        <f t="shared" si="40"/>
        <v>13</v>
      </c>
      <c r="AH43" s="2">
        <f t="shared" si="41"/>
        <v>6</v>
      </c>
      <c r="AI43" s="34">
        <f t="shared" si="42"/>
        <v>4</v>
      </c>
      <c r="AJ43" s="2">
        <v>1.0</v>
      </c>
      <c r="AK43" s="3">
        <f t="shared" si="6"/>
        <v>1.65625</v>
      </c>
      <c r="AL43" s="2">
        <f t="shared" si="43"/>
        <v>20</v>
      </c>
      <c r="AM43" s="2">
        <f t="shared" si="44"/>
        <v>13</v>
      </c>
      <c r="AN43" s="2">
        <f t="shared" si="45"/>
        <v>5</v>
      </c>
      <c r="AO43" s="2">
        <f t="shared" si="46"/>
        <v>25</v>
      </c>
      <c r="AP43" s="2">
        <f t="shared" si="47"/>
        <v>13</v>
      </c>
      <c r="AQ43" s="2">
        <f t="shared" si="48"/>
        <v>5</v>
      </c>
      <c r="AR43" s="2">
        <f t="shared" si="49"/>
        <v>12</v>
      </c>
      <c r="AS43" s="2">
        <f t="shared" si="50"/>
        <v>8</v>
      </c>
      <c r="AT43" s="34">
        <f t="shared" si="51"/>
        <v>5</v>
      </c>
      <c r="AU43" s="2"/>
      <c r="AV43" s="3">
        <f t="shared" si="7"/>
        <v>1</v>
      </c>
      <c r="AW43" s="2">
        <f t="shared" si="52"/>
        <v>6</v>
      </c>
      <c r="AX43" s="2">
        <f t="shared" si="53"/>
        <v>4</v>
      </c>
      <c r="AY43" s="2">
        <f t="shared" si="54"/>
        <v>3</v>
      </c>
      <c r="AZ43" s="2">
        <f t="shared" si="55"/>
        <v>8</v>
      </c>
      <c r="BA43" s="2">
        <f t="shared" si="56"/>
        <v>5</v>
      </c>
      <c r="BB43" s="2">
        <f t="shared" si="57"/>
        <v>23</v>
      </c>
      <c r="BC43" s="2">
        <f t="shared" si="58"/>
        <v>4</v>
      </c>
      <c r="BD43" s="2">
        <f t="shared" si="59"/>
        <v>2</v>
      </c>
      <c r="BE43" s="34">
        <f t="shared" si="60"/>
        <v>2</v>
      </c>
      <c r="BF43" s="36">
        <f t="shared" ref="BF43:BO43" si="120">+(AK43+Z43+O43+D43)/4</f>
        <v>1.625</v>
      </c>
      <c r="BG43" s="2">
        <f t="shared" si="120"/>
        <v>17.5</v>
      </c>
      <c r="BH43" s="2">
        <f t="shared" si="120"/>
        <v>12</v>
      </c>
      <c r="BI43" s="2">
        <f t="shared" si="120"/>
        <v>7.5</v>
      </c>
      <c r="BJ43" s="2">
        <f t="shared" si="120"/>
        <v>23.25</v>
      </c>
      <c r="BK43" s="2">
        <f t="shared" si="120"/>
        <v>13.75</v>
      </c>
      <c r="BL43" s="2">
        <f t="shared" si="120"/>
        <v>6.25</v>
      </c>
      <c r="BM43" s="2">
        <f t="shared" si="120"/>
        <v>11.25</v>
      </c>
      <c r="BN43" s="2">
        <f t="shared" si="120"/>
        <v>6.25</v>
      </c>
      <c r="BO43" s="62">
        <f t="shared" si="120"/>
        <v>5.75</v>
      </c>
      <c r="BP43" s="37">
        <f t="shared" si="9"/>
        <v>-0.625</v>
      </c>
      <c r="BQ43" s="38">
        <f t="shared" si="62"/>
        <v>0.28125</v>
      </c>
      <c r="BR43" s="38">
        <f t="shared" si="10"/>
        <v>0.125</v>
      </c>
      <c r="BS43" s="38">
        <f t="shared" si="11"/>
        <v>0.0625</v>
      </c>
      <c r="BT43" s="38">
        <f t="shared" si="12"/>
        <v>0.0625</v>
      </c>
      <c r="BU43" s="38">
        <f t="shared" si="13"/>
        <v>0.03125</v>
      </c>
      <c r="BV43" s="38">
        <f t="shared" si="14"/>
        <v>0.71875</v>
      </c>
      <c r="BW43" s="38">
        <f t="shared" ref="BW43:BX43" si="121">+BR43+BS43+BT43</f>
        <v>0.25</v>
      </c>
      <c r="BX43" s="39">
        <f t="shared" si="121"/>
        <v>0.15625</v>
      </c>
    </row>
    <row r="44" ht="15.75" customHeight="1">
      <c r="A44" s="60"/>
      <c r="B44" s="40">
        <v>33.0</v>
      </c>
      <c r="C44" s="24">
        <v>1.0</v>
      </c>
      <c r="D44" s="27">
        <f t="shared" si="3"/>
        <v>1.96969697</v>
      </c>
      <c r="E44" s="24">
        <f t="shared" si="16"/>
        <v>12</v>
      </c>
      <c r="F44" s="2">
        <f t="shared" si="17"/>
        <v>15</v>
      </c>
      <c r="G44" s="24">
        <f t="shared" si="18"/>
        <v>14</v>
      </c>
      <c r="H44" s="24">
        <f t="shared" si="19"/>
        <v>24</v>
      </c>
      <c r="I44" s="24">
        <f t="shared" si="20"/>
        <v>17</v>
      </c>
      <c r="J44" s="24">
        <f t="shared" si="21"/>
        <v>6</v>
      </c>
      <c r="K44" s="24">
        <f t="shared" si="22"/>
        <v>9</v>
      </c>
      <c r="L44" s="24">
        <f t="shared" si="23"/>
        <v>3</v>
      </c>
      <c r="M44" s="28">
        <f t="shared" si="24"/>
        <v>12</v>
      </c>
      <c r="N44" s="24">
        <v>2.0</v>
      </c>
      <c r="O44" s="27">
        <f t="shared" si="4"/>
        <v>1.575757576</v>
      </c>
      <c r="P44" s="24">
        <f t="shared" si="25"/>
        <v>21</v>
      </c>
      <c r="Q44" s="2">
        <f t="shared" si="26"/>
        <v>11</v>
      </c>
      <c r="R44" s="24">
        <f t="shared" si="27"/>
        <v>6</v>
      </c>
      <c r="S44" s="24">
        <f t="shared" si="28"/>
        <v>23</v>
      </c>
      <c r="T44" s="24">
        <f t="shared" si="29"/>
        <v>15</v>
      </c>
      <c r="U44" s="24">
        <f t="shared" si="30"/>
        <v>6</v>
      </c>
      <c r="V44" s="24">
        <f t="shared" si="31"/>
        <v>12</v>
      </c>
      <c r="W44" s="24">
        <f t="shared" si="32"/>
        <v>9</v>
      </c>
      <c r="X44" s="28">
        <f t="shared" si="33"/>
        <v>2</v>
      </c>
      <c r="Y44" s="24">
        <v>1.0</v>
      </c>
      <c r="Z44" s="27">
        <f t="shared" si="5"/>
        <v>1.272727273</v>
      </c>
      <c r="AA44" s="24">
        <f t="shared" si="34"/>
        <v>20</v>
      </c>
      <c r="AB44" s="2">
        <f t="shared" si="35"/>
        <v>10</v>
      </c>
      <c r="AC44" s="24">
        <f t="shared" si="36"/>
        <v>5</v>
      </c>
      <c r="AD44" s="24">
        <f t="shared" si="37"/>
        <v>24</v>
      </c>
      <c r="AE44" s="24">
        <f t="shared" si="38"/>
        <v>11</v>
      </c>
      <c r="AF44" s="24">
        <f t="shared" si="39"/>
        <v>8</v>
      </c>
      <c r="AG44" s="24">
        <f t="shared" si="40"/>
        <v>14</v>
      </c>
      <c r="AH44" s="24">
        <f t="shared" si="41"/>
        <v>6</v>
      </c>
      <c r="AI44" s="28">
        <f t="shared" si="42"/>
        <v>4</v>
      </c>
      <c r="AJ44" s="24">
        <v>2.0</v>
      </c>
      <c r="AK44" s="27">
        <f t="shared" si="6"/>
        <v>1.666666667</v>
      </c>
      <c r="AL44" s="24">
        <f t="shared" si="43"/>
        <v>21</v>
      </c>
      <c r="AM44" s="2">
        <f t="shared" si="44"/>
        <v>14</v>
      </c>
      <c r="AN44" s="24">
        <f t="shared" si="45"/>
        <v>5</v>
      </c>
      <c r="AO44" s="24">
        <f t="shared" si="46"/>
        <v>26</v>
      </c>
      <c r="AP44" s="24">
        <f t="shared" si="47"/>
        <v>14</v>
      </c>
      <c r="AQ44" s="24">
        <f t="shared" si="48"/>
        <v>5</v>
      </c>
      <c r="AR44" s="24">
        <f t="shared" si="49"/>
        <v>12</v>
      </c>
      <c r="AS44" s="24">
        <f t="shared" si="50"/>
        <v>9</v>
      </c>
      <c r="AT44" s="28">
        <f t="shared" si="51"/>
        <v>5</v>
      </c>
      <c r="AU44" s="24"/>
      <c r="AV44" s="27">
        <f t="shared" si="7"/>
        <v>1</v>
      </c>
      <c r="AW44" s="24">
        <f t="shared" si="52"/>
        <v>6</v>
      </c>
      <c r="AX44" s="2">
        <f t="shared" si="53"/>
        <v>4</v>
      </c>
      <c r="AY44" s="24">
        <f t="shared" si="54"/>
        <v>3</v>
      </c>
      <c r="AZ44" s="24">
        <f t="shared" si="55"/>
        <v>8</v>
      </c>
      <c r="BA44" s="24">
        <f t="shared" si="56"/>
        <v>5</v>
      </c>
      <c r="BB44" s="24">
        <f t="shared" si="57"/>
        <v>24</v>
      </c>
      <c r="BC44" s="24">
        <f t="shared" si="58"/>
        <v>4</v>
      </c>
      <c r="BD44" s="24">
        <f t="shared" si="59"/>
        <v>2</v>
      </c>
      <c r="BE44" s="28">
        <f t="shared" si="60"/>
        <v>2</v>
      </c>
      <c r="BF44" s="29">
        <f t="shared" ref="BF44:BO44" si="122">+(AK44+Z44+O44+D44)/4</f>
        <v>1.621212121</v>
      </c>
      <c r="BG44" s="24">
        <f t="shared" si="122"/>
        <v>18.5</v>
      </c>
      <c r="BH44" s="24">
        <f t="shared" si="122"/>
        <v>12.5</v>
      </c>
      <c r="BI44" s="24">
        <f t="shared" si="122"/>
        <v>7.5</v>
      </c>
      <c r="BJ44" s="24">
        <f t="shared" si="122"/>
        <v>24.25</v>
      </c>
      <c r="BK44" s="24">
        <f t="shared" si="122"/>
        <v>14.25</v>
      </c>
      <c r="BL44" s="24">
        <f t="shared" si="122"/>
        <v>6.25</v>
      </c>
      <c r="BM44" s="24">
        <f t="shared" si="122"/>
        <v>11.75</v>
      </c>
      <c r="BN44" s="24">
        <f t="shared" si="122"/>
        <v>6.75</v>
      </c>
      <c r="BO44" s="61">
        <f t="shared" si="122"/>
        <v>5.75</v>
      </c>
      <c r="BP44" s="30">
        <f t="shared" si="9"/>
        <v>-0.6212121212</v>
      </c>
      <c r="BQ44" s="31">
        <f t="shared" si="62"/>
        <v>0.2727272727</v>
      </c>
      <c r="BR44" s="31">
        <f t="shared" si="10"/>
        <v>0.1212121212</v>
      </c>
      <c r="BS44" s="31">
        <f t="shared" si="11"/>
        <v>0.06060606061</v>
      </c>
      <c r="BT44" s="31">
        <f t="shared" si="12"/>
        <v>0.06060606061</v>
      </c>
      <c r="BU44" s="31">
        <f t="shared" si="13"/>
        <v>0.0303030303</v>
      </c>
      <c r="BV44" s="31">
        <f t="shared" si="14"/>
        <v>0.7272727273</v>
      </c>
      <c r="BW44" s="31">
        <f t="shared" ref="BW44:BX44" si="123">+BR44+BS44+BT44</f>
        <v>0.2424242424</v>
      </c>
      <c r="BX44" s="32">
        <f t="shared" si="123"/>
        <v>0.1515151515</v>
      </c>
    </row>
    <row r="45" ht="15.75" customHeight="1">
      <c r="B45" s="33">
        <v>34.0</v>
      </c>
      <c r="C45" s="2">
        <v>1.0</v>
      </c>
      <c r="D45" s="3">
        <f t="shared" si="3"/>
        <v>1.941176471</v>
      </c>
      <c r="E45" s="2">
        <f t="shared" si="16"/>
        <v>13</v>
      </c>
      <c r="F45" s="2">
        <f t="shared" si="17"/>
        <v>15</v>
      </c>
      <c r="G45" s="2">
        <f t="shared" si="18"/>
        <v>14</v>
      </c>
      <c r="H45" s="2">
        <f t="shared" si="19"/>
        <v>25</v>
      </c>
      <c r="I45" s="2">
        <f t="shared" si="20"/>
        <v>17</v>
      </c>
      <c r="J45" s="2">
        <f t="shared" si="21"/>
        <v>6</v>
      </c>
      <c r="K45" s="2">
        <f t="shared" si="22"/>
        <v>10</v>
      </c>
      <c r="L45" s="2">
        <f t="shared" si="23"/>
        <v>3</v>
      </c>
      <c r="M45" s="34">
        <f t="shared" si="24"/>
        <v>12</v>
      </c>
      <c r="N45" s="2">
        <v>0.0</v>
      </c>
      <c r="O45" s="3">
        <f t="shared" si="4"/>
        <v>1.529411765</v>
      </c>
      <c r="P45" s="2">
        <f t="shared" si="25"/>
        <v>21</v>
      </c>
      <c r="Q45" s="2">
        <f t="shared" si="26"/>
        <v>11</v>
      </c>
      <c r="R45" s="2">
        <f t="shared" si="27"/>
        <v>6</v>
      </c>
      <c r="S45" s="2">
        <f t="shared" si="28"/>
        <v>23</v>
      </c>
      <c r="T45" s="2">
        <f t="shared" si="29"/>
        <v>15</v>
      </c>
      <c r="U45" s="2">
        <f t="shared" si="30"/>
        <v>7</v>
      </c>
      <c r="V45" s="2">
        <f t="shared" si="31"/>
        <v>12</v>
      </c>
      <c r="W45" s="2">
        <f t="shared" si="32"/>
        <v>9</v>
      </c>
      <c r="X45" s="34">
        <f t="shared" si="33"/>
        <v>2</v>
      </c>
      <c r="Y45" s="2">
        <v>1.0</v>
      </c>
      <c r="Z45" s="3">
        <f t="shared" si="5"/>
        <v>1.264705882</v>
      </c>
      <c r="AA45" s="2">
        <f t="shared" si="34"/>
        <v>21</v>
      </c>
      <c r="AB45" s="2">
        <f t="shared" si="35"/>
        <v>10</v>
      </c>
      <c r="AC45" s="2">
        <f t="shared" si="36"/>
        <v>5</v>
      </c>
      <c r="AD45" s="2">
        <f t="shared" si="37"/>
        <v>25</v>
      </c>
      <c r="AE45" s="2">
        <f t="shared" si="38"/>
        <v>11</v>
      </c>
      <c r="AF45" s="2">
        <f t="shared" si="39"/>
        <v>8</v>
      </c>
      <c r="AG45" s="2">
        <f t="shared" si="40"/>
        <v>15</v>
      </c>
      <c r="AH45" s="2">
        <f t="shared" si="41"/>
        <v>6</v>
      </c>
      <c r="AI45" s="34">
        <f t="shared" si="42"/>
        <v>4</v>
      </c>
      <c r="AJ45" s="2">
        <v>2.0</v>
      </c>
      <c r="AK45" s="3">
        <f t="shared" si="6"/>
        <v>1.676470588</v>
      </c>
      <c r="AL45" s="2">
        <f t="shared" si="43"/>
        <v>22</v>
      </c>
      <c r="AM45" s="2">
        <f t="shared" si="44"/>
        <v>15</v>
      </c>
      <c r="AN45" s="2">
        <f t="shared" si="45"/>
        <v>5</v>
      </c>
      <c r="AO45" s="2">
        <f t="shared" si="46"/>
        <v>27</v>
      </c>
      <c r="AP45" s="2">
        <f t="shared" si="47"/>
        <v>15</v>
      </c>
      <c r="AQ45" s="2">
        <f t="shared" si="48"/>
        <v>5</v>
      </c>
      <c r="AR45" s="2">
        <f t="shared" si="49"/>
        <v>12</v>
      </c>
      <c r="AS45" s="2">
        <f t="shared" si="50"/>
        <v>10</v>
      </c>
      <c r="AT45" s="34">
        <f t="shared" si="51"/>
        <v>5</v>
      </c>
      <c r="AU45" s="2"/>
      <c r="AV45" s="3">
        <f t="shared" si="7"/>
        <v>1</v>
      </c>
      <c r="AW45" s="2">
        <f t="shared" si="52"/>
        <v>6</v>
      </c>
      <c r="AX45" s="2">
        <f t="shared" si="53"/>
        <v>4</v>
      </c>
      <c r="AY45" s="2">
        <f t="shared" si="54"/>
        <v>3</v>
      </c>
      <c r="AZ45" s="2">
        <f t="shared" si="55"/>
        <v>8</v>
      </c>
      <c r="BA45" s="2">
        <f t="shared" si="56"/>
        <v>5</v>
      </c>
      <c r="BB45" s="2">
        <f t="shared" si="57"/>
        <v>25</v>
      </c>
      <c r="BC45" s="2">
        <f t="shared" si="58"/>
        <v>4</v>
      </c>
      <c r="BD45" s="2">
        <f t="shared" si="59"/>
        <v>2</v>
      </c>
      <c r="BE45" s="34">
        <f t="shared" si="60"/>
        <v>2</v>
      </c>
      <c r="BF45" s="36">
        <f t="shared" ref="BF45:BO45" si="124">+(AK45+Z45+O45+D45)/4</f>
        <v>1.602941176</v>
      </c>
      <c r="BG45" s="2">
        <f t="shared" si="124"/>
        <v>19.25</v>
      </c>
      <c r="BH45" s="2">
        <f t="shared" si="124"/>
        <v>12.75</v>
      </c>
      <c r="BI45" s="2">
        <f t="shared" si="124"/>
        <v>7.5</v>
      </c>
      <c r="BJ45" s="2">
        <f t="shared" si="124"/>
        <v>25</v>
      </c>
      <c r="BK45" s="2">
        <f t="shared" si="124"/>
        <v>14.5</v>
      </c>
      <c r="BL45" s="2">
        <f t="shared" si="124"/>
        <v>6.5</v>
      </c>
      <c r="BM45" s="2">
        <f t="shared" si="124"/>
        <v>12.25</v>
      </c>
      <c r="BN45" s="2">
        <f t="shared" si="124"/>
        <v>7</v>
      </c>
      <c r="BO45" s="62">
        <f t="shared" si="124"/>
        <v>5.75</v>
      </c>
      <c r="BP45" s="37">
        <f t="shared" si="9"/>
        <v>-0.6029411765</v>
      </c>
      <c r="BQ45" s="38">
        <f t="shared" si="62"/>
        <v>0.2647058824</v>
      </c>
      <c r="BR45" s="38">
        <f t="shared" si="10"/>
        <v>0.1176470588</v>
      </c>
      <c r="BS45" s="38">
        <f t="shared" si="11"/>
        <v>0.05882352941</v>
      </c>
      <c r="BT45" s="38">
        <f t="shared" si="12"/>
        <v>0.05882352941</v>
      </c>
      <c r="BU45" s="38">
        <f t="shared" si="13"/>
        <v>0.02941176471</v>
      </c>
      <c r="BV45" s="38">
        <f t="shared" si="14"/>
        <v>0.7352941176</v>
      </c>
      <c r="BW45" s="38">
        <f t="shared" ref="BW45:BX45" si="125">+BR45+BS45+BT45</f>
        <v>0.2352941176</v>
      </c>
      <c r="BX45" s="39">
        <f t="shared" si="125"/>
        <v>0.1470588235</v>
      </c>
    </row>
    <row r="46" ht="15.75" customHeight="1">
      <c r="A46" s="60"/>
      <c r="B46" s="40">
        <v>35.0</v>
      </c>
      <c r="C46" s="24">
        <v>4.0</v>
      </c>
      <c r="D46" s="27">
        <f t="shared" si="3"/>
        <v>2</v>
      </c>
      <c r="E46" s="24">
        <f t="shared" si="16"/>
        <v>13</v>
      </c>
      <c r="F46" s="2">
        <f t="shared" si="17"/>
        <v>15</v>
      </c>
      <c r="G46" s="24">
        <f t="shared" si="18"/>
        <v>15</v>
      </c>
      <c r="H46" s="24">
        <f t="shared" si="19"/>
        <v>25</v>
      </c>
      <c r="I46" s="24">
        <f t="shared" si="20"/>
        <v>18</v>
      </c>
      <c r="J46" s="24">
        <f t="shared" si="21"/>
        <v>6</v>
      </c>
      <c r="K46" s="24">
        <f t="shared" si="22"/>
        <v>10</v>
      </c>
      <c r="L46" s="24">
        <f t="shared" si="23"/>
        <v>3</v>
      </c>
      <c r="M46" s="28">
        <f t="shared" si="24"/>
        <v>12</v>
      </c>
      <c r="N46" s="24">
        <v>2.0</v>
      </c>
      <c r="O46" s="27">
        <f t="shared" si="4"/>
        <v>1.542857143</v>
      </c>
      <c r="P46" s="24">
        <f t="shared" si="25"/>
        <v>22</v>
      </c>
      <c r="Q46" s="2">
        <f t="shared" si="26"/>
        <v>12</v>
      </c>
      <c r="R46" s="24">
        <f t="shared" si="27"/>
        <v>6</v>
      </c>
      <c r="S46" s="24">
        <f t="shared" si="28"/>
        <v>24</v>
      </c>
      <c r="T46" s="24">
        <f t="shared" si="29"/>
        <v>16</v>
      </c>
      <c r="U46" s="24">
        <f t="shared" si="30"/>
        <v>7</v>
      </c>
      <c r="V46" s="24">
        <f t="shared" si="31"/>
        <v>12</v>
      </c>
      <c r="W46" s="24">
        <f t="shared" si="32"/>
        <v>10</v>
      </c>
      <c r="X46" s="28">
        <f t="shared" si="33"/>
        <v>2</v>
      </c>
      <c r="Y46" s="24">
        <v>2.0</v>
      </c>
      <c r="Z46" s="27">
        <f t="shared" si="5"/>
        <v>1.285714286</v>
      </c>
      <c r="AA46" s="24">
        <f t="shared" si="34"/>
        <v>22</v>
      </c>
      <c r="AB46" s="2">
        <f t="shared" si="35"/>
        <v>11</v>
      </c>
      <c r="AC46" s="24">
        <f t="shared" si="36"/>
        <v>5</v>
      </c>
      <c r="AD46" s="24">
        <f t="shared" si="37"/>
        <v>26</v>
      </c>
      <c r="AE46" s="24">
        <f t="shared" si="38"/>
        <v>12</v>
      </c>
      <c r="AF46" s="24">
        <f t="shared" si="39"/>
        <v>8</v>
      </c>
      <c r="AG46" s="24">
        <f t="shared" si="40"/>
        <v>15</v>
      </c>
      <c r="AH46" s="24">
        <f t="shared" si="41"/>
        <v>7</v>
      </c>
      <c r="AI46" s="28">
        <f t="shared" si="42"/>
        <v>4</v>
      </c>
      <c r="AJ46" s="24">
        <v>1.0</v>
      </c>
      <c r="AK46" s="27">
        <f t="shared" si="6"/>
        <v>1.657142857</v>
      </c>
      <c r="AL46" s="24">
        <f t="shared" si="43"/>
        <v>23</v>
      </c>
      <c r="AM46" s="2">
        <f t="shared" si="44"/>
        <v>15</v>
      </c>
      <c r="AN46" s="24">
        <f t="shared" si="45"/>
        <v>5</v>
      </c>
      <c r="AO46" s="24">
        <f t="shared" si="46"/>
        <v>28</v>
      </c>
      <c r="AP46" s="24">
        <f t="shared" si="47"/>
        <v>15</v>
      </c>
      <c r="AQ46" s="24">
        <f t="shared" si="48"/>
        <v>5</v>
      </c>
      <c r="AR46" s="24">
        <f t="shared" si="49"/>
        <v>13</v>
      </c>
      <c r="AS46" s="24">
        <f t="shared" si="50"/>
        <v>10</v>
      </c>
      <c r="AT46" s="28">
        <f t="shared" si="51"/>
        <v>5</v>
      </c>
      <c r="AU46" s="24"/>
      <c r="AV46" s="27">
        <f t="shared" si="7"/>
        <v>1</v>
      </c>
      <c r="AW46" s="24">
        <f t="shared" si="52"/>
        <v>6</v>
      </c>
      <c r="AX46" s="2">
        <f t="shared" si="53"/>
        <v>4</v>
      </c>
      <c r="AY46" s="24">
        <f t="shared" si="54"/>
        <v>3</v>
      </c>
      <c r="AZ46" s="24">
        <f t="shared" si="55"/>
        <v>8</v>
      </c>
      <c r="BA46" s="24">
        <f t="shared" si="56"/>
        <v>5</v>
      </c>
      <c r="BB46" s="24">
        <f t="shared" si="57"/>
        <v>26</v>
      </c>
      <c r="BC46" s="24">
        <f t="shared" si="58"/>
        <v>4</v>
      </c>
      <c r="BD46" s="24">
        <f t="shared" si="59"/>
        <v>2</v>
      </c>
      <c r="BE46" s="28">
        <f t="shared" si="60"/>
        <v>2</v>
      </c>
      <c r="BF46" s="29">
        <f t="shared" ref="BF46:BO46" si="126">+(AK46+Z46+O46+D46)/4</f>
        <v>1.621428571</v>
      </c>
      <c r="BG46" s="24">
        <f t="shared" si="126"/>
        <v>20</v>
      </c>
      <c r="BH46" s="24">
        <f t="shared" si="126"/>
        <v>13.25</v>
      </c>
      <c r="BI46" s="24">
        <f t="shared" si="126"/>
        <v>7.75</v>
      </c>
      <c r="BJ46" s="24">
        <f t="shared" si="126"/>
        <v>25.75</v>
      </c>
      <c r="BK46" s="24">
        <f t="shared" si="126"/>
        <v>15.25</v>
      </c>
      <c r="BL46" s="24">
        <f t="shared" si="126"/>
        <v>6.5</v>
      </c>
      <c r="BM46" s="24">
        <f t="shared" si="126"/>
        <v>12.5</v>
      </c>
      <c r="BN46" s="24">
        <f t="shared" si="126"/>
        <v>7.5</v>
      </c>
      <c r="BO46" s="61">
        <f t="shared" si="126"/>
        <v>5.75</v>
      </c>
      <c r="BP46" s="30">
        <f t="shared" si="9"/>
        <v>-0.6214285714</v>
      </c>
      <c r="BQ46" s="31">
        <f t="shared" si="62"/>
        <v>0.2571428571</v>
      </c>
      <c r="BR46" s="31">
        <f t="shared" si="10"/>
        <v>0.1142857143</v>
      </c>
      <c r="BS46" s="31">
        <f t="shared" si="11"/>
        <v>0.05714285714</v>
      </c>
      <c r="BT46" s="31">
        <f t="shared" si="12"/>
        <v>0.05714285714</v>
      </c>
      <c r="BU46" s="31">
        <f t="shared" si="13"/>
        <v>0.02857142857</v>
      </c>
      <c r="BV46" s="31">
        <f t="shared" si="14"/>
        <v>0.7428571429</v>
      </c>
      <c r="BW46" s="31">
        <f t="shared" ref="BW46:BX46" si="127">+BR46+BS46+BT46</f>
        <v>0.2285714286</v>
      </c>
      <c r="BX46" s="32">
        <f t="shared" si="127"/>
        <v>0.1428571429</v>
      </c>
    </row>
    <row r="47" ht="15.75" customHeight="1">
      <c r="B47" s="33">
        <v>36.0</v>
      </c>
      <c r="C47" s="2">
        <v>2.0</v>
      </c>
      <c r="D47" s="3">
        <f t="shared" si="3"/>
        <v>2</v>
      </c>
      <c r="E47" s="2">
        <f t="shared" si="16"/>
        <v>14</v>
      </c>
      <c r="F47" s="2">
        <f t="shared" si="17"/>
        <v>16</v>
      </c>
      <c r="G47" s="2">
        <f t="shared" si="18"/>
        <v>15</v>
      </c>
      <c r="H47" s="2">
        <f t="shared" si="19"/>
        <v>26</v>
      </c>
      <c r="I47" s="2">
        <f t="shared" si="20"/>
        <v>19</v>
      </c>
      <c r="J47" s="2">
        <f t="shared" si="21"/>
        <v>6</v>
      </c>
      <c r="K47" s="2">
        <f t="shared" si="22"/>
        <v>10</v>
      </c>
      <c r="L47" s="2">
        <f t="shared" si="23"/>
        <v>4</v>
      </c>
      <c r="M47" s="34">
        <f t="shared" si="24"/>
        <v>12</v>
      </c>
      <c r="N47" s="2">
        <v>1.0</v>
      </c>
      <c r="O47" s="3">
        <f t="shared" si="4"/>
        <v>1.527777778</v>
      </c>
      <c r="P47" s="2">
        <f t="shared" si="25"/>
        <v>23</v>
      </c>
      <c r="Q47" s="2">
        <f t="shared" si="26"/>
        <v>12</v>
      </c>
      <c r="R47" s="2">
        <f t="shared" si="27"/>
        <v>6</v>
      </c>
      <c r="S47" s="2">
        <f t="shared" si="28"/>
        <v>25</v>
      </c>
      <c r="T47" s="2">
        <f t="shared" si="29"/>
        <v>16</v>
      </c>
      <c r="U47" s="2">
        <f t="shared" si="30"/>
        <v>7</v>
      </c>
      <c r="V47" s="2">
        <f t="shared" si="31"/>
        <v>13</v>
      </c>
      <c r="W47" s="2">
        <f t="shared" si="32"/>
        <v>10</v>
      </c>
      <c r="X47" s="34">
        <f t="shared" si="33"/>
        <v>2</v>
      </c>
      <c r="Y47" s="2">
        <v>2.0</v>
      </c>
      <c r="Z47" s="3">
        <f t="shared" si="5"/>
        <v>1.305555556</v>
      </c>
      <c r="AA47" s="2">
        <f t="shared" si="34"/>
        <v>23</v>
      </c>
      <c r="AB47" s="2">
        <f t="shared" si="35"/>
        <v>12</v>
      </c>
      <c r="AC47" s="2">
        <f t="shared" si="36"/>
        <v>5</v>
      </c>
      <c r="AD47" s="2">
        <f t="shared" si="37"/>
        <v>27</v>
      </c>
      <c r="AE47" s="2">
        <f t="shared" si="38"/>
        <v>13</v>
      </c>
      <c r="AF47" s="2">
        <f t="shared" si="39"/>
        <v>8</v>
      </c>
      <c r="AG47" s="2">
        <f t="shared" si="40"/>
        <v>15</v>
      </c>
      <c r="AH47" s="2">
        <f t="shared" si="41"/>
        <v>8</v>
      </c>
      <c r="AI47" s="34">
        <f t="shared" si="42"/>
        <v>4</v>
      </c>
      <c r="AJ47" s="2">
        <v>1.0</v>
      </c>
      <c r="AK47" s="3">
        <f t="shared" si="6"/>
        <v>1.638888889</v>
      </c>
      <c r="AL47" s="2">
        <f t="shared" si="43"/>
        <v>24</v>
      </c>
      <c r="AM47" s="2">
        <f t="shared" si="44"/>
        <v>15</v>
      </c>
      <c r="AN47" s="2">
        <f t="shared" si="45"/>
        <v>5</v>
      </c>
      <c r="AO47" s="2">
        <f t="shared" si="46"/>
        <v>29</v>
      </c>
      <c r="AP47" s="2">
        <f t="shared" si="47"/>
        <v>15</v>
      </c>
      <c r="AQ47" s="2">
        <f t="shared" si="48"/>
        <v>5</v>
      </c>
      <c r="AR47" s="2">
        <f t="shared" si="49"/>
        <v>14</v>
      </c>
      <c r="AS47" s="2">
        <f t="shared" si="50"/>
        <v>10</v>
      </c>
      <c r="AT47" s="34">
        <f t="shared" si="51"/>
        <v>5</v>
      </c>
      <c r="AU47" s="2"/>
      <c r="AV47" s="3">
        <f t="shared" si="7"/>
        <v>1</v>
      </c>
      <c r="AW47" s="2">
        <f t="shared" si="52"/>
        <v>6</v>
      </c>
      <c r="AX47" s="2">
        <f t="shared" si="53"/>
        <v>4</v>
      </c>
      <c r="AY47" s="2">
        <f t="shared" si="54"/>
        <v>3</v>
      </c>
      <c r="AZ47" s="2">
        <f t="shared" si="55"/>
        <v>8</v>
      </c>
      <c r="BA47" s="2">
        <f t="shared" si="56"/>
        <v>5</v>
      </c>
      <c r="BB47" s="2">
        <f t="shared" si="57"/>
        <v>27</v>
      </c>
      <c r="BC47" s="2">
        <f t="shared" si="58"/>
        <v>4</v>
      </c>
      <c r="BD47" s="2">
        <f t="shared" si="59"/>
        <v>2</v>
      </c>
      <c r="BE47" s="34">
        <f t="shared" si="60"/>
        <v>2</v>
      </c>
      <c r="BF47" s="36">
        <f t="shared" ref="BF47:BO47" si="128">+(AK47+Z47+O47+D47)/4</f>
        <v>1.618055556</v>
      </c>
      <c r="BG47" s="2">
        <f t="shared" si="128"/>
        <v>21</v>
      </c>
      <c r="BH47" s="2">
        <f t="shared" si="128"/>
        <v>13.75</v>
      </c>
      <c r="BI47" s="2">
        <f t="shared" si="128"/>
        <v>7.75</v>
      </c>
      <c r="BJ47" s="2">
        <f t="shared" si="128"/>
        <v>26.75</v>
      </c>
      <c r="BK47" s="2">
        <f t="shared" si="128"/>
        <v>15.75</v>
      </c>
      <c r="BL47" s="2">
        <f t="shared" si="128"/>
        <v>6.5</v>
      </c>
      <c r="BM47" s="2">
        <f t="shared" si="128"/>
        <v>13</v>
      </c>
      <c r="BN47" s="2">
        <f t="shared" si="128"/>
        <v>8</v>
      </c>
      <c r="BO47" s="62">
        <f t="shared" si="128"/>
        <v>5.75</v>
      </c>
      <c r="BP47" s="37">
        <f t="shared" si="9"/>
        <v>-0.6180555556</v>
      </c>
      <c r="BQ47" s="38">
        <f t="shared" si="62"/>
        <v>0.25</v>
      </c>
      <c r="BR47" s="38">
        <f t="shared" si="10"/>
        <v>0.1111111111</v>
      </c>
      <c r="BS47" s="38">
        <f t="shared" si="11"/>
        <v>0.05555555556</v>
      </c>
      <c r="BT47" s="38">
        <f t="shared" si="12"/>
        <v>0.05555555556</v>
      </c>
      <c r="BU47" s="38">
        <f t="shared" si="13"/>
        <v>0.02777777778</v>
      </c>
      <c r="BV47" s="38">
        <f t="shared" si="14"/>
        <v>0.75</v>
      </c>
      <c r="BW47" s="38">
        <f t="shared" ref="BW47:BX47" si="129">+BR47+BS47+BT47</f>
        <v>0.2222222222</v>
      </c>
      <c r="BX47" s="39">
        <f t="shared" si="129"/>
        <v>0.1388888889</v>
      </c>
    </row>
    <row r="48" ht="15.75" customHeight="1">
      <c r="A48" s="60"/>
      <c r="B48" s="40">
        <v>37.0</v>
      </c>
      <c r="C48" s="24">
        <v>2.0</v>
      </c>
      <c r="D48" s="27">
        <f t="shared" si="3"/>
        <v>2</v>
      </c>
      <c r="E48" s="24">
        <f t="shared" si="16"/>
        <v>15</v>
      </c>
      <c r="F48" s="2">
        <f t="shared" si="17"/>
        <v>17</v>
      </c>
      <c r="G48" s="24">
        <f t="shared" si="18"/>
        <v>15</v>
      </c>
      <c r="H48" s="24">
        <f t="shared" si="19"/>
        <v>27</v>
      </c>
      <c r="I48" s="24">
        <f t="shared" si="20"/>
        <v>20</v>
      </c>
      <c r="J48" s="24">
        <f t="shared" si="21"/>
        <v>6</v>
      </c>
      <c r="K48" s="24">
        <f t="shared" si="22"/>
        <v>10</v>
      </c>
      <c r="L48" s="24">
        <f t="shared" si="23"/>
        <v>5</v>
      </c>
      <c r="M48" s="28">
        <f t="shared" si="24"/>
        <v>12</v>
      </c>
      <c r="N48" s="24">
        <v>3.0</v>
      </c>
      <c r="O48" s="27">
        <f t="shared" si="4"/>
        <v>1.567567568</v>
      </c>
      <c r="P48" s="24">
        <f t="shared" si="25"/>
        <v>23</v>
      </c>
      <c r="Q48" s="2">
        <f t="shared" si="26"/>
        <v>13</v>
      </c>
      <c r="R48" s="24">
        <f t="shared" si="27"/>
        <v>7</v>
      </c>
      <c r="S48" s="24">
        <f t="shared" si="28"/>
        <v>26</v>
      </c>
      <c r="T48" s="24">
        <f t="shared" si="29"/>
        <v>17</v>
      </c>
      <c r="U48" s="24">
        <f t="shared" si="30"/>
        <v>7</v>
      </c>
      <c r="V48" s="24">
        <f t="shared" si="31"/>
        <v>13</v>
      </c>
      <c r="W48" s="24">
        <f t="shared" si="32"/>
        <v>10</v>
      </c>
      <c r="X48" s="28">
        <f t="shared" si="33"/>
        <v>3</v>
      </c>
      <c r="Y48" s="24">
        <v>1.0</v>
      </c>
      <c r="Z48" s="27">
        <f t="shared" si="5"/>
        <v>1.297297297</v>
      </c>
      <c r="AA48" s="24">
        <f t="shared" si="34"/>
        <v>24</v>
      </c>
      <c r="AB48" s="2">
        <f t="shared" si="35"/>
        <v>12</v>
      </c>
      <c r="AC48" s="24">
        <f t="shared" si="36"/>
        <v>5</v>
      </c>
      <c r="AD48" s="24">
        <f t="shared" si="37"/>
        <v>28</v>
      </c>
      <c r="AE48" s="24">
        <f t="shared" si="38"/>
        <v>13</v>
      </c>
      <c r="AF48" s="24">
        <f t="shared" si="39"/>
        <v>8</v>
      </c>
      <c r="AG48" s="24">
        <f t="shared" si="40"/>
        <v>16</v>
      </c>
      <c r="AH48" s="24">
        <f t="shared" si="41"/>
        <v>8</v>
      </c>
      <c r="AI48" s="28">
        <f t="shared" si="42"/>
        <v>4</v>
      </c>
      <c r="AJ48" s="24">
        <v>2.0</v>
      </c>
      <c r="AK48" s="27">
        <f t="shared" si="6"/>
        <v>1.648648649</v>
      </c>
      <c r="AL48" s="24">
        <f t="shared" si="43"/>
        <v>25</v>
      </c>
      <c r="AM48" s="2">
        <f t="shared" si="44"/>
        <v>16</v>
      </c>
      <c r="AN48" s="24">
        <f t="shared" si="45"/>
        <v>5</v>
      </c>
      <c r="AO48" s="24">
        <f t="shared" si="46"/>
        <v>30</v>
      </c>
      <c r="AP48" s="24">
        <f t="shared" si="47"/>
        <v>16</v>
      </c>
      <c r="AQ48" s="24">
        <f t="shared" si="48"/>
        <v>5</v>
      </c>
      <c r="AR48" s="24">
        <f t="shared" si="49"/>
        <v>14</v>
      </c>
      <c r="AS48" s="24">
        <f t="shared" si="50"/>
        <v>11</v>
      </c>
      <c r="AT48" s="28">
        <f t="shared" si="51"/>
        <v>5</v>
      </c>
      <c r="AU48" s="24"/>
      <c r="AV48" s="27">
        <f t="shared" si="7"/>
        <v>1</v>
      </c>
      <c r="AW48" s="24">
        <f t="shared" si="52"/>
        <v>6</v>
      </c>
      <c r="AX48" s="2">
        <f t="shared" si="53"/>
        <v>4</v>
      </c>
      <c r="AY48" s="24">
        <f t="shared" si="54"/>
        <v>3</v>
      </c>
      <c r="AZ48" s="24">
        <f t="shared" si="55"/>
        <v>8</v>
      </c>
      <c r="BA48" s="24">
        <f t="shared" si="56"/>
        <v>5</v>
      </c>
      <c r="BB48" s="24">
        <f t="shared" si="57"/>
        <v>28</v>
      </c>
      <c r="BC48" s="24">
        <f t="shared" si="58"/>
        <v>4</v>
      </c>
      <c r="BD48" s="24">
        <f t="shared" si="59"/>
        <v>2</v>
      </c>
      <c r="BE48" s="28">
        <f t="shared" si="60"/>
        <v>2</v>
      </c>
      <c r="BF48" s="29">
        <f t="shared" ref="BF48:BO48" si="130">+(AK48+Z48+O48+D48)/4</f>
        <v>1.628378378</v>
      </c>
      <c r="BG48" s="24">
        <f t="shared" si="130"/>
        <v>21.75</v>
      </c>
      <c r="BH48" s="24">
        <f t="shared" si="130"/>
        <v>14.5</v>
      </c>
      <c r="BI48" s="24">
        <f t="shared" si="130"/>
        <v>8</v>
      </c>
      <c r="BJ48" s="24">
        <f t="shared" si="130"/>
        <v>27.75</v>
      </c>
      <c r="BK48" s="24">
        <f t="shared" si="130"/>
        <v>16.5</v>
      </c>
      <c r="BL48" s="24">
        <f t="shared" si="130"/>
        <v>6.5</v>
      </c>
      <c r="BM48" s="24">
        <f t="shared" si="130"/>
        <v>13.25</v>
      </c>
      <c r="BN48" s="24">
        <f t="shared" si="130"/>
        <v>8.5</v>
      </c>
      <c r="BO48" s="61">
        <f t="shared" si="130"/>
        <v>6</v>
      </c>
      <c r="BP48" s="30">
        <f t="shared" si="9"/>
        <v>-0.6283783784</v>
      </c>
      <c r="BQ48" s="31">
        <f t="shared" si="62"/>
        <v>0.2432432432</v>
      </c>
      <c r="BR48" s="31">
        <f t="shared" si="10"/>
        <v>0.1081081081</v>
      </c>
      <c r="BS48" s="31">
        <f t="shared" si="11"/>
        <v>0.05405405405</v>
      </c>
      <c r="BT48" s="31">
        <f t="shared" si="12"/>
        <v>0.05405405405</v>
      </c>
      <c r="BU48" s="31">
        <f t="shared" si="13"/>
        <v>0.02702702703</v>
      </c>
      <c r="BV48" s="31">
        <f t="shared" si="14"/>
        <v>0.7567567568</v>
      </c>
      <c r="BW48" s="31">
        <f t="shared" ref="BW48:BX48" si="131">+BR48+BS48+BT48</f>
        <v>0.2162162162</v>
      </c>
      <c r="BX48" s="32">
        <f t="shared" si="131"/>
        <v>0.1351351351</v>
      </c>
    </row>
    <row r="49" ht="15.75" customHeight="1">
      <c r="B49" s="42">
        <v>38.0</v>
      </c>
      <c r="C49" s="43">
        <v>3.0</v>
      </c>
      <c r="D49" s="3">
        <f t="shared" si="3"/>
        <v>2.026315789</v>
      </c>
      <c r="E49" s="43">
        <f t="shared" si="16"/>
        <v>15</v>
      </c>
      <c r="F49" s="2">
        <f t="shared" si="17"/>
        <v>18</v>
      </c>
      <c r="G49" s="43">
        <f t="shared" si="18"/>
        <v>16</v>
      </c>
      <c r="H49" s="43">
        <f t="shared" si="19"/>
        <v>28</v>
      </c>
      <c r="I49" s="43">
        <f t="shared" si="20"/>
        <v>21</v>
      </c>
      <c r="J49" s="43">
        <f t="shared" si="21"/>
        <v>6</v>
      </c>
      <c r="K49" s="43">
        <f t="shared" si="22"/>
        <v>10</v>
      </c>
      <c r="L49" s="43">
        <f t="shared" si="23"/>
        <v>5</v>
      </c>
      <c r="M49" s="44">
        <f t="shared" si="24"/>
        <v>13</v>
      </c>
      <c r="N49" s="43">
        <v>2.0</v>
      </c>
      <c r="O49" s="3">
        <f t="shared" si="4"/>
        <v>1.578947368</v>
      </c>
      <c r="P49" s="43">
        <f t="shared" si="25"/>
        <v>24</v>
      </c>
      <c r="Q49" s="2">
        <f t="shared" si="26"/>
        <v>14</v>
      </c>
      <c r="R49" s="43">
        <f t="shared" si="27"/>
        <v>7</v>
      </c>
      <c r="S49" s="43">
        <f t="shared" si="28"/>
        <v>27</v>
      </c>
      <c r="T49" s="43">
        <f t="shared" si="29"/>
        <v>18</v>
      </c>
      <c r="U49" s="43">
        <f t="shared" si="30"/>
        <v>7</v>
      </c>
      <c r="V49" s="43">
        <f t="shared" si="31"/>
        <v>13</v>
      </c>
      <c r="W49" s="43">
        <f t="shared" si="32"/>
        <v>11</v>
      </c>
      <c r="X49" s="44">
        <f t="shared" si="33"/>
        <v>3</v>
      </c>
      <c r="Y49" s="43">
        <v>1.0</v>
      </c>
      <c r="Z49" s="3">
        <f t="shared" si="5"/>
        <v>1.289473684</v>
      </c>
      <c r="AA49" s="43">
        <f t="shared" si="34"/>
        <v>25</v>
      </c>
      <c r="AB49" s="2">
        <f t="shared" si="35"/>
        <v>12</v>
      </c>
      <c r="AC49" s="43">
        <f t="shared" si="36"/>
        <v>5</v>
      </c>
      <c r="AD49" s="43">
        <f t="shared" si="37"/>
        <v>29</v>
      </c>
      <c r="AE49" s="43">
        <f t="shared" si="38"/>
        <v>13</v>
      </c>
      <c r="AF49" s="43">
        <f t="shared" si="39"/>
        <v>8</v>
      </c>
      <c r="AG49" s="43">
        <f t="shared" si="40"/>
        <v>17</v>
      </c>
      <c r="AH49" s="43">
        <f t="shared" si="41"/>
        <v>8</v>
      </c>
      <c r="AI49" s="44">
        <f t="shared" si="42"/>
        <v>4</v>
      </c>
      <c r="AJ49" s="43">
        <v>0.0</v>
      </c>
      <c r="AK49" s="3">
        <f t="shared" si="6"/>
        <v>1.605263158</v>
      </c>
      <c r="AL49" s="43">
        <f t="shared" si="43"/>
        <v>25</v>
      </c>
      <c r="AM49" s="2">
        <f t="shared" si="44"/>
        <v>16</v>
      </c>
      <c r="AN49" s="43">
        <f t="shared" si="45"/>
        <v>5</v>
      </c>
      <c r="AO49" s="43">
        <f t="shared" si="46"/>
        <v>30</v>
      </c>
      <c r="AP49" s="43">
        <f t="shared" si="47"/>
        <v>16</v>
      </c>
      <c r="AQ49" s="43">
        <f t="shared" si="48"/>
        <v>6</v>
      </c>
      <c r="AR49" s="43">
        <f t="shared" si="49"/>
        <v>14</v>
      </c>
      <c r="AS49" s="43">
        <f t="shared" si="50"/>
        <v>11</v>
      </c>
      <c r="AT49" s="44">
        <f t="shared" si="51"/>
        <v>5</v>
      </c>
      <c r="AU49" s="43"/>
      <c r="AV49" s="3">
        <f t="shared" si="7"/>
        <v>1</v>
      </c>
      <c r="AW49" s="43">
        <f t="shared" si="52"/>
        <v>6</v>
      </c>
      <c r="AX49" s="2">
        <f t="shared" si="53"/>
        <v>4</v>
      </c>
      <c r="AY49" s="43">
        <f t="shared" si="54"/>
        <v>3</v>
      </c>
      <c r="AZ49" s="43">
        <f t="shared" si="55"/>
        <v>8</v>
      </c>
      <c r="BA49" s="43">
        <f t="shared" si="56"/>
        <v>5</v>
      </c>
      <c r="BB49" s="43">
        <f t="shared" si="57"/>
        <v>29</v>
      </c>
      <c r="BC49" s="43">
        <f t="shared" si="58"/>
        <v>4</v>
      </c>
      <c r="BD49" s="43">
        <f t="shared" si="59"/>
        <v>2</v>
      </c>
      <c r="BE49" s="44">
        <f t="shared" si="60"/>
        <v>2</v>
      </c>
      <c r="BF49" s="46">
        <f t="shared" ref="BF49:BO49" si="132">+(AK49+Z49+O49+D49)/4</f>
        <v>1.625</v>
      </c>
      <c r="BG49" s="43">
        <f t="shared" si="132"/>
        <v>22.25</v>
      </c>
      <c r="BH49" s="43">
        <f t="shared" si="132"/>
        <v>15</v>
      </c>
      <c r="BI49" s="43">
        <f t="shared" si="132"/>
        <v>8.25</v>
      </c>
      <c r="BJ49" s="43">
        <f t="shared" si="132"/>
        <v>28.5</v>
      </c>
      <c r="BK49" s="43">
        <f t="shared" si="132"/>
        <v>17</v>
      </c>
      <c r="BL49" s="43">
        <f t="shared" si="132"/>
        <v>6.75</v>
      </c>
      <c r="BM49" s="43">
        <f t="shared" si="132"/>
        <v>13.5</v>
      </c>
      <c r="BN49" s="43">
        <f t="shared" si="132"/>
        <v>8.75</v>
      </c>
      <c r="BO49" s="63">
        <f t="shared" si="132"/>
        <v>6.25</v>
      </c>
      <c r="BP49" s="48">
        <f t="shared" si="9"/>
        <v>-0.625</v>
      </c>
      <c r="BQ49" s="49">
        <f t="shared" si="62"/>
        <v>0.2368421053</v>
      </c>
      <c r="BR49" s="49">
        <f t="shared" si="10"/>
        <v>0.1052631579</v>
      </c>
      <c r="BS49" s="49">
        <f t="shared" si="11"/>
        <v>0.05263157895</v>
      </c>
      <c r="BT49" s="49">
        <f t="shared" si="12"/>
        <v>0.05263157895</v>
      </c>
      <c r="BU49" s="49">
        <f t="shared" si="13"/>
        <v>0.02631578947</v>
      </c>
      <c r="BV49" s="49">
        <f t="shared" si="14"/>
        <v>0.7631578947</v>
      </c>
      <c r="BW49" s="49">
        <f t="shared" ref="BW49:BX49" si="133">+BR49+BS49+BT49</f>
        <v>0.2105263158</v>
      </c>
      <c r="BX49" s="50">
        <f t="shared" si="133"/>
        <v>0.1315789474</v>
      </c>
    </row>
    <row r="50" ht="15.7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17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7">
    <mergeCell ref="B10:M10"/>
    <mergeCell ref="N10:X10"/>
    <mergeCell ref="Y10:AI10"/>
    <mergeCell ref="AJ10:AT10"/>
    <mergeCell ref="AU10:BE10"/>
    <mergeCell ref="BF10:BO10"/>
    <mergeCell ref="BP10:BX1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4" width="9.14"/>
    <col customWidth="1" min="5" max="6" width="9.43"/>
    <col customWidth="1" min="7" max="7" width="12.0"/>
    <col customWidth="1" min="8" max="8" width="9.43"/>
    <col customWidth="1" min="9" max="15" width="9.14"/>
    <col customWidth="1" min="16" max="17" width="9.43"/>
    <col customWidth="1" min="18" max="18" width="12.0"/>
    <col customWidth="1" min="19" max="19" width="9.43"/>
    <col customWidth="1" min="20" max="26" width="9.14"/>
    <col customWidth="1" min="27" max="28" width="9.43"/>
    <col customWidth="1" min="29" max="29" width="12.0"/>
    <col customWidth="1" min="30" max="30" width="9.43"/>
    <col customWidth="1" min="31" max="37" width="9.14"/>
    <col customWidth="1" min="38" max="39" width="9.43"/>
    <col customWidth="1" min="40" max="40" width="12.0"/>
    <col customWidth="1" min="41" max="41" width="9.43"/>
    <col customWidth="1" min="42" max="49" width="9.14"/>
    <col customWidth="1" min="50" max="50" width="8.86"/>
    <col customWidth="1" min="51" max="51" width="8.29"/>
    <col customWidth="1" min="52" max="53" width="9.14"/>
    <col customWidth="1" min="54" max="54" width="7.86"/>
    <col customWidth="1" min="55" max="55" width="7.43"/>
    <col customWidth="1" min="56" max="56" width="8.43"/>
    <col customWidth="1" min="57" max="62" width="9.14"/>
    <col customWidth="1" min="63" max="63" width="8.0"/>
    <col customWidth="1" min="64" max="67" width="9.14"/>
    <col customWidth="1" min="68" max="69" width="8.71"/>
    <col customWidth="1" min="70" max="70" width="9.14"/>
    <col customWidth="1" min="71" max="71" width="9.43"/>
    <col customWidth="1" min="72" max="72" width="7.43"/>
    <col customWidth="1" min="73" max="73" width="8.14"/>
    <col customWidth="1" min="74" max="74" width="8.86"/>
    <col customWidth="1" min="75" max="75" width="10.43"/>
    <col customWidth="1" min="76" max="76" width="13.86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3"/>
      <c r="BE9" s="3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</row>
    <row r="10">
      <c r="A10" s="2"/>
      <c r="B10" s="4" t="s">
        <v>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7" t="s">
        <v>1</v>
      </c>
      <c r="O10" s="5"/>
      <c r="P10" s="5"/>
      <c r="Q10" s="5"/>
      <c r="R10" s="5"/>
      <c r="S10" s="5"/>
      <c r="T10" s="5"/>
      <c r="U10" s="5"/>
      <c r="V10" s="5"/>
      <c r="W10" s="5"/>
      <c r="X10" s="6"/>
      <c r="Y10" s="8" t="s">
        <v>2</v>
      </c>
      <c r="Z10" s="5"/>
      <c r="AA10" s="5"/>
      <c r="AB10" s="5"/>
      <c r="AC10" s="5"/>
      <c r="AD10" s="5"/>
      <c r="AE10" s="5"/>
      <c r="AF10" s="5"/>
      <c r="AG10" s="5"/>
      <c r="AH10" s="5"/>
      <c r="AI10" s="6"/>
      <c r="AJ10" s="7" t="s">
        <v>3</v>
      </c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7" t="s">
        <v>4</v>
      </c>
      <c r="AV10" s="5"/>
      <c r="AW10" s="5"/>
      <c r="AX10" s="5"/>
      <c r="AY10" s="5"/>
      <c r="AZ10" s="5"/>
      <c r="BA10" s="5"/>
      <c r="BB10" s="5"/>
      <c r="BC10" s="5"/>
      <c r="BD10" s="5"/>
      <c r="BE10" s="9"/>
      <c r="BF10" s="10" t="s">
        <v>5</v>
      </c>
      <c r="BG10" s="11"/>
      <c r="BH10" s="11"/>
      <c r="BI10" s="11"/>
      <c r="BJ10" s="11"/>
      <c r="BK10" s="11"/>
      <c r="BL10" s="11"/>
      <c r="BM10" s="11"/>
      <c r="BN10" s="11"/>
      <c r="BO10" s="12"/>
      <c r="BP10" s="13" t="s">
        <v>6</v>
      </c>
      <c r="BQ10" s="14"/>
      <c r="BR10" s="14"/>
      <c r="BS10" s="14"/>
      <c r="BT10" s="14"/>
      <c r="BU10" s="14"/>
      <c r="BV10" s="14"/>
      <c r="BW10" s="14"/>
      <c r="BX10" s="15"/>
    </row>
    <row r="11">
      <c r="A11" s="2"/>
      <c r="B11" s="16"/>
      <c r="C11" s="17"/>
      <c r="D11" s="18" t="s">
        <v>7</v>
      </c>
      <c r="E11" s="19" t="s">
        <v>8</v>
      </c>
      <c r="F11" s="19" t="s">
        <v>9</v>
      </c>
      <c r="G11" s="19" t="s">
        <v>10</v>
      </c>
      <c r="H11" s="19" t="s">
        <v>11</v>
      </c>
      <c r="I11" s="19" t="s">
        <v>12</v>
      </c>
      <c r="J11" s="19" t="s">
        <v>13</v>
      </c>
      <c r="K11" s="19" t="s">
        <v>14</v>
      </c>
      <c r="L11" s="19" t="s">
        <v>15</v>
      </c>
      <c r="M11" s="20" t="s">
        <v>16</v>
      </c>
      <c r="N11" s="17"/>
      <c r="O11" s="18" t="s">
        <v>7</v>
      </c>
      <c r="P11" s="19" t="s">
        <v>8</v>
      </c>
      <c r="Q11" s="19" t="s">
        <v>9</v>
      </c>
      <c r="R11" s="19" t="s">
        <v>10</v>
      </c>
      <c r="S11" s="19" t="s">
        <v>11</v>
      </c>
      <c r="T11" s="19" t="s">
        <v>12</v>
      </c>
      <c r="U11" s="19" t="s">
        <v>13</v>
      </c>
      <c r="V11" s="19" t="s">
        <v>14</v>
      </c>
      <c r="W11" s="19" t="s">
        <v>15</v>
      </c>
      <c r="X11" s="20" t="s">
        <v>16</v>
      </c>
      <c r="Y11" s="17"/>
      <c r="Z11" s="18" t="s">
        <v>7</v>
      </c>
      <c r="AA11" s="19" t="s">
        <v>8</v>
      </c>
      <c r="AB11" s="19" t="s">
        <v>9</v>
      </c>
      <c r="AC11" s="19" t="s">
        <v>10</v>
      </c>
      <c r="AD11" s="19" t="s">
        <v>11</v>
      </c>
      <c r="AE11" s="19" t="s">
        <v>12</v>
      </c>
      <c r="AF11" s="19" t="s">
        <v>13</v>
      </c>
      <c r="AG11" s="19" t="s">
        <v>14</v>
      </c>
      <c r="AH11" s="19" t="s">
        <v>15</v>
      </c>
      <c r="AI11" s="20" t="s">
        <v>16</v>
      </c>
      <c r="AJ11" s="17"/>
      <c r="AK11" s="18" t="s">
        <v>7</v>
      </c>
      <c r="AL11" s="19" t="s">
        <v>8</v>
      </c>
      <c r="AM11" s="19" t="s">
        <v>9</v>
      </c>
      <c r="AN11" s="19" t="s">
        <v>10</v>
      </c>
      <c r="AO11" s="19" t="s">
        <v>11</v>
      </c>
      <c r="AP11" s="19" t="s">
        <v>12</v>
      </c>
      <c r="AQ11" s="19" t="s">
        <v>13</v>
      </c>
      <c r="AR11" s="19" t="s">
        <v>14</v>
      </c>
      <c r="AS11" s="19" t="s">
        <v>15</v>
      </c>
      <c r="AT11" s="20" t="s">
        <v>16</v>
      </c>
      <c r="AU11" s="17"/>
      <c r="AV11" s="18" t="s">
        <v>7</v>
      </c>
      <c r="AW11" s="19" t="s">
        <v>8</v>
      </c>
      <c r="AX11" s="19" t="s">
        <v>9</v>
      </c>
      <c r="AY11" s="19" t="s">
        <v>10</v>
      </c>
      <c r="AZ11" s="19" t="s">
        <v>11</v>
      </c>
      <c r="BA11" s="19" t="s">
        <v>12</v>
      </c>
      <c r="BB11" s="19" t="s">
        <v>13</v>
      </c>
      <c r="BC11" s="19" t="s">
        <v>14</v>
      </c>
      <c r="BD11" s="19" t="s">
        <v>15</v>
      </c>
      <c r="BE11" s="19" t="s">
        <v>16</v>
      </c>
      <c r="BF11" s="18" t="s">
        <v>7</v>
      </c>
      <c r="BG11" s="19" t="s">
        <v>8</v>
      </c>
      <c r="BH11" s="19" t="s">
        <v>9</v>
      </c>
      <c r="BI11" s="19" t="s">
        <v>10</v>
      </c>
      <c r="BJ11" s="19" t="s">
        <v>11</v>
      </c>
      <c r="BK11" s="19" t="s">
        <v>12</v>
      </c>
      <c r="BL11" s="19" t="s">
        <v>13</v>
      </c>
      <c r="BM11" s="19" t="s">
        <v>14</v>
      </c>
      <c r="BN11" s="19" t="s">
        <v>15</v>
      </c>
      <c r="BO11" s="19" t="s">
        <v>16</v>
      </c>
      <c r="BP11" s="21" t="s">
        <v>17</v>
      </c>
      <c r="BQ11" s="18" t="s">
        <v>18</v>
      </c>
      <c r="BR11" s="18" t="s">
        <v>19</v>
      </c>
      <c r="BS11" s="18" t="s">
        <v>20</v>
      </c>
      <c r="BT11" s="18" t="s">
        <v>21</v>
      </c>
      <c r="BU11" s="18" t="s">
        <v>22</v>
      </c>
      <c r="BV11" s="22" t="s">
        <v>23</v>
      </c>
      <c r="BW11" s="18" t="s">
        <v>24</v>
      </c>
      <c r="BX11" s="52" t="s">
        <v>25</v>
      </c>
    </row>
    <row r="12">
      <c r="A12" s="24"/>
      <c r="B12" s="25">
        <v>1.0</v>
      </c>
      <c r="C12" s="24">
        <v>1.0</v>
      </c>
      <c r="D12" s="27">
        <f t="shared" ref="D12:D49" si="3">AVERAGE($C$12:C12)</f>
        <v>1</v>
      </c>
      <c r="E12" s="24">
        <f>IF(AND(C12&gt;=1,C12&lt;=2),1,0)</f>
        <v>1</v>
      </c>
      <c r="F12" s="24">
        <f>IF(AND(C12&gt;=2,C12&lt;=3),1,0)</f>
        <v>0</v>
      </c>
      <c r="G12" s="24">
        <f>IF(AND(C12&gt;=3,C12&lt;=4),1,0)</f>
        <v>0</v>
      </c>
      <c r="H12" s="24">
        <f>IF(AND(C12&gt;=1,C12&lt;=3),1,0)</f>
        <v>1</v>
      </c>
      <c r="I12" s="24">
        <f>IF(AND(C12&gt;=2,C12&lt;=4),1,0)</f>
        <v>0</v>
      </c>
      <c r="J12" s="24">
        <f>IF((C12=0),1,0)</f>
        <v>0</v>
      </c>
      <c r="K12" s="24">
        <f>IF((C12=1),1,0)</f>
        <v>1</v>
      </c>
      <c r="L12" s="24">
        <f>IF((C12=2),1,0)</f>
        <v>0</v>
      </c>
      <c r="M12" s="28">
        <f>IF((C12=3),1,0)</f>
        <v>0</v>
      </c>
      <c r="N12" s="24">
        <v>2.0</v>
      </c>
      <c r="O12" s="27">
        <f t="shared" ref="O12:O49" si="4">AVERAGE($N$12:N12)</f>
        <v>2</v>
      </c>
      <c r="P12" s="24">
        <f>IF(AND(N12&gt;=1,N12&lt;=2),1,0)</f>
        <v>1</v>
      </c>
      <c r="Q12" s="24">
        <f>IF(AND(N12&gt;=2,N12&lt;=3),1,0)</f>
        <v>1</v>
      </c>
      <c r="R12" s="24">
        <f>IF(AND(N12&gt;=3,N12&lt;=4),1,0)</f>
        <v>0</v>
      </c>
      <c r="S12" s="24">
        <f>IF(AND(N12&gt;=1,N12&lt;=3),1,0)</f>
        <v>1</v>
      </c>
      <c r="T12" s="24">
        <f>IF(AND(N12&gt;=2,N12&lt;=4),1,0)</f>
        <v>1</v>
      </c>
      <c r="U12" s="24">
        <f>IF((N12=0),1,0)</f>
        <v>0</v>
      </c>
      <c r="V12" s="24">
        <f>IF((N12=1),1,0)</f>
        <v>0</v>
      </c>
      <c r="W12" s="24">
        <f>IF((N12=2),1,0)</f>
        <v>1</v>
      </c>
      <c r="X12" s="28">
        <f>IF((N12=3),1,0)</f>
        <v>0</v>
      </c>
      <c r="Y12" s="24">
        <v>0.0</v>
      </c>
      <c r="Z12" s="27">
        <f t="shared" ref="Z12:Z49" si="5">AVERAGE($Y$12:Y12)</f>
        <v>0</v>
      </c>
      <c r="AA12" s="24">
        <f>IF(AND(Y12&gt;=1,Y12&lt;=2),1,0)</f>
        <v>0</v>
      </c>
      <c r="AB12" s="24">
        <f>IF(AND(Y12&gt;=2,Y12&lt;=3),1,0)</f>
        <v>0</v>
      </c>
      <c r="AC12" s="24">
        <f>IF(AND(Y12&gt;=3,Y12&lt;=4),1,0)</f>
        <v>0</v>
      </c>
      <c r="AD12" s="24">
        <f>IF(AND(Y12&gt;=1,Y12&lt;=3),1,0)</f>
        <v>0</v>
      </c>
      <c r="AE12" s="24">
        <f>IF(AND(Y12&gt;=2,Y12&lt;=4),1,0)</f>
        <v>0</v>
      </c>
      <c r="AF12" s="24">
        <f>IF((Y12=0),1,0)</f>
        <v>1</v>
      </c>
      <c r="AG12" s="24">
        <f>IF((Y12=1),1,0)</f>
        <v>0</v>
      </c>
      <c r="AH12" s="24">
        <f>IF((Y12=2),1,0)</f>
        <v>0</v>
      </c>
      <c r="AI12" s="28">
        <f>IF((Y12=3),1,0)</f>
        <v>0</v>
      </c>
      <c r="AJ12" s="24">
        <v>2.0</v>
      </c>
      <c r="AK12" s="27">
        <f t="shared" ref="AK12:AK49" si="6">AVERAGE($AJ$12:AJ12)</f>
        <v>2</v>
      </c>
      <c r="AL12" s="24">
        <f>IF(AND(AJ12&gt;=1,AJ12&lt;=2),1,0)</f>
        <v>1</v>
      </c>
      <c r="AM12" s="24">
        <f>IF(AND(AJ12&gt;=2,AJ12&lt;=3),1,0)</f>
        <v>1</v>
      </c>
      <c r="AN12" s="24">
        <f>IF(AND(AJ12&gt;=3,AJ12&lt;=4),1,0)</f>
        <v>0</v>
      </c>
      <c r="AO12" s="24">
        <f>IF(AND(AJ12&gt;=1,AJ12&lt;=3),1,0)</f>
        <v>1</v>
      </c>
      <c r="AP12" s="24">
        <f>IF(AND(AJ12&gt;=2,AJ12&lt;=4),1,0)</f>
        <v>1</v>
      </c>
      <c r="AQ12" s="24">
        <f>IF((AJ12=0),1,0)</f>
        <v>0</v>
      </c>
      <c r="AR12" s="24">
        <f>IF((AJ12=1),1,0)</f>
        <v>0</v>
      </c>
      <c r="AS12" s="24">
        <f>IF((AJ12=2),1,0)</f>
        <v>1</v>
      </c>
      <c r="AT12" s="28">
        <f>IF((AJ12=3),1,0)</f>
        <v>0</v>
      </c>
      <c r="AU12" s="24">
        <v>0.0</v>
      </c>
      <c r="AV12" s="27">
        <f t="shared" ref="AV12:AV49" si="7">AVERAGE($AU$12:AU12)</f>
        <v>0</v>
      </c>
      <c r="AW12" s="24">
        <f>IF(AND(AU12&gt;=1,AU12&lt;=2),1,0)</f>
        <v>0</v>
      </c>
      <c r="AX12" s="24">
        <f>IF(AND(AU12&gt;=2,AU12&lt;=3),1,0)</f>
        <v>0</v>
      </c>
      <c r="AY12" s="24">
        <f>IF(AND(AU12&gt;=3,AU12&lt;=4),1,0)</f>
        <v>0</v>
      </c>
      <c r="AZ12" s="24">
        <f>IF(AND(AU12&gt;=1,AU12&lt;=3),1,0)</f>
        <v>0</v>
      </c>
      <c r="BA12" s="24">
        <f>IF(AND(AU12&gt;=2,AU12&lt;=4),1,0)</f>
        <v>0</v>
      </c>
      <c r="BB12" s="24">
        <f>IF((AU12=0),1,0)</f>
        <v>1</v>
      </c>
      <c r="BC12" s="24">
        <f>IF((AU12=1),1,0)</f>
        <v>0</v>
      </c>
      <c r="BD12" s="24">
        <f>IF((AU12=2),1,0)</f>
        <v>0</v>
      </c>
      <c r="BE12" s="24">
        <f>IF((AU12=3),1,0)</f>
        <v>0</v>
      </c>
      <c r="BF12" s="29">
        <f t="shared" ref="BF12:BO12" si="1">+(AK12+Z12+O12+D12)/4</f>
        <v>1.25</v>
      </c>
      <c r="BG12" s="24">
        <f t="shared" si="1"/>
        <v>0.75</v>
      </c>
      <c r="BH12" s="24">
        <f t="shared" si="1"/>
        <v>0.5</v>
      </c>
      <c r="BI12" s="24">
        <f t="shared" si="1"/>
        <v>0</v>
      </c>
      <c r="BJ12" s="24">
        <f t="shared" si="1"/>
        <v>0.75</v>
      </c>
      <c r="BK12" s="24">
        <f t="shared" si="1"/>
        <v>0.5</v>
      </c>
      <c r="BL12" s="24">
        <f t="shared" si="1"/>
        <v>0.25</v>
      </c>
      <c r="BM12" s="24">
        <f t="shared" si="1"/>
        <v>0.25</v>
      </c>
      <c r="BN12" s="24">
        <f t="shared" si="1"/>
        <v>0.5</v>
      </c>
      <c r="BO12" s="24">
        <f t="shared" si="1"/>
        <v>0</v>
      </c>
      <c r="BP12" s="30">
        <f t="shared" ref="BP12:BP49" si="9">+AV12-BF12</f>
        <v>-1.25</v>
      </c>
      <c r="BQ12" s="64">
        <f t="shared" ref="BQ12:BQ49" si="10">COUNTIF($AU$12:AU12,0)/B12</f>
        <v>1</v>
      </c>
      <c r="BR12" s="64">
        <f t="shared" ref="BR12:BR49" si="11">(COUNTIF($AU$12:AU12,1))/B12</f>
        <v>0</v>
      </c>
      <c r="BS12" s="64">
        <f t="shared" ref="BS12:BS49" si="12">(COUNTIF($AU$12:AU12,2))/B12</f>
        <v>0</v>
      </c>
      <c r="BT12" s="64">
        <f t="shared" ref="BT12:BT49" si="13">(COUNTIF($AU$12:AU12,3))/B12</f>
        <v>0</v>
      </c>
      <c r="BU12" s="64">
        <f t="shared" ref="BU12:BU49" si="14">(COUNTIF($AU$12:AU12,"&gt;=4"))/B12</f>
        <v>0</v>
      </c>
      <c r="BV12" s="64">
        <f t="shared" ref="BV12:BV49" si="15">1-BQ12</f>
        <v>0</v>
      </c>
      <c r="BW12" s="64">
        <f t="shared" ref="BW12:BX12" si="2">+BR12+BS12+BT12</f>
        <v>0</v>
      </c>
      <c r="BX12" s="65">
        <f t="shared" si="2"/>
        <v>0</v>
      </c>
    </row>
    <row r="13">
      <c r="A13" s="2"/>
      <c r="B13" s="33">
        <v>2.0</v>
      </c>
      <c r="C13" s="2">
        <v>1.0</v>
      </c>
      <c r="D13" s="3">
        <f t="shared" si="3"/>
        <v>1</v>
      </c>
      <c r="E13" s="2">
        <f t="shared" ref="E13:E49" si="17">IF(AND(C13&gt;=1,C13&lt;=2),(E12+1),E12)</f>
        <v>2</v>
      </c>
      <c r="F13" s="2">
        <f t="shared" ref="F13:F49" si="18">IF(AND(C13&gt;=2,C13&lt;=3),(F12+1),F12)</f>
        <v>0</v>
      </c>
      <c r="G13" s="2">
        <f t="shared" ref="G13:G49" si="19">IF(AND(C13&gt;=3,C13&lt;=4),(G12+1),G12)</f>
        <v>0</v>
      </c>
      <c r="H13" s="2">
        <f t="shared" ref="H13:H49" si="20">IF(AND(C13&gt;=1,C13&lt;=3),(H12+1),H12)</f>
        <v>2</v>
      </c>
      <c r="I13" s="2">
        <f t="shared" ref="I13:I49" si="21">IF(AND(C13&gt;=2,C13&lt;=4),(I12+1),I12)</f>
        <v>0</v>
      </c>
      <c r="J13" s="2">
        <f t="shared" ref="J13:J49" si="22">IF((C13=0),(J12+1),J12)</f>
        <v>0</v>
      </c>
      <c r="K13" s="2">
        <f t="shared" ref="K13:K49" si="23">IF((C13=1),(K12+1),K12)</f>
        <v>2</v>
      </c>
      <c r="L13" s="2">
        <f t="shared" ref="L13:L49" si="24">IF((C13=2),(L12+1),L12)</f>
        <v>0</v>
      </c>
      <c r="M13" s="34">
        <f t="shared" ref="M13:M49" si="25">IF((C13=3),(M12+1),M12)</f>
        <v>0</v>
      </c>
      <c r="N13" s="2">
        <v>0.0</v>
      </c>
      <c r="O13" s="3">
        <f t="shared" si="4"/>
        <v>1</v>
      </c>
      <c r="P13" s="2">
        <f t="shared" ref="P13:P49" si="26">IF(AND(N13&gt;=1,N13&lt;=2),(P12+1),P12)</f>
        <v>1</v>
      </c>
      <c r="Q13" s="2">
        <f t="shared" ref="Q13:Q49" si="27">IF(AND(N13&gt;=2,N13&lt;=3),(Q12+1),Q12)</f>
        <v>1</v>
      </c>
      <c r="R13" s="2">
        <f t="shared" ref="R13:R49" si="28">IF(AND(N13&gt;=3,N13&lt;=4),(R12+1),R12)</f>
        <v>0</v>
      </c>
      <c r="S13" s="2">
        <f t="shared" ref="S13:S49" si="29">IF(AND(N13&gt;=1,N13&lt;=3),(S12+1),S12)</f>
        <v>1</v>
      </c>
      <c r="T13" s="2">
        <f t="shared" ref="T13:T49" si="30">IF(AND(N13&gt;=2,N13&lt;=4),(T12+1),T12)</f>
        <v>1</v>
      </c>
      <c r="U13" s="2">
        <f t="shared" ref="U13:U49" si="31">IF((N13=0),(U12+1),U12)</f>
        <v>1</v>
      </c>
      <c r="V13" s="2">
        <f t="shared" ref="V13:V49" si="32">IF((N13=1),(V12+1),V12)</f>
        <v>0</v>
      </c>
      <c r="W13" s="2">
        <f t="shared" ref="W13:W49" si="33">IF((N13=2),(W12+1),W12)</f>
        <v>1</v>
      </c>
      <c r="X13" s="34">
        <f t="shared" ref="X13:X49" si="34">IF((N13=3),(X12+1),X12)</f>
        <v>0</v>
      </c>
      <c r="Y13" s="2">
        <v>1.0</v>
      </c>
      <c r="Z13" s="3">
        <f t="shared" si="5"/>
        <v>0.5</v>
      </c>
      <c r="AA13" s="2">
        <f t="shared" ref="AA13:AA49" si="35">IF(AND(Y13&gt;=1,Y13&lt;=2),(AA12+1),AA12)</f>
        <v>1</v>
      </c>
      <c r="AB13" s="2">
        <f t="shared" ref="AB13:AB49" si="36">IF(AND(Y13&gt;=2,Y13&lt;=3),(AB12+1),AB12)</f>
        <v>0</v>
      </c>
      <c r="AC13" s="2">
        <f t="shared" ref="AC13:AC49" si="37">IF(AND(Y13&gt;=3,Y13&lt;=4),(AC12+1),AC12)</f>
        <v>0</v>
      </c>
      <c r="AD13" s="2">
        <f t="shared" ref="AD13:AD49" si="38">IF(AND(Y13&gt;=1,Y13&lt;=3),(AD12+1),AD12)</f>
        <v>1</v>
      </c>
      <c r="AE13" s="2">
        <f t="shared" ref="AE13:AE49" si="39">IF(AND(Y13&gt;=2,Y13&lt;=4),(AE12+1),AE12)</f>
        <v>0</v>
      </c>
      <c r="AF13" s="2">
        <f t="shared" ref="AF13:AF49" si="40">IF((Y13=0),(AF12+1),AF12)</f>
        <v>1</v>
      </c>
      <c r="AG13" s="2">
        <f t="shared" ref="AG13:AG49" si="41">IF((Y13=1),(AG12+1),AG12)</f>
        <v>1</v>
      </c>
      <c r="AH13" s="2">
        <f t="shared" ref="AH13:AH49" si="42">IF((Y13=2),(AH12+1),AH12)</f>
        <v>0</v>
      </c>
      <c r="AI13" s="34">
        <f t="shared" ref="AI13:AI49" si="43">IF((Y13=3),(AI12+1),AI12)</f>
        <v>0</v>
      </c>
      <c r="AJ13" s="2">
        <v>2.0</v>
      </c>
      <c r="AK13" s="3">
        <f t="shared" si="6"/>
        <v>2</v>
      </c>
      <c r="AL13" s="2">
        <f t="shared" ref="AL13:AL49" si="44">IF(AND(AJ13&gt;=1,AJ13&lt;=2),(AL12+1),AL12)</f>
        <v>2</v>
      </c>
      <c r="AM13" s="2">
        <f t="shared" ref="AM13:AM49" si="45">IF(AND(AJ13&gt;=2,AJ13&lt;=3),(AM12+1),AM12)</f>
        <v>2</v>
      </c>
      <c r="AN13" s="2">
        <f t="shared" ref="AN13:AN49" si="46">IF(AND(AJ13&gt;=3,AJ13&lt;=4),(AN12+1),AN12)</f>
        <v>0</v>
      </c>
      <c r="AO13" s="2">
        <f t="shared" ref="AO13:AO49" si="47">IF(AND(AJ13&gt;=1,AJ13&lt;=3),(AO12+1),AO12)</f>
        <v>2</v>
      </c>
      <c r="AP13" s="2">
        <f t="shared" ref="AP13:AP49" si="48">IF(AND(AJ13&gt;=2,AJ13&lt;=4),(AP12+1),AP12)</f>
        <v>2</v>
      </c>
      <c r="AQ13" s="2">
        <f t="shared" ref="AQ13:AQ49" si="49">IF((AJ13=0),(AQ12+1),AQ12)</f>
        <v>0</v>
      </c>
      <c r="AR13" s="2">
        <f t="shared" ref="AR13:AR49" si="50">IF((AJ13=1),(AR12+1),AR12)</f>
        <v>0</v>
      </c>
      <c r="AS13" s="2">
        <f t="shared" ref="AS13:AS49" si="51">IF((AJ13=2),(AS12+1),AS12)</f>
        <v>2</v>
      </c>
      <c r="AT13" s="34">
        <f t="shared" ref="AT13:AT49" si="52">IF((AJ13=3),(AT12+1),AT12)</f>
        <v>0</v>
      </c>
      <c r="AU13" s="35">
        <v>0.0</v>
      </c>
      <c r="AV13" s="3">
        <f t="shared" si="7"/>
        <v>0</v>
      </c>
      <c r="AW13" s="2">
        <f t="shared" ref="AW13:AW49" si="53">IF(AND(AU13&gt;=1,AU13&lt;=2),(AW12+1),AW12)</f>
        <v>0</v>
      </c>
      <c r="AX13" s="2">
        <f t="shared" ref="AX13:AX49" si="54">IF(AND(AU13&gt;=2,AU13&lt;=3),(AX12+1),AX12)</f>
        <v>0</v>
      </c>
      <c r="AY13" s="2">
        <f t="shared" ref="AY13:AY49" si="55">IF(AND(AU13&gt;=3,AU13&lt;=4),(AY12+1),AY12)</f>
        <v>0</v>
      </c>
      <c r="AZ13" s="2">
        <f t="shared" ref="AZ13:AZ49" si="56">IF(AND(AU13&gt;=1,AU13&lt;=3),(AZ12+1),AZ12)</f>
        <v>0</v>
      </c>
      <c r="BA13" s="2">
        <f t="shared" ref="BA13:BA49" si="57">IF(AND(AU13&gt;=2,AU13&lt;=4),(BA12+1),BA12)</f>
        <v>0</v>
      </c>
      <c r="BB13" s="2">
        <f t="shared" ref="BB13:BB49" si="58">IF((AU13=0),(BB12+1),BB12)</f>
        <v>2</v>
      </c>
      <c r="BC13" s="2">
        <f t="shared" ref="BC13:BC49" si="59">IF((AU13=1),(BC12+1),BC12)</f>
        <v>0</v>
      </c>
      <c r="BD13" s="2">
        <f t="shared" ref="BD13:BD49" si="60">IF((AU13=2),(BD12+1),BD12)</f>
        <v>0</v>
      </c>
      <c r="BE13" s="2">
        <f t="shared" ref="BE13:BE49" si="61">IF((AU13=3),(BE12+1),BE12)</f>
        <v>0</v>
      </c>
      <c r="BF13" s="36">
        <f t="shared" ref="BF13:BO13" si="8">+(AK13+Z13+O13+D13)/4</f>
        <v>1.125</v>
      </c>
      <c r="BG13" s="2">
        <f t="shared" si="8"/>
        <v>1.5</v>
      </c>
      <c r="BH13" s="2">
        <f t="shared" si="8"/>
        <v>0.75</v>
      </c>
      <c r="BI13" s="2">
        <f t="shared" si="8"/>
        <v>0</v>
      </c>
      <c r="BJ13" s="2">
        <f t="shared" si="8"/>
        <v>1.5</v>
      </c>
      <c r="BK13" s="2">
        <f t="shared" si="8"/>
        <v>0.75</v>
      </c>
      <c r="BL13" s="2">
        <f t="shared" si="8"/>
        <v>0.5</v>
      </c>
      <c r="BM13" s="2">
        <f t="shared" si="8"/>
        <v>0.75</v>
      </c>
      <c r="BN13" s="2">
        <f t="shared" si="8"/>
        <v>0.75</v>
      </c>
      <c r="BO13" s="2">
        <f t="shared" si="8"/>
        <v>0</v>
      </c>
      <c r="BP13" s="37">
        <f t="shared" si="9"/>
        <v>-1.125</v>
      </c>
      <c r="BQ13" s="66">
        <f t="shared" si="10"/>
        <v>1</v>
      </c>
      <c r="BR13" s="66">
        <f t="shared" si="11"/>
        <v>0</v>
      </c>
      <c r="BS13" s="66">
        <f t="shared" si="12"/>
        <v>0</v>
      </c>
      <c r="BT13" s="66">
        <f t="shared" si="13"/>
        <v>0</v>
      </c>
      <c r="BU13" s="66">
        <f t="shared" si="14"/>
        <v>0</v>
      </c>
      <c r="BV13" s="66">
        <f t="shared" si="15"/>
        <v>0</v>
      </c>
      <c r="BW13" s="66">
        <f t="shared" ref="BW13:BX13" si="16">+BR13+BS13+BT13</f>
        <v>0</v>
      </c>
      <c r="BX13" s="67">
        <f t="shared" si="16"/>
        <v>0</v>
      </c>
    </row>
    <row r="14">
      <c r="A14" s="24"/>
      <c r="B14" s="40">
        <v>3.0</v>
      </c>
      <c r="C14" s="24">
        <v>4.0</v>
      </c>
      <c r="D14" s="27">
        <f t="shared" si="3"/>
        <v>2</v>
      </c>
      <c r="E14" s="24">
        <f t="shared" si="17"/>
        <v>2</v>
      </c>
      <c r="F14" s="2">
        <f t="shared" si="18"/>
        <v>0</v>
      </c>
      <c r="G14" s="24">
        <f t="shared" si="19"/>
        <v>1</v>
      </c>
      <c r="H14" s="24">
        <f t="shared" si="20"/>
        <v>2</v>
      </c>
      <c r="I14" s="24">
        <f t="shared" si="21"/>
        <v>1</v>
      </c>
      <c r="J14" s="24">
        <f t="shared" si="22"/>
        <v>0</v>
      </c>
      <c r="K14" s="24">
        <f t="shared" si="23"/>
        <v>2</v>
      </c>
      <c r="L14" s="24">
        <f t="shared" si="24"/>
        <v>0</v>
      </c>
      <c r="M14" s="28">
        <f t="shared" si="25"/>
        <v>0</v>
      </c>
      <c r="N14" s="24">
        <v>2.0</v>
      </c>
      <c r="O14" s="27">
        <f t="shared" si="4"/>
        <v>1.333333333</v>
      </c>
      <c r="P14" s="24">
        <f t="shared" si="26"/>
        <v>2</v>
      </c>
      <c r="Q14" s="2">
        <f t="shared" si="27"/>
        <v>2</v>
      </c>
      <c r="R14" s="24">
        <f t="shared" si="28"/>
        <v>0</v>
      </c>
      <c r="S14" s="24">
        <f t="shared" si="29"/>
        <v>2</v>
      </c>
      <c r="T14" s="24">
        <f t="shared" si="30"/>
        <v>2</v>
      </c>
      <c r="U14" s="24">
        <f t="shared" si="31"/>
        <v>1</v>
      </c>
      <c r="V14" s="24">
        <f t="shared" si="32"/>
        <v>0</v>
      </c>
      <c r="W14" s="24">
        <f t="shared" si="33"/>
        <v>2</v>
      </c>
      <c r="X14" s="28">
        <f t="shared" si="34"/>
        <v>0</v>
      </c>
      <c r="Y14" s="24">
        <v>1.0</v>
      </c>
      <c r="Z14" s="27">
        <f t="shared" si="5"/>
        <v>0.6666666667</v>
      </c>
      <c r="AA14" s="24">
        <f t="shared" si="35"/>
        <v>2</v>
      </c>
      <c r="AB14" s="2">
        <f t="shared" si="36"/>
        <v>0</v>
      </c>
      <c r="AC14" s="24">
        <f t="shared" si="37"/>
        <v>0</v>
      </c>
      <c r="AD14" s="24">
        <f t="shared" si="38"/>
        <v>2</v>
      </c>
      <c r="AE14" s="24">
        <f t="shared" si="39"/>
        <v>0</v>
      </c>
      <c r="AF14" s="24">
        <f t="shared" si="40"/>
        <v>1</v>
      </c>
      <c r="AG14" s="24">
        <f t="shared" si="41"/>
        <v>2</v>
      </c>
      <c r="AH14" s="24">
        <f t="shared" si="42"/>
        <v>0</v>
      </c>
      <c r="AI14" s="28">
        <f t="shared" si="43"/>
        <v>0</v>
      </c>
      <c r="AJ14" s="24">
        <v>1.0</v>
      </c>
      <c r="AK14" s="27">
        <f t="shared" si="6"/>
        <v>1.666666667</v>
      </c>
      <c r="AL14" s="24">
        <f t="shared" si="44"/>
        <v>3</v>
      </c>
      <c r="AM14" s="2">
        <f t="shared" si="45"/>
        <v>2</v>
      </c>
      <c r="AN14" s="24">
        <f t="shared" si="46"/>
        <v>0</v>
      </c>
      <c r="AO14" s="24">
        <f t="shared" si="47"/>
        <v>3</v>
      </c>
      <c r="AP14" s="24">
        <f t="shared" si="48"/>
        <v>2</v>
      </c>
      <c r="AQ14" s="24">
        <f t="shared" si="49"/>
        <v>0</v>
      </c>
      <c r="AR14" s="24">
        <f t="shared" si="50"/>
        <v>1</v>
      </c>
      <c r="AS14" s="24">
        <f t="shared" si="51"/>
        <v>2</v>
      </c>
      <c r="AT14" s="28">
        <f t="shared" si="52"/>
        <v>0</v>
      </c>
      <c r="AU14" s="24">
        <v>1.0</v>
      </c>
      <c r="AV14" s="27">
        <f t="shared" si="7"/>
        <v>0.3333333333</v>
      </c>
      <c r="AW14" s="24">
        <f t="shared" si="53"/>
        <v>1</v>
      </c>
      <c r="AX14" s="2">
        <f t="shared" si="54"/>
        <v>0</v>
      </c>
      <c r="AY14" s="24">
        <f t="shared" si="55"/>
        <v>0</v>
      </c>
      <c r="AZ14" s="24">
        <f t="shared" si="56"/>
        <v>1</v>
      </c>
      <c r="BA14" s="24">
        <f t="shared" si="57"/>
        <v>0</v>
      </c>
      <c r="BB14" s="24">
        <f t="shared" si="58"/>
        <v>2</v>
      </c>
      <c r="BC14" s="24">
        <f t="shared" si="59"/>
        <v>1</v>
      </c>
      <c r="BD14" s="24">
        <f t="shared" si="60"/>
        <v>0</v>
      </c>
      <c r="BE14" s="24">
        <f t="shared" si="61"/>
        <v>0</v>
      </c>
      <c r="BF14" s="29">
        <f t="shared" ref="BF14:BO14" si="62">+(AK14+Z14+O14+D14)/4</f>
        <v>1.416666667</v>
      </c>
      <c r="BG14" s="24">
        <f t="shared" si="62"/>
        <v>2.25</v>
      </c>
      <c r="BH14" s="24">
        <f t="shared" si="62"/>
        <v>1</v>
      </c>
      <c r="BI14" s="24">
        <f t="shared" si="62"/>
        <v>0.25</v>
      </c>
      <c r="BJ14" s="24">
        <f t="shared" si="62"/>
        <v>2.25</v>
      </c>
      <c r="BK14" s="24">
        <f t="shared" si="62"/>
        <v>1.25</v>
      </c>
      <c r="BL14" s="24">
        <f t="shared" si="62"/>
        <v>0.5</v>
      </c>
      <c r="BM14" s="24">
        <f t="shared" si="62"/>
        <v>1.25</v>
      </c>
      <c r="BN14" s="24">
        <f t="shared" si="62"/>
        <v>1</v>
      </c>
      <c r="BO14" s="24">
        <f t="shared" si="62"/>
        <v>0</v>
      </c>
      <c r="BP14" s="30">
        <f t="shared" si="9"/>
        <v>-1.083333333</v>
      </c>
      <c r="BQ14" s="64">
        <f t="shared" si="10"/>
        <v>0.6666666667</v>
      </c>
      <c r="BR14" s="64">
        <f t="shared" si="11"/>
        <v>0.3333333333</v>
      </c>
      <c r="BS14" s="64">
        <f t="shared" si="12"/>
        <v>0</v>
      </c>
      <c r="BT14" s="64">
        <f t="shared" si="13"/>
        <v>0</v>
      </c>
      <c r="BU14" s="64">
        <f t="shared" si="14"/>
        <v>0</v>
      </c>
      <c r="BV14" s="64">
        <f t="shared" si="15"/>
        <v>0.3333333333</v>
      </c>
      <c r="BW14" s="64">
        <f t="shared" ref="BW14:BX14" si="63">+BR14+BS14+BT14</f>
        <v>0.3333333333</v>
      </c>
      <c r="BX14" s="65">
        <f t="shared" si="63"/>
        <v>0</v>
      </c>
    </row>
    <row r="15">
      <c r="A15" s="2"/>
      <c r="B15" s="33">
        <v>4.0</v>
      </c>
      <c r="C15" s="2">
        <v>1.0</v>
      </c>
      <c r="D15" s="3">
        <f t="shared" si="3"/>
        <v>1.75</v>
      </c>
      <c r="E15" s="2">
        <f t="shared" si="17"/>
        <v>3</v>
      </c>
      <c r="F15" s="2">
        <f t="shared" si="18"/>
        <v>0</v>
      </c>
      <c r="G15" s="2">
        <f t="shared" si="19"/>
        <v>1</v>
      </c>
      <c r="H15" s="2">
        <f t="shared" si="20"/>
        <v>3</v>
      </c>
      <c r="I15" s="2">
        <f t="shared" si="21"/>
        <v>1</v>
      </c>
      <c r="J15" s="2">
        <f t="shared" si="22"/>
        <v>0</v>
      </c>
      <c r="K15" s="2">
        <f t="shared" si="23"/>
        <v>3</v>
      </c>
      <c r="L15" s="2">
        <f t="shared" si="24"/>
        <v>0</v>
      </c>
      <c r="M15" s="34">
        <f t="shared" si="25"/>
        <v>0</v>
      </c>
      <c r="N15" s="2">
        <v>1.0</v>
      </c>
      <c r="O15" s="3">
        <f t="shared" si="4"/>
        <v>1.25</v>
      </c>
      <c r="P15" s="2">
        <f t="shared" si="26"/>
        <v>3</v>
      </c>
      <c r="Q15" s="2">
        <f t="shared" si="27"/>
        <v>2</v>
      </c>
      <c r="R15" s="2">
        <f t="shared" si="28"/>
        <v>0</v>
      </c>
      <c r="S15" s="2">
        <f t="shared" si="29"/>
        <v>3</v>
      </c>
      <c r="T15" s="2">
        <f t="shared" si="30"/>
        <v>2</v>
      </c>
      <c r="U15" s="2">
        <f t="shared" si="31"/>
        <v>1</v>
      </c>
      <c r="V15" s="2">
        <f t="shared" si="32"/>
        <v>1</v>
      </c>
      <c r="W15" s="2">
        <f t="shared" si="33"/>
        <v>2</v>
      </c>
      <c r="X15" s="34">
        <f t="shared" si="34"/>
        <v>0</v>
      </c>
      <c r="Y15" s="2">
        <v>3.0</v>
      </c>
      <c r="Z15" s="3">
        <f t="shared" si="5"/>
        <v>1.25</v>
      </c>
      <c r="AA15" s="2">
        <f t="shared" si="35"/>
        <v>2</v>
      </c>
      <c r="AB15" s="2">
        <f t="shared" si="36"/>
        <v>1</v>
      </c>
      <c r="AC15" s="2">
        <f t="shared" si="37"/>
        <v>1</v>
      </c>
      <c r="AD15" s="2">
        <f t="shared" si="38"/>
        <v>3</v>
      </c>
      <c r="AE15" s="2">
        <f t="shared" si="39"/>
        <v>1</v>
      </c>
      <c r="AF15" s="2">
        <f t="shared" si="40"/>
        <v>1</v>
      </c>
      <c r="AG15" s="2">
        <f t="shared" si="41"/>
        <v>2</v>
      </c>
      <c r="AH15" s="2">
        <f t="shared" si="42"/>
        <v>0</v>
      </c>
      <c r="AI15" s="34">
        <f t="shared" si="43"/>
        <v>1</v>
      </c>
      <c r="AJ15" s="2">
        <v>0.0</v>
      </c>
      <c r="AK15" s="3">
        <f t="shared" si="6"/>
        <v>1.25</v>
      </c>
      <c r="AL15" s="2">
        <f t="shared" si="44"/>
        <v>3</v>
      </c>
      <c r="AM15" s="2">
        <f t="shared" si="45"/>
        <v>2</v>
      </c>
      <c r="AN15" s="2">
        <f t="shared" si="46"/>
        <v>0</v>
      </c>
      <c r="AO15" s="2">
        <f t="shared" si="47"/>
        <v>3</v>
      </c>
      <c r="AP15" s="2">
        <f t="shared" si="48"/>
        <v>2</v>
      </c>
      <c r="AQ15" s="2">
        <f t="shared" si="49"/>
        <v>1</v>
      </c>
      <c r="AR15" s="2">
        <f t="shared" si="50"/>
        <v>1</v>
      </c>
      <c r="AS15" s="2">
        <f t="shared" si="51"/>
        <v>2</v>
      </c>
      <c r="AT15" s="34">
        <f t="shared" si="52"/>
        <v>0</v>
      </c>
      <c r="AU15" s="35">
        <v>0.0</v>
      </c>
      <c r="AV15" s="3">
        <f t="shared" si="7"/>
        <v>0.25</v>
      </c>
      <c r="AW15" s="2">
        <f t="shared" si="53"/>
        <v>1</v>
      </c>
      <c r="AX15" s="2">
        <f t="shared" si="54"/>
        <v>0</v>
      </c>
      <c r="AY15" s="2">
        <f t="shared" si="55"/>
        <v>0</v>
      </c>
      <c r="AZ15" s="2">
        <f t="shared" si="56"/>
        <v>1</v>
      </c>
      <c r="BA15" s="2">
        <f t="shared" si="57"/>
        <v>0</v>
      </c>
      <c r="BB15" s="2">
        <f t="shared" si="58"/>
        <v>3</v>
      </c>
      <c r="BC15" s="2">
        <f t="shared" si="59"/>
        <v>1</v>
      </c>
      <c r="BD15" s="2">
        <f t="shared" si="60"/>
        <v>0</v>
      </c>
      <c r="BE15" s="2">
        <f t="shared" si="61"/>
        <v>0</v>
      </c>
      <c r="BF15" s="36">
        <f t="shared" ref="BF15:BO15" si="64">+(AK15+Z15+O15+D15)/4</f>
        <v>1.375</v>
      </c>
      <c r="BG15" s="2">
        <f t="shared" si="64"/>
        <v>2.75</v>
      </c>
      <c r="BH15" s="2">
        <f t="shared" si="64"/>
        <v>1.25</v>
      </c>
      <c r="BI15" s="2">
        <f t="shared" si="64"/>
        <v>0.5</v>
      </c>
      <c r="BJ15" s="2">
        <f t="shared" si="64"/>
        <v>3</v>
      </c>
      <c r="BK15" s="2">
        <f t="shared" si="64"/>
        <v>1.5</v>
      </c>
      <c r="BL15" s="2">
        <f t="shared" si="64"/>
        <v>0.75</v>
      </c>
      <c r="BM15" s="2">
        <f t="shared" si="64"/>
        <v>1.75</v>
      </c>
      <c r="BN15" s="2">
        <f t="shared" si="64"/>
        <v>1</v>
      </c>
      <c r="BO15" s="2">
        <f t="shared" si="64"/>
        <v>0.25</v>
      </c>
      <c r="BP15" s="37">
        <f t="shared" si="9"/>
        <v>-1.125</v>
      </c>
      <c r="BQ15" s="66">
        <f t="shared" si="10"/>
        <v>0.75</v>
      </c>
      <c r="BR15" s="66">
        <f t="shared" si="11"/>
        <v>0.25</v>
      </c>
      <c r="BS15" s="66">
        <f t="shared" si="12"/>
        <v>0</v>
      </c>
      <c r="BT15" s="66">
        <f t="shared" si="13"/>
        <v>0</v>
      </c>
      <c r="BU15" s="66">
        <f t="shared" si="14"/>
        <v>0</v>
      </c>
      <c r="BV15" s="66">
        <f t="shared" si="15"/>
        <v>0.25</v>
      </c>
      <c r="BW15" s="66">
        <f t="shared" ref="BW15:BX15" si="65">+BR15+BS15+BT15</f>
        <v>0.25</v>
      </c>
      <c r="BX15" s="67">
        <f t="shared" si="65"/>
        <v>0</v>
      </c>
    </row>
    <row r="16">
      <c r="A16" s="24"/>
      <c r="B16" s="40">
        <v>5.0</v>
      </c>
      <c r="C16" s="24">
        <v>1.0</v>
      </c>
      <c r="D16" s="27">
        <f t="shared" si="3"/>
        <v>1.6</v>
      </c>
      <c r="E16" s="24">
        <f t="shared" si="17"/>
        <v>4</v>
      </c>
      <c r="F16" s="2">
        <f t="shared" si="18"/>
        <v>0</v>
      </c>
      <c r="G16" s="24">
        <f t="shared" si="19"/>
        <v>1</v>
      </c>
      <c r="H16" s="24">
        <f t="shared" si="20"/>
        <v>4</v>
      </c>
      <c r="I16" s="24">
        <f t="shared" si="21"/>
        <v>1</v>
      </c>
      <c r="J16" s="24">
        <f t="shared" si="22"/>
        <v>0</v>
      </c>
      <c r="K16" s="24">
        <f t="shared" si="23"/>
        <v>4</v>
      </c>
      <c r="L16" s="24">
        <f t="shared" si="24"/>
        <v>0</v>
      </c>
      <c r="M16" s="28">
        <f t="shared" si="25"/>
        <v>0</v>
      </c>
      <c r="N16" s="24">
        <v>1.0</v>
      </c>
      <c r="O16" s="27">
        <f t="shared" si="4"/>
        <v>1.2</v>
      </c>
      <c r="P16" s="24">
        <f t="shared" si="26"/>
        <v>4</v>
      </c>
      <c r="Q16" s="2">
        <f t="shared" si="27"/>
        <v>2</v>
      </c>
      <c r="R16" s="24">
        <f t="shared" si="28"/>
        <v>0</v>
      </c>
      <c r="S16" s="24">
        <f t="shared" si="29"/>
        <v>4</v>
      </c>
      <c r="T16" s="24">
        <f t="shared" si="30"/>
        <v>2</v>
      </c>
      <c r="U16" s="24">
        <f t="shared" si="31"/>
        <v>1</v>
      </c>
      <c r="V16" s="24">
        <f t="shared" si="32"/>
        <v>2</v>
      </c>
      <c r="W16" s="24">
        <f t="shared" si="33"/>
        <v>2</v>
      </c>
      <c r="X16" s="28">
        <f t="shared" si="34"/>
        <v>0</v>
      </c>
      <c r="Y16" s="24">
        <v>1.0</v>
      </c>
      <c r="Z16" s="27">
        <f t="shared" si="5"/>
        <v>1.2</v>
      </c>
      <c r="AA16" s="24">
        <f t="shared" si="35"/>
        <v>3</v>
      </c>
      <c r="AB16" s="2">
        <f t="shared" si="36"/>
        <v>1</v>
      </c>
      <c r="AC16" s="24">
        <f t="shared" si="37"/>
        <v>1</v>
      </c>
      <c r="AD16" s="24">
        <f t="shared" si="38"/>
        <v>4</v>
      </c>
      <c r="AE16" s="24">
        <f t="shared" si="39"/>
        <v>1</v>
      </c>
      <c r="AF16" s="24">
        <f t="shared" si="40"/>
        <v>1</v>
      </c>
      <c r="AG16" s="24">
        <f t="shared" si="41"/>
        <v>3</v>
      </c>
      <c r="AH16" s="24">
        <f t="shared" si="42"/>
        <v>0</v>
      </c>
      <c r="AI16" s="28">
        <f t="shared" si="43"/>
        <v>1</v>
      </c>
      <c r="AJ16" s="24">
        <v>3.0</v>
      </c>
      <c r="AK16" s="27">
        <f t="shared" si="6"/>
        <v>1.6</v>
      </c>
      <c r="AL16" s="24">
        <f t="shared" si="44"/>
        <v>3</v>
      </c>
      <c r="AM16" s="2">
        <f t="shared" si="45"/>
        <v>3</v>
      </c>
      <c r="AN16" s="24">
        <f t="shared" si="46"/>
        <v>1</v>
      </c>
      <c r="AO16" s="24">
        <f t="shared" si="47"/>
        <v>4</v>
      </c>
      <c r="AP16" s="24">
        <f t="shared" si="48"/>
        <v>3</v>
      </c>
      <c r="AQ16" s="24">
        <f t="shared" si="49"/>
        <v>1</v>
      </c>
      <c r="AR16" s="24">
        <f t="shared" si="50"/>
        <v>1</v>
      </c>
      <c r="AS16" s="24">
        <f t="shared" si="51"/>
        <v>2</v>
      </c>
      <c r="AT16" s="28">
        <f t="shared" si="52"/>
        <v>1</v>
      </c>
      <c r="AU16" s="24">
        <v>1.0</v>
      </c>
      <c r="AV16" s="27">
        <f t="shared" si="7"/>
        <v>0.4</v>
      </c>
      <c r="AW16" s="24">
        <f t="shared" si="53"/>
        <v>2</v>
      </c>
      <c r="AX16" s="2">
        <f t="shared" si="54"/>
        <v>0</v>
      </c>
      <c r="AY16" s="24">
        <f t="shared" si="55"/>
        <v>0</v>
      </c>
      <c r="AZ16" s="24">
        <f t="shared" si="56"/>
        <v>2</v>
      </c>
      <c r="BA16" s="24">
        <f t="shared" si="57"/>
        <v>0</v>
      </c>
      <c r="BB16" s="24">
        <f t="shared" si="58"/>
        <v>3</v>
      </c>
      <c r="BC16" s="24">
        <f t="shared" si="59"/>
        <v>2</v>
      </c>
      <c r="BD16" s="24">
        <f t="shared" si="60"/>
        <v>0</v>
      </c>
      <c r="BE16" s="24">
        <f t="shared" si="61"/>
        <v>0</v>
      </c>
      <c r="BF16" s="29">
        <f t="shared" ref="BF16:BO16" si="66">+(AK16+Z16+O16+D16)/4</f>
        <v>1.4</v>
      </c>
      <c r="BG16" s="24">
        <f t="shared" si="66"/>
        <v>3.5</v>
      </c>
      <c r="BH16" s="24">
        <f t="shared" si="66"/>
        <v>1.5</v>
      </c>
      <c r="BI16" s="24">
        <f t="shared" si="66"/>
        <v>0.75</v>
      </c>
      <c r="BJ16" s="24">
        <f t="shared" si="66"/>
        <v>4</v>
      </c>
      <c r="BK16" s="24">
        <f t="shared" si="66"/>
        <v>1.75</v>
      </c>
      <c r="BL16" s="24">
        <f t="shared" si="66"/>
        <v>0.75</v>
      </c>
      <c r="BM16" s="24">
        <f t="shared" si="66"/>
        <v>2.5</v>
      </c>
      <c r="BN16" s="24">
        <f t="shared" si="66"/>
        <v>1</v>
      </c>
      <c r="BO16" s="24">
        <f t="shared" si="66"/>
        <v>0.5</v>
      </c>
      <c r="BP16" s="30">
        <f t="shared" si="9"/>
        <v>-1</v>
      </c>
      <c r="BQ16" s="64">
        <f t="shared" si="10"/>
        <v>0.6</v>
      </c>
      <c r="BR16" s="64">
        <f t="shared" si="11"/>
        <v>0.4</v>
      </c>
      <c r="BS16" s="64">
        <f t="shared" si="12"/>
        <v>0</v>
      </c>
      <c r="BT16" s="64">
        <f t="shared" si="13"/>
        <v>0</v>
      </c>
      <c r="BU16" s="64">
        <f t="shared" si="14"/>
        <v>0</v>
      </c>
      <c r="BV16" s="64">
        <f t="shared" si="15"/>
        <v>0.4</v>
      </c>
      <c r="BW16" s="64">
        <f t="shared" ref="BW16:BX16" si="67">+BR16+BS16+BT16</f>
        <v>0.4</v>
      </c>
      <c r="BX16" s="65">
        <f t="shared" si="67"/>
        <v>0</v>
      </c>
    </row>
    <row r="17">
      <c r="A17" s="2"/>
      <c r="B17" s="33">
        <v>6.0</v>
      </c>
      <c r="C17" s="2">
        <v>1.0</v>
      </c>
      <c r="D17" s="3">
        <f t="shared" si="3"/>
        <v>1.5</v>
      </c>
      <c r="E17" s="2">
        <f t="shared" si="17"/>
        <v>5</v>
      </c>
      <c r="F17" s="2">
        <f t="shared" si="18"/>
        <v>0</v>
      </c>
      <c r="G17" s="2">
        <f t="shared" si="19"/>
        <v>1</v>
      </c>
      <c r="H17" s="2">
        <f t="shared" si="20"/>
        <v>5</v>
      </c>
      <c r="I17" s="2">
        <f t="shared" si="21"/>
        <v>1</v>
      </c>
      <c r="J17" s="2">
        <f t="shared" si="22"/>
        <v>0</v>
      </c>
      <c r="K17" s="2">
        <f t="shared" si="23"/>
        <v>5</v>
      </c>
      <c r="L17" s="2">
        <f t="shared" si="24"/>
        <v>0</v>
      </c>
      <c r="M17" s="34">
        <f t="shared" si="25"/>
        <v>0</v>
      </c>
      <c r="N17" s="2">
        <v>0.0</v>
      </c>
      <c r="O17" s="3">
        <f t="shared" si="4"/>
        <v>1</v>
      </c>
      <c r="P17" s="2">
        <f t="shared" si="26"/>
        <v>4</v>
      </c>
      <c r="Q17" s="2">
        <f t="shared" si="27"/>
        <v>2</v>
      </c>
      <c r="R17" s="2">
        <f t="shared" si="28"/>
        <v>0</v>
      </c>
      <c r="S17" s="2">
        <f t="shared" si="29"/>
        <v>4</v>
      </c>
      <c r="T17" s="2">
        <f t="shared" si="30"/>
        <v>2</v>
      </c>
      <c r="U17" s="2">
        <f t="shared" si="31"/>
        <v>2</v>
      </c>
      <c r="V17" s="2">
        <f t="shared" si="32"/>
        <v>2</v>
      </c>
      <c r="W17" s="2">
        <f t="shared" si="33"/>
        <v>2</v>
      </c>
      <c r="X17" s="34">
        <f t="shared" si="34"/>
        <v>0</v>
      </c>
      <c r="Y17" s="2">
        <v>0.0</v>
      </c>
      <c r="Z17" s="3">
        <f t="shared" si="5"/>
        <v>1</v>
      </c>
      <c r="AA17" s="2">
        <f t="shared" si="35"/>
        <v>3</v>
      </c>
      <c r="AB17" s="2">
        <f t="shared" si="36"/>
        <v>1</v>
      </c>
      <c r="AC17" s="2">
        <f t="shared" si="37"/>
        <v>1</v>
      </c>
      <c r="AD17" s="2">
        <f t="shared" si="38"/>
        <v>4</v>
      </c>
      <c r="AE17" s="2">
        <f t="shared" si="39"/>
        <v>1</v>
      </c>
      <c r="AF17" s="2">
        <f t="shared" si="40"/>
        <v>2</v>
      </c>
      <c r="AG17" s="2">
        <f t="shared" si="41"/>
        <v>3</v>
      </c>
      <c r="AH17" s="2">
        <f t="shared" si="42"/>
        <v>0</v>
      </c>
      <c r="AI17" s="34">
        <f t="shared" si="43"/>
        <v>1</v>
      </c>
      <c r="AJ17" s="2">
        <v>2.0</v>
      </c>
      <c r="AK17" s="3">
        <f t="shared" si="6"/>
        <v>1.666666667</v>
      </c>
      <c r="AL17" s="2">
        <f t="shared" si="44"/>
        <v>4</v>
      </c>
      <c r="AM17" s="2">
        <f t="shared" si="45"/>
        <v>4</v>
      </c>
      <c r="AN17" s="2">
        <f t="shared" si="46"/>
        <v>1</v>
      </c>
      <c r="AO17" s="2">
        <f t="shared" si="47"/>
        <v>5</v>
      </c>
      <c r="AP17" s="2">
        <f t="shared" si="48"/>
        <v>4</v>
      </c>
      <c r="AQ17" s="2">
        <f t="shared" si="49"/>
        <v>1</v>
      </c>
      <c r="AR17" s="2">
        <f t="shared" si="50"/>
        <v>1</v>
      </c>
      <c r="AS17" s="2">
        <f t="shared" si="51"/>
        <v>3</v>
      </c>
      <c r="AT17" s="34">
        <f t="shared" si="52"/>
        <v>1</v>
      </c>
      <c r="AU17" s="35">
        <v>3.0</v>
      </c>
      <c r="AV17" s="3">
        <f t="shared" si="7"/>
        <v>0.8333333333</v>
      </c>
      <c r="AW17" s="2">
        <f t="shared" si="53"/>
        <v>2</v>
      </c>
      <c r="AX17" s="2">
        <f t="shared" si="54"/>
        <v>1</v>
      </c>
      <c r="AY17" s="2">
        <f t="shared" si="55"/>
        <v>1</v>
      </c>
      <c r="AZ17" s="2">
        <f t="shared" si="56"/>
        <v>3</v>
      </c>
      <c r="BA17" s="2">
        <f t="shared" si="57"/>
        <v>1</v>
      </c>
      <c r="BB17" s="2">
        <f t="shared" si="58"/>
        <v>3</v>
      </c>
      <c r="BC17" s="2">
        <f t="shared" si="59"/>
        <v>2</v>
      </c>
      <c r="BD17" s="2">
        <f t="shared" si="60"/>
        <v>0</v>
      </c>
      <c r="BE17" s="2">
        <f t="shared" si="61"/>
        <v>1</v>
      </c>
      <c r="BF17" s="36">
        <f t="shared" ref="BF17:BO17" si="68">+(AK17+Z17+O17+D17)/4</f>
        <v>1.291666667</v>
      </c>
      <c r="BG17" s="2">
        <f t="shared" si="68"/>
        <v>4</v>
      </c>
      <c r="BH17" s="2">
        <f t="shared" si="68"/>
        <v>1.75</v>
      </c>
      <c r="BI17" s="2">
        <f t="shared" si="68"/>
        <v>0.75</v>
      </c>
      <c r="BJ17" s="2">
        <f t="shared" si="68"/>
        <v>4.5</v>
      </c>
      <c r="BK17" s="2">
        <f t="shared" si="68"/>
        <v>2</v>
      </c>
      <c r="BL17" s="2">
        <f t="shared" si="68"/>
        <v>1.25</v>
      </c>
      <c r="BM17" s="2">
        <f t="shared" si="68"/>
        <v>2.75</v>
      </c>
      <c r="BN17" s="2">
        <f t="shared" si="68"/>
        <v>1.25</v>
      </c>
      <c r="BO17" s="2">
        <f t="shared" si="68"/>
        <v>0.5</v>
      </c>
      <c r="BP17" s="37">
        <f t="shared" si="9"/>
        <v>-0.4583333333</v>
      </c>
      <c r="BQ17" s="66">
        <f t="shared" si="10"/>
        <v>0.5</v>
      </c>
      <c r="BR17" s="66">
        <f t="shared" si="11"/>
        <v>0.3333333333</v>
      </c>
      <c r="BS17" s="66">
        <f t="shared" si="12"/>
        <v>0</v>
      </c>
      <c r="BT17" s="66">
        <f t="shared" si="13"/>
        <v>0.1666666667</v>
      </c>
      <c r="BU17" s="66">
        <f t="shared" si="14"/>
        <v>0</v>
      </c>
      <c r="BV17" s="66">
        <f t="shared" si="15"/>
        <v>0.5</v>
      </c>
      <c r="BW17" s="66">
        <f t="shared" ref="BW17:BX17" si="69">+BR17+BS17+BT17</f>
        <v>0.5</v>
      </c>
      <c r="BX17" s="67">
        <f t="shared" si="69"/>
        <v>0.1666666667</v>
      </c>
    </row>
    <row r="18">
      <c r="A18" s="24"/>
      <c r="B18" s="40">
        <v>7.0</v>
      </c>
      <c r="C18" s="24">
        <v>0.0</v>
      </c>
      <c r="D18" s="27">
        <f t="shared" si="3"/>
        <v>1.285714286</v>
      </c>
      <c r="E18" s="24">
        <f t="shared" si="17"/>
        <v>5</v>
      </c>
      <c r="F18" s="2">
        <f t="shared" si="18"/>
        <v>0</v>
      </c>
      <c r="G18" s="24">
        <f t="shared" si="19"/>
        <v>1</v>
      </c>
      <c r="H18" s="24">
        <f t="shared" si="20"/>
        <v>5</v>
      </c>
      <c r="I18" s="24">
        <f t="shared" si="21"/>
        <v>1</v>
      </c>
      <c r="J18" s="24">
        <f t="shared" si="22"/>
        <v>1</v>
      </c>
      <c r="K18" s="24">
        <f t="shared" si="23"/>
        <v>5</v>
      </c>
      <c r="L18" s="24">
        <f t="shared" si="24"/>
        <v>0</v>
      </c>
      <c r="M18" s="28">
        <f t="shared" si="25"/>
        <v>0</v>
      </c>
      <c r="N18" s="24">
        <v>0.0</v>
      </c>
      <c r="O18" s="27">
        <f t="shared" si="4"/>
        <v>0.8571428571</v>
      </c>
      <c r="P18" s="24">
        <f t="shared" si="26"/>
        <v>4</v>
      </c>
      <c r="Q18" s="2">
        <f t="shared" si="27"/>
        <v>2</v>
      </c>
      <c r="R18" s="24">
        <f t="shared" si="28"/>
        <v>0</v>
      </c>
      <c r="S18" s="24">
        <f t="shared" si="29"/>
        <v>4</v>
      </c>
      <c r="T18" s="24">
        <f t="shared" si="30"/>
        <v>2</v>
      </c>
      <c r="U18" s="24">
        <f t="shared" si="31"/>
        <v>3</v>
      </c>
      <c r="V18" s="24">
        <f t="shared" si="32"/>
        <v>2</v>
      </c>
      <c r="W18" s="24">
        <f t="shared" si="33"/>
        <v>2</v>
      </c>
      <c r="X18" s="28">
        <f t="shared" si="34"/>
        <v>0</v>
      </c>
      <c r="Y18" s="24">
        <v>0.0</v>
      </c>
      <c r="Z18" s="27">
        <f t="shared" si="5"/>
        <v>0.8571428571</v>
      </c>
      <c r="AA18" s="24">
        <f t="shared" si="35"/>
        <v>3</v>
      </c>
      <c r="AB18" s="2">
        <f t="shared" si="36"/>
        <v>1</v>
      </c>
      <c r="AC18" s="24">
        <f t="shared" si="37"/>
        <v>1</v>
      </c>
      <c r="AD18" s="24">
        <f t="shared" si="38"/>
        <v>4</v>
      </c>
      <c r="AE18" s="24">
        <f t="shared" si="39"/>
        <v>1</v>
      </c>
      <c r="AF18" s="24">
        <f t="shared" si="40"/>
        <v>3</v>
      </c>
      <c r="AG18" s="24">
        <f t="shared" si="41"/>
        <v>3</v>
      </c>
      <c r="AH18" s="24">
        <f t="shared" si="42"/>
        <v>0</v>
      </c>
      <c r="AI18" s="28">
        <f t="shared" si="43"/>
        <v>1</v>
      </c>
      <c r="AJ18" s="24">
        <v>2.0</v>
      </c>
      <c r="AK18" s="27">
        <f t="shared" si="6"/>
        <v>1.714285714</v>
      </c>
      <c r="AL18" s="24">
        <f t="shared" si="44"/>
        <v>5</v>
      </c>
      <c r="AM18" s="2">
        <f t="shared" si="45"/>
        <v>5</v>
      </c>
      <c r="AN18" s="24">
        <f t="shared" si="46"/>
        <v>1</v>
      </c>
      <c r="AO18" s="24">
        <f t="shared" si="47"/>
        <v>6</v>
      </c>
      <c r="AP18" s="24">
        <f t="shared" si="48"/>
        <v>5</v>
      </c>
      <c r="AQ18" s="24">
        <f t="shared" si="49"/>
        <v>1</v>
      </c>
      <c r="AR18" s="24">
        <f t="shared" si="50"/>
        <v>1</v>
      </c>
      <c r="AS18" s="24">
        <f t="shared" si="51"/>
        <v>4</v>
      </c>
      <c r="AT18" s="28">
        <f t="shared" si="52"/>
        <v>1</v>
      </c>
      <c r="AU18" s="24">
        <v>1.0</v>
      </c>
      <c r="AV18" s="27">
        <f t="shared" si="7"/>
        <v>0.8571428571</v>
      </c>
      <c r="AW18" s="24">
        <f t="shared" si="53"/>
        <v>3</v>
      </c>
      <c r="AX18" s="2">
        <f t="shared" si="54"/>
        <v>1</v>
      </c>
      <c r="AY18" s="24">
        <f t="shared" si="55"/>
        <v>1</v>
      </c>
      <c r="AZ18" s="24">
        <f t="shared" si="56"/>
        <v>4</v>
      </c>
      <c r="BA18" s="24">
        <f t="shared" si="57"/>
        <v>1</v>
      </c>
      <c r="BB18" s="24">
        <f t="shared" si="58"/>
        <v>3</v>
      </c>
      <c r="BC18" s="24">
        <f t="shared" si="59"/>
        <v>3</v>
      </c>
      <c r="BD18" s="24">
        <f t="shared" si="60"/>
        <v>0</v>
      </c>
      <c r="BE18" s="24">
        <f t="shared" si="61"/>
        <v>1</v>
      </c>
      <c r="BF18" s="29">
        <f t="shared" ref="BF18:BO18" si="70">+(AK18+Z18+O18+D18)/4</f>
        <v>1.178571429</v>
      </c>
      <c r="BG18" s="24">
        <f t="shared" si="70"/>
        <v>4.25</v>
      </c>
      <c r="BH18" s="24">
        <f t="shared" si="70"/>
        <v>2</v>
      </c>
      <c r="BI18" s="24">
        <f t="shared" si="70"/>
        <v>0.75</v>
      </c>
      <c r="BJ18" s="24">
        <f t="shared" si="70"/>
        <v>4.75</v>
      </c>
      <c r="BK18" s="24">
        <f t="shared" si="70"/>
        <v>2.25</v>
      </c>
      <c r="BL18" s="24">
        <f t="shared" si="70"/>
        <v>2</v>
      </c>
      <c r="BM18" s="24">
        <f t="shared" si="70"/>
        <v>2.75</v>
      </c>
      <c r="BN18" s="24">
        <f t="shared" si="70"/>
        <v>1.5</v>
      </c>
      <c r="BO18" s="24">
        <f t="shared" si="70"/>
        <v>0.5</v>
      </c>
      <c r="BP18" s="30">
        <f t="shared" si="9"/>
        <v>-0.3214285714</v>
      </c>
      <c r="BQ18" s="64">
        <f t="shared" si="10"/>
        <v>0.4285714286</v>
      </c>
      <c r="BR18" s="64">
        <f t="shared" si="11"/>
        <v>0.4285714286</v>
      </c>
      <c r="BS18" s="64">
        <f t="shared" si="12"/>
        <v>0</v>
      </c>
      <c r="BT18" s="64">
        <f t="shared" si="13"/>
        <v>0.1428571429</v>
      </c>
      <c r="BU18" s="64">
        <f t="shared" si="14"/>
        <v>0</v>
      </c>
      <c r="BV18" s="64">
        <f t="shared" si="15"/>
        <v>0.5714285714</v>
      </c>
      <c r="BW18" s="64">
        <f t="shared" ref="BW18:BX18" si="71">+BR18+BS18+BT18</f>
        <v>0.5714285714</v>
      </c>
      <c r="BX18" s="65">
        <f t="shared" si="71"/>
        <v>0.1428571429</v>
      </c>
    </row>
    <row r="19">
      <c r="A19" s="2"/>
      <c r="B19" s="33">
        <v>8.0</v>
      </c>
      <c r="C19" s="2">
        <v>0.0</v>
      </c>
      <c r="D19" s="3">
        <f t="shared" si="3"/>
        <v>1.125</v>
      </c>
      <c r="E19" s="2">
        <f t="shared" si="17"/>
        <v>5</v>
      </c>
      <c r="F19" s="2">
        <f t="shared" si="18"/>
        <v>0</v>
      </c>
      <c r="G19" s="2">
        <f t="shared" si="19"/>
        <v>1</v>
      </c>
      <c r="H19" s="2">
        <f t="shared" si="20"/>
        <v>5</v>
      </c>
      <c r="I19" s="2">
        <f t="shared" si="21"/>
        <v>1</v>
      </c>
      <c r="J19" s="2">
        <f t="shared" si="22"/>
        <v>2</v>
      </c>
      <c r="K19" s="2">
        <f t="shared" si="23"/>
        <v>5</v>
      </c>
      <c r="L19" s="2">
        <f t="shared" si="24"/>
        <v>0</v>
      </c>
      <c r="M19" s="34">
        <f t="shared" si="25"/>
        <v>0</v>
      </c>
      <c r="N19" s="2">
        <v>1.0</v>
      </c>
      <c r="O19" s="3">
        <f t="shared" si="4"/>
        <v>0.875</v>
      </c>
      <c r="P19" s="2">
        <f t="shared" si="26"/>
        <v>5</v>
      </c>
      <c r="Q19" s="2">
        <f t="shared" si="27"/>
        <v>2</v>
      </c>
      <c r="R19" s="2">
        <f t="shared" si="28"/>
        <v>0</v>
      </c>
      <c r="S19" s="2">
        <f t="shared" si="29"/>
        <v>5</v>
      </c>
      <c r="T19" s="2">
        <f t="shared" si="30"/>
        <v>2</v>
      </c>
      <c r="U19" s="2">
        <f t="shared" si="31"/>
        <v>3</v>
      </c>
      <c r="V19" s="2">
        <f t="shared" si="32"/>
        <v>3</v>
      </c>
      <c r="W19" s="2">
        <f t="shared" si="33"/>
        <v>2</v>
      </c>
      <c r="X19" s="34">
        <f t="shared" si="34"/>
        <v>0</v>
      </c>
      <c r="Y19" s="2">
        <v>0.0</v>
      </c>
      <c r="Z19" s="3">
        <f t="shared" si="5"/>
        <v>0.75</v>
      </c>
      <c r="AA19" s="2">
        <f t="shared" si="35"/>
        <v>3</v>
      </c>
      <c r="AB19" s="2">
        <f t="shared" si="36"/>
        <v>1</v>
      </c>
      <c r="AC19" s="2">
        <f t="shared" si="37"/>
        <v>1</v>
      </c>
      <c r="AD19" s="2">
        <f t="shared" si="38"/>
        <v>4</v>
      </c>
      <c r="AE19" s="2">
        <f t="shared" si="39"/>
        <v>1</v>
      </c>
      <c r="AF19" s="2">
        <f t="shared" si="40"/>
        <v>4</v>
      </c>
      <c r="AG19" s="2">
        <f t="shared" si="41"/>
        <v>3</v>
      </c>
      <c r="AH19" s="2">
        <f t="shared" si="42"/>
        <v>0</v>
      </c>
      <c r="AI19" s="34">
        <f t="shared" si="43"/>
        <v>1</v>
      </c>
      <c r="AJ19" s="2">
        <v>2.0</v>
      </c>
      <c r="AK19" s="3">
        <f t="shared" si="6"/>
        <v>1.75</v>
      </c>
      <c r="AL19" s="2">
        <f t="shared" si="44"/>
        <v>6</v>
      </c>
      <c r="AM19" s="2">
        <f t="shared" si="45"/>
        <v>6</v>
      </c>
      <c r="AN19" s="2">
        <f t="shared" si="46"/>
        <v>1</v>
      </c>
      <c r="AO19" s="2">
        <f t="shared" si="47"/>
        <v>7</v>
      </c>
      <c r="AP19" s="2">
        <f t="shared" si="48"/>
        <v>6</v>
      </c>
      <c r="AQ19" s="2">
        <f t="shared" si="49"/>
        <v>1</v>
      </c>
      <c r="AR19" s="2">
        <f t="shared" si="50"/>
        <v>1</v>
      </c>
      <c r="AS19" s="2">
        <f t="shared" si="51"/>
        <v>5</v>
      </c>
      <c r="AT19" s="34">
        <f t="shared" si="52"/>
        <v>1</v>
      </c>
      <c r="AU19" s="35">
        <v>2.0</v>
      </c>
      <c r="AV19" s="3">
        <f t="shared" si="7"/>
        <v>1</v>
      </c>
      <c r="AW19" s="2">
        <f t="shared" si="53"/>
        <v>4</v>
      </c>
      <c r="AX19" s="2">
        <f t="shared" si="54"/>
        <v>2</v>
      </c>
      <c r="AY19" s="2">
        <f t="shared" si="55"/>
        <v>1</v>
      </c>
      <c r="AZ19" s="2">
        <f t="shared" si="56"/>
        <v>5</v>
      </c>
      <c r="BA19" s="2">
        <f t="shared" si="57"/>
        <v>2</v>
      </c>
      <c r="BB19" s="2">
        <f t="shared" si="58"/>
        <v>3</v>
      </c>
      <c r="BC19" s="2">
        <f t="shared" si="59"/>
        <v>3</v>
      </c>
      <c r="BD19" s="2">
        <f t="shared" si="60"/>
        <v>1</v>
      </c>
      <c r="BE19" s="2">
        <f t="shared" si="61"/>
        <v>1</v>
      </c>
      <c r="BF19" s="36">
        <f t="shared" ref="BF19:BO19" si="72">+(AK19+Z19+O19+D19)/4</f>
        <v>1.125</v>
      </c>
      <c r="BG19" s="2">
        <f t="shared" si="72"/>
        <v>4.75</v>
      </c>
      <c r="BH19" s="2">
        <f t="shared" si="72"/>
        <v>2.25</v>
      </c>
      <c r="BI19" s="2">
        <f t="shared" si="72"/>
        <v>0.75</v>
      </c>
      <c r="BJ19" s="2">
        <f t="shared" si="72"/>
        <v>5.25</v>
      </c>
      <c r="BK19" s="2">
        <f t="shared" si="72"/>
        <v>2.5</v>
      </c>
      <c r="BL19" s="2">
        <f t="shared" si="72"/>
        <v>2.5</v>
      </c>
      <c r="BM19" s="2">
        <f t="shared" si="72"/>
        <v>3</v>
      </c>
      <c r="BN19" s="2">
        <f t="shared" si="72"/>
        <v>1.75</v>
      </c>
      <c r="BO19" s="2">
        <f t="shared" si="72"/>
        <v>0.5</v>
      </c>
      <c r="BP19" s="37">
        <f t="shared" si="9"/>
        <v>-0.125</v>
      </c>
      <c r="BQ19" s="66">
        <f t="shared" si="10"/>
        <v>0.375</v>
      </c>
      <c r="BR19" s="66">
        <f t="shared" si="11"/>
        <v>0.375</v>
      </c>
      <c r="BS19" s="66">
        <f t="shared" si="12"/>
        <v>0.125</v>
      </c>
      <c r="BT19" s="66">
        <f t="shared" si="13"/>
        <v>0.125</v>
      </c>
      <c r="BU19" s="66">
        <f t="shared" si="14"/>
        <v>0</v>
      </c>
      <c r="BV19" s="66">
        <f t="shared" si="15"/>
        <v>0.625</v>
      </c>
      <c r="BW19" s="66">
        <f t="shared" ref="BW19:BX19" si="73">+BR19+BS19+BT19</f>
        <v>0.625</v>
      </c>
      <c r="BX19" s="67">
        <f t="shared" si="73"/>
        <v>0.25</v>
      </c>
    </row>
    <row r="20">
      <c r="A20" s="24"/>
      <c r="B20" s="40">
        <v>9.0</v>
      </c>
      <c r="C20" s="24">
        <v>3.0</v>
      </c>
      <c r="D20" s="27">
        <f t="shared" si="3"/>
        <v>1.333333333</v>
      </c>
      <c r="E20" s="24">
        <f t="shared" si="17"/>
        <v>5</v>
      </c>
      <c r="F20" s="2">
        <f t="shared" si="18"/>
        <v>1</v>
      </c>
      <c r="G20" s="24">
        <f t="shared" si="19"/>
        <v>2</v>
      </c>
      <c r="H20" s="24">
        <f t="shared" si="20"/>
        <v>6</v>
      </c>
      <c r="I20" s="24">
        <f t="shared" si="21"/>
        <v>2</v>
      </c>
      <c r="J20" s="24">
        <f t="shared" si="22"/>
        <v>2</v>
      </c>
      <c r="K20" s="24">
        <f t="shared" si="23"/>
        <v>5</v>
      </c>
      <c r="L20" s="24">
        <f t="shared" si="24"/>
        <v>0</v>
      </c>
      <c r="M20" s="28">
        <f t="shared" si="25"/>
        <v>1</v>
      </c>
      <c r="N20" s="24">
        <v>1.0</v>
      </c>
      <c r="O20" s="27">
        <f t="shared" si="4"/>
        <v>0.8888888889</v>
      </c>
      <c r="P20" s="24">
        <f t="shared" si="26"/>
        <v>6</v>
      </c>
      <c r="Q20" s="2">
        <f t="shared" si="27"/>
        <v>2</v>
      </c>
      <c r="R20" s="24">
        <f t="shared" si="28"/>
        <v>0</v>
      </c>
      <c r="S20" s="24">
        <f t="shared" si="29"/>
        <v>6</v>
      </c>
      <c r="T20" s="24">
        <f t="shared" si="30"/>
        <v>2</v>
      </c>
      <c r="U20" s="24">
        <f t="shared" si="31"/>
        <v>3</v>
      </c>
      <c r="V20" s="24">
        <f t="shared" si="32"/>
        <v>4</v>
      </c>
      <c r="W20" s="24">
        <f t="shared" si="33"/>
        <v>2</v>
      </c>
      <c r="X20" s="28">
        <f t="shared" si="34"/>
        <v>0</v>
      </c>
      <c r="Y20" s="24">
        <v>0.0</v>
      </c>
      <c r="Z20" s="27">
        <f t="shared" si="5"/>
        <v>0.6666666667</v>
      </c>
      <c r="AA20" s="24">
        <f t="shared" si="35"/>
        <v>3</v>
      </c>
      <c r="AB20" s="2">
        <f t="shared" si="36"/>
        <v>1</v>
      </c>
      <c r="AC20" s="24">
        <f t="shared" si="37"/>
        <v>1</v>
      </c>
      <c r="AD20" s="24">
        <f t="shared" si="38"/>
        <v>4</v>
      </c>
      <c r="AE20" s="24">
        <f t="shared" si="39"/>
        <v>1</v>
      </c>
      <c r="AF20" s="24">
        <f t="shared" si="40"/>
        <v>5</v>
      </c>
      <c r="AG20" s="24">
        <f t="shared" si="41"/>
        <v>3</v>
      </c>
      <c r="AH20" s="24">
        <f t="shared" si="42"/>
        <v>0</v>
      </c>
      <c r="AI20" s="28">
        <f t="shared" si="43"/>
        <v>1</v>
      </c>
      <c r="AJ20" s="24">
        <v>1.0</v>
      </c>
      <c r="AK20" s="27">
        <f t="shared" si="6"/>
        <v>1.666666667</v>
      </c>
      <c r="AL20" s="24">
        <f t="shared" si="44"/>
        <v>7</v>
      </c>
      <c r="AM20" s="2">
        <f t="shared" si="45"/>
        <v>6</v>
      </c>
      <c r="AN20" s="24">
        <f t="shared" si="46"/>
        <v>1</v>
      </c>
      <c r="AO20" s="24">
        <f t="shared" si="47"/>
        <v>8</v>
      </c>
      <c r="AP20" s="24">
        <f t="shared" si="48"/>
        <v>6</v>
      </c>
      <c r="AQ20" s="24">
        <f t="shared" si="49"/>
        <v>1</v>
      </c>
      <c r="AR20" s="24">
        <f t="shared" si="50"/>
        <v>2</v>
      </c>
      <c r="AS20" s="24">
        <f t="shared" si="51"/>
        <v>5</v>
      </c>
      <c r="AT20" s="28">
        <f t="shared" si="52"/>
        <v>1</v>
      </c>
      <c r="AU20" s="24">
        <v>0.0</v>
      </c>
      <c r="AV20" s="27">
        <f t="shared" si="7"/>
        <v>0.8888888889</v>
      </c>
      <c r="AW20" s="24">
        <f t="shared" si="53"/>
        <v>4</v>
      </c>
      <c r="AX20" s="2">
        <f t="shared" si="54"/>
        <v>2</v>
      </c>
      <c r="AY20" s="24">
        <f t="shared" si="55"/>
        <v>1</v>
      </c>
      <c r="AZ20" s="24">
        <f t="shared" si="56"/>
        <v>5</v>
      </c>
      <c r="BA20" s="24">
        <f t="shared" si="57"/>
        <v>2</v>
      </c>
      <c r="BB20" s="24">
        <f t="shared" si="58"/>
        <v>4</v>
      </c>
      <c r="BC20" s="24">
        <f t="shared" si="59"/>
        <v>3</v>
      </c>
      <c r="BD20" s="24">
        <f t="shared" si="60"/>
        <v>1</v>
      </c>
      <c r="BE20" s="24">
        <f t="shared" si="61"/>
        <v>1</v>
      </c>
      <c r="BF20" s="29">
        <f t="shared" ref="BF20:BO20" si="74">+(AK20+Z20+O20+D20)/4</f>
        <v>1.138888889</v>
      </c>
      <c r="BG20" s="24">
        <f t="shared" si="74"/>
        <v>5.25</v>
      </c>
      <c r="BH20" s="24">
        <f t="shared" si="74"/>
        <v>2.5</v>
      </c>
      <c r="BI20" s="24">
        <f t="shared" si="74"/>
        <v>1</v>
      </c>
      <c r="BJ20" s="24">
        <f t="shared" si="74"/>
        <v>6</v>
      </c>
      <c r="BK20" s="24">
        <f t="shared" si="74"/>
        <v>2.75</v>
      </c>
      <c r="BL20" s="24">
        <f t="shared" si="74"/>
        <v>2.75</v>
      </c>
      <c r="BM20" s="24">
        <f t="shared" si="74"/>
        <v>3.5</v>
      </c>
      <c r="BN20" s="24">
        <f t="shared" si="74"/>
        <v>1.75</v>
      </c>
      <c r="BO20" s="24">
        <f t="shared" si="74"/>
        <v>0.75</v>
      </c>
      <c r="BP20" s="30">
        <f t="shared" si="9"/>
        <v>-0.25</v>
      </c>
      <c r="BQ20" s="64">
        <f t="shared" si="10"/>
        <v>0.4444444444</v>
      </c>
      <c r="BR20" s="64">
        <f t="shared" si="11"/>
        <v>0.3333333333</v>
      </c>
      <c r="BS20" s="64">
        <f t="shared" si="12"/>
        <v>0.1111111111</v>
      </c>
      <c r="BT20" s="64">
        <f t="shared" si="13"/>
        <v>0.1111111111</v>
      </c>
      <c r="BU20" s="64">
        <f t="shared" si="14"/>
        <v>0</v>
      </c>
      <c r="BV20" s="64">
        <f t="shared" si="15"/>
        <v>0.5555555556</v>
      </c>
      <c r="BW20" s="64">
        <f t="shared" ref="BW20:BX20" si="75">+BR20+BS20+BT20</f>
        <v>0.5555555556</v>
      </c>
      <c r="BX20" s="65">
        <f t="shared" si="75"/>
        <v>0.2222222222</v>
      </c>
    </row>
    <row r="21" ht="15.75" customHeight="1">
      <c r="A21" s="2"/>
      <c r="B21" s="42">
        <v>10.0</v>
      </c>
      <c r="C21" s="2">
        <v>0.0</v>
      </c>
      <c r="D21" s="3">
        <f t="shared" si="3"/>
        <v>1.2</v>
      </c>
      <c r="E21" s="43">
        <f t="shared" si="17"/>
        <v>5</v>
      </c>
      <c r="F21" s="2">
        <f t="shared" si="18"/>
        <v>1</v>
      </c>
      <c r="G21" s="43">
        <f t="shared" si="19"/>
        <v>2</v>
      </c>
      <c r="H21" s="43">
        <f t="shared" si="20"/>
        <v>6</v>
      </c>
      <c r="I21" s="43">
        <f t="shared" si="21"/>
        <v>2</v>
      </c>
      <c r="J21" s="43">
        <f t="shared" si="22"/>
        <v>3</v>
      </c>
      <c r="K21" s="43">
        <f t="shared" si="23"/>
        <v>5</v>
      </c>
      <c r="L21" s="43">
        <f t="shared" si="24"/>
        <v>0</v>
      </c>
      <c r="M21" s="44">
        <f t="shared" si="25"/>
        <v>1</v>
      </c>
      <c r="N21" s="2">
        <v>0.0</v>
      </c>
      <c r="O21" s="3">
        <f t="shared" si="4"/>
        <v>0.8</v>
      </c>
      <c r="P21" s="43">
        <f t="shared" si="26"/>
        <v>6</v>
      </c>
      <c r="Q21" s="2">
        <f t="shared" si="27"/>
        <v>2</v>
      </c>
      <c r="R21" s="43">
        <f t="shared" si="28"/>
        <v>0</v>
      </c>
      <c r="S21" s="43">
        <f t="shared" si="29"/>
        <v>6</v>
      </c>
      <c r="T21" s="43">
        <f t="shared" si="30"/>
        <v>2</v>
      </c>
      <c r="U21" s="43">
        <f t="shared" si="31"/>
        <v>4</v>
      </c>
      <c r="V21" s="43">
        <f t="shared" si="32"/>
        <v>4</v>
      </c>
      <c r="W21" s="43">
        <f t="shared" si="33"/>
        <v>2</v>
      </c>
      <c r="X21" s="44">
        <f t="shared" si="34"/>
        <v>0</v>
      </c>
      <c r="Y21" s="2">
        <v>1.0</v>
      </c>
      <c r="Z21" s="3">
        <f t="shared" si="5"/>
        <v>0.7</v>
      </c>
      <c r="AA21" s="43">
        <f t="shared" si="35"/>
        <v>4</v>
      </c>
      <c r="AB21" s="2">
        <f t="shared" si="36"/>
        <v>1</v>
      </c>
      <c r="AC21" s="43">
        <f t="shared" si="37"/>
        <v>1</v>
      </c>
      <c r="AD21" s="43">
        <f t="shared" si="38"/>
        <v>5</v>
      </c>
      <c r="AE21" s="43">
        <f t="shared" si="39"/>
        <v>1</v>
      </c>
      <c r="AF21" s="43">
        <f t="shared" si="40"/>
        <v>5</v>
      </c>
      <c r="AG21" s="43">
        <f t="shared" si="41"/>
        <v>4</v>
      </c>
      <c r="AH21" s="43">
        <f t="shared" si="42"/>
        <v>0</v>
      </c>
      <c r="AI21" s="44">
        <f t="shared" si="43"/>
        <v>1</v>
      </c>
      <c r="AJ21" s="2">
        <v>0.0</v>
      </c>
      <c r="AK21" s="3">
        <f t="shared" si="6"/>
        <v>1.5</v>
      </c>
      <c r="AL21" s="43">
        <f t="shared" si="44"/>
        <v>7</v>
      </c>
      <c r="AM21" s="2">
        <f t="shared" si="45"/>
        <v>6</v>
      </c>
      <c r="AN21" s="43">
        <f t="shared" si="46"/>
        <v>1</v>
      </c>
      <c r="AO21" s="43">
        <f t="shared" si="47"/>
        <v>8</v>
      </c>
      <c r="AP21" s="43">
        <f t="shared" si="48"/>
        <v>6</v>
      </c>
      <c r="AQ21" s="43">
        <f t="shared" si="49"/>
        <v>2</v>
      </c>
      <c r="AR21" s="43">
        <f t="shared" si="50"/>
        <v>2</v>
      </c>
      <c r="AS21" s="43">
        <f t="shared" si="51"/>
        <v>5</v>
      </c>
      <c r="AT21" s="44">
        <f t="shared" si="52"/>
        <v>1</v>
      </c>
      <c r="AU21" s="45">
        <v>2.0</v>
      </c>
      <c r="AV21" s="3">
        <f t="shared" si="7"/>
        <v>1</v>
      </c>
      <c r="AW21" s="43">
        <f t="shared" si="53"/>
        <v>5</v>
      </c>
      <c r="AX21" s="2">
        <f t="shared" si="54"/>
        <v>3</v>
      </c>
      <c r="AY21" s="43">
        <f t="shared" si="55"/>
        <v>1</v>
      </c>
      <c r="AZ21" s="43">
        <f t="shared" si="56"/>
        <v>6</v>
      </c>
      <c r="BA21" s="43">
        <f t="shared" si="57"/>
        <v>3</v>
      </c>
      <c r="BB21" s="43">
        <f t="shared" si="58"/>
        <v>4</v>
      </c>
      <c r="BC21" s="43">
        <f t="shared" si="59"/>
        <v>3</v>
      </c>
      <c r="BD21" s="43">
        <f t="shared" si="60"/>
        <v>2</v>
      </c>
      <c r="BE21" s="43">
        <f t="shared" si="61"/>
        <v>1</v>
      </c>
      <c r="BF21" s="46">
        <f t="shared" ref="BF21:BO21" si="76">+(AK21+Z21+O21+D21)/4</f>
        <v>1.05</v>
      </c>
      <c r="BG21" s="43">
        <f t="shared" si="76"/>
        <v>5.5</v>
      </c>
      <c r="BH21" s="43">
        <f t="shared" si="76"/>
        <v>2.5</v>
      </c>
      <c r="BI21" s="43">
        <f t="shared" si="76"/>
        <v>1</v>
      </c>
      <c r="BJ21" s="43">
        <f t="shared" si="76"/>
        <v>6.25</v>
      </c>
      <c r="BK21" s="43">
        <f t="shared" si="76"/>
        <v>2.75</v>
      </c>
      <c r="BL21" s="43">
        <f t="shared" si="76"/>
        <v>3.5</v>
      </c>
      <c r="BM21" s="43">
        <f t="shared" si="76"/>
        <v>3.75</v>
      </c>
      <c r="BN21" s="43">
        <f t="shared" si="76"/>
        <v>1.75</v>
      </c>
      <c r="BO21" s="43">
        <f t="shared" si="76"/>
        <v>0.75</v>
      </c>
      <c r="BP21" s="37">
        <f t="shared" si="9"/>
        <v>-0.05</v>
      </c>
      <c r="BQ21" s="66">
        <f t="shared" si="10"/>
        <v>0.4</v>
      </c>
      <c r="BR21" s="66">
        <f t="shared" si="11"/>
        <v>0.3</v>
      </c>
      <c r="BS21" s="66">
        <f t="shared" si="12"/>
        <v>0.2</v>
      </c>
      <c r="BT21" s="66">
        <f t="shared" si="13"/>
        <v>0.1</v>
      </c>
      <c r="BU21" s="66">
        <f t="shared" si="14"/>
        <v>0</v>
      </c>
      <c r="BV21" s="66">
        <f t="shared" si="15"/>
        <v>0.6</v>
      </c>
      <c r="BW21" s="66">
        <f t="shared" ref="BW21:BX21" si="77">+BR21+BS21+BT21</f>
        <v>0.6</v>
      </c>
      <c r="BX21" s="67">
        <f t="shared" si="77"/>
        <v>0.3</v>
      </c>
    </row>
    <row r="22" ht="15.75" customHeight="1">
      <c r="A22" s="24"/>
      <c r="B22" s="40">
        <v>11.0</v>
      </c>
      <c r="C22" s="24">
        <v>3.0</v>
      </c>
      <c r="D22" s="27">
        <f t="shared" si="3"/>
        <v>1.363636364</v>
      </c>
      <c r="E22" s="24">
        <f t="shared" si="17"/>
        <v>5</v>
      </c>
      <c r="F22" s="2">
        <f t="shared" si="18"/>
        <v>2</v>
      </c>
      <c r="G22" s="24">
        <f t="shared" si="19"/>
        <v>3</v>
      </c>
      <c r="H22" s="24">
        <f t="shared" si="20"/>
        <v>7</v>
      </c>
      <c r="I22" s="24">
        <f t="shared" si="21"/>
        <v>3</v>
      </c>
      <c r="J22" s="24">
        <f t="shared" si="22"/>
        <v>3</v>
      </c>
      <c r="K22" s="24">
        <f t="shared" si="23"/>
        <v>5</v>
      </c>
      <c r="L22" s="24">
        <f t="shared" si="24"/>
        <v>0</v>
      </c>
      <c r="M22" s="28">
        <f t="shared" si="25"/>
        <v>2</v>
      </c>
      <c r="N22" s="24">
        <v>2.0</v>
      </c>
      <c r="O22" s="27">
        <f t="shared" si="4"/>
        <v>0.9090909091</v>
      </c>
      <c r="P22" s="24">
        <f t="shared" si="26"/>
        <v>7</v>
      </c>
      <c r="Q22" s="2">
        <f t="shared" si="27"/>
        <v>3</v>
      </c>
      <c r="R22" s="24">
        <f t="shared" si="28"/>
        <v>0</v>
      </c>
      <c r="S22" s="24">
        <f t="shared" si="29"/>
        <v>7</v>
      </c>
      <c r="T22" s="24">
        <f t="shared" si="30"/>
        <v>3</v>
      </c>
      <c r="U22" s="24">
        <f t="shared" si="31"/>
        <v>4</v>
      </c>
      <c r="V22" s="24">
        <f t="shared" si="32"/>
        <v>4</v>
      </c>
      <c r="W22" s="24">
        <f t="shared" si="33"/>
        <v>3</v>
      </c>
      <c r="X22" s="28">
        <f t="shared" si="34"/>
        <v>0</v>
      </c>
      <c r="Y22" s="24">
        <v>2.0</v>
      </c>
      <c r="Z22" s="27">
        <f t="shared" si="5"/>
        <v>0.8181818182</v>
      </c>
      <c r="AA22" s="24">
        <f t="shared" si="35"/>
        <v>5</v>
      </c>
      <c r="AB22" s="2">
        <f t="shared" si="36"/>
        <v>2</v>
      </c>
      <c r="AC22" s="24">
        <f t="shared" si="37"/>
        <v>1</v>
      </c>
      <c r="AD22" s="24">
        <f t="shared" si="38"/>
        <v>6</v>
      </c>
      <c r="AE22" s="24">
        <f t="shared" si="39"/>
        <v>2</v>
      </c>
      <c r="AF22" s="24">
        <f t="shared" si="40"/>
        <v>5</v>
      </c>
      <c r="AG22" s="24">
        <f t="shared" si="41"/>
        <v>4</v>
      </c>
      <c r="AH22" s="24">
        <f t="shared" si="42"/>
        <v>1</v>
      </c>
      <c r="AI22" s="28">
        <f t="shared" si="43"/>
        <v>1</v>
      </c>
      <c r="AJ22" s="24">
        <v>0.0</v>
      </c>
      <c r="AK22" s="27">
        <f t="shared" si="6"/>
        <v>1.363636364</v>
      </c>
      <c r="AL22" s="24">
        <f t="shared" si="44"/>
        <v>7</v>
      </c>
      <c r="AM22" s="2">
        <f t="shared" si="45"/>
        <v>6</v>
      </c>
      <c r="AN22" s="24">
        <f t="shared" si="46"/>
        <v>1</v>
      </c>
      <c r="AO22" s="24">
        <f t="shared" si="47"/>
        <v>8</v>
      </c>
      <c r="AP22" s="24">
        <f t="shared" si="48"/>
        <v>6</v>
      </c>
      <c r="AQ22" s="24">
        <f t="shared" si="49"/>
        <v>3</v>
      </c>
      <c r="AR22" s="24">
        <f t="shared" si="50"/>
        <v>2</v>
      </c>
      <c r="AS22" s="24">
        <f t="shared" si="51"/>
        <v>5</v>
      </c>
      <c r="AT22" s="28">
        <f t="shared" si="52"/>
        <v>1</v>
      </c>
      <c r="AU22" s="24">
        <v>0.0</v>
      </c>
      <c r="AV22" s="27">
        <f t="shared" si="7"/>
        <v>0.9090909091</v>
      </c>
      <c r="AW22" s="24">
        <f t="shared" si="53"/>
        <v>5</v>
      </c>
      <c r="AX22" s="2">
        <f t="shared" si="54"/>
        <v>3</v>
      </c>
      <c r="AY22" s="24">
        <f t="shared" si="55"/>
        <v>1</v>
      </c>
      <c r="AZ22" s="24">
        <f t="shared" si="56"/>
        <v>6</v>
      </c>
      <c r="BA22" s="24">
        <f t="shared" si="57"/>
        <v>3</v>
      </c>
      <c r="BB22" s="24">
        <f t="shared" si="58"/>
        <v>5</v>
      </c>
      <c r="BC22" s="24">
        <f t="shared" si="59"/>
        <v>3</v>
      </c>
      <c r="BD22" s="24">
        <f t="shared" si="60"/>
        <v>2</v>
      </c>
      <c r="BE22" s="24">
        <f t="shared" si="61"/>
        <v>1</v>
      </c>
      <c r="BF22" s="29">
        <f t="shared" ref="BF22:BO22" si="78">+(AK22+Z22+O22+D22)/4</f>
        <v>1.113636364</v>
      </c>
      <c r="BG22" s="24">
        <f t="shared" si="78"/>
        <v>6</v>
      </c>
      <c r="BH22" s="24">
        <f t="shared" si="78"/>
        <v>3.25</v>
      </c>
      <c r="BI22" s="24">
        <f t="shared" si="78"/>
        <v>1.25</v>
      </c>
      <c r="BJ22" s="24">
        <f t="shared" si="78"/>
        <v>7</v>
      </c>
      <c r="BK22" s="24">
        <f t="shared" si="78"/>
        <v>3.5</v>
      </c>
      <c r="BL22" s="24">
        <f t="shared" si="78"/>
        <v>3.75</v>
      </c>
      <c r="BM22" s="24">
        <f t="shared" si="78"/>
        <v>3.75</v>
      </c>
      <c r="BN22" s="24">
        <f t="shared" si="78"/>
        <v>2.25</v>
      </c>
      <c r="BO22" s="24">
        <f t="shared" si="78"/>
        <v>1</v>
      </c>
      <c r="BP22" s="30">
        <f t="shared" si="9"/>
        <v>-0.2045454545</v>
      </c>
      <c r="BQ22" s="64">
        <f t="shared" si="10"/>
        <v>0.4545454545</v>
      </c>
      <c r="BR22" s="64">
        <f t="shared" si="11"/>
        <v>0.2727272727</v>
      </c>
      <c r="BS22" s="64">
        <f t="shared" si="12"/>
        <v>0.1818181818</v>
      </c>
      <c r="BT22" s="64">
        <f t="shared" si="13"/>
        <v>0.09090909091</v>
      </c>
      <c r="BU22" s="64">
        <f t="shared" si="14"/>
        <v>0</v>
      </c>
      <c r="BV22" s="64">
        <f t="shared" si="15"/>
        <v>0.5454545455</v>
      </c>
      <c r="BW22" s="64">
        <f t="shared" ref="BW22:BX22" si="79">+BR22+BS22+BT22</f>
        <v>0.5454545455</v>
      </c>
      <c r="BX22" s="65">
        <f t="shared" si="79"/>
        <v>0.2727272727</v>
      </c>
    </row>
    <row r="23" ht="15.75" customHeight="1">
      <c r="A23" s="2"/>
      <c r="B23" s="33">
        <v>12.0</v>
      </c>
      <c r="C23" s="2">
        <v>0.0</v>
      </c>
      <c r="D23" s="3">
        <f t="shared" si="3"/>
        <v>1.25</v>
      </c>
      <c r="E23" s="2">
        <f t="shared" si="17"/>
        <v>5</v>
      </c>
      <c r="F23" s="2">
        <f t="shared" si="18"/>
        <v>2</v>
      </c>
      <c r="G23" s="2">
        <f t="shared" si="19"/>
        <v>3</v>
      </c>
      <c r="H23" s="2">
        <f t="shared" si="20"/>
        <v>7</v>
      </c>
      <c r="I23" s="2">
        <f t="shared" si="21"/>
        <v>3</v>
      </c>
      <c r="J23" s="2">
        <f t="shared" si="22"/>
        <v>4</v>
      </c>
      <c r="K23" s="2">
        <f t="shared" si="23"/>
        <v>5</v>
      </c>
      <c r="L23" s="2">
        <f t="shared" si="24"/>
        <v>0</v>
      </c>
      <c r="M23" s="34">
        <f t="shared" si="25"/>
        <v>2</v>
      </c>
      <c r="N23" s="2">
        <v>2.0</v>
      </c>
      <c r="O23" s="3">
        <f t="shared" si="4"/>
        <v>1</v>
      </c>
      <c r="P23" s="2">
        <f t="shared" si="26"/>
        <v>8</v>
      </c>
      <c r="Q23" s="2">
        <f t="shared" si="27"/>
        <v>4</v>
      </c>
      <c r="R23" s="2">
        <f t="shared" si="28"/>
        <v>0</v>
      </c>
      <c r="S23" s="2">
        <f t="shared" si="29"/>
        <v>8</v>
      </c>
      <c r="T23" s="2">
        <f t="shared" si="30"/>
        <v>4</v>
      </c>
      <c r="U23" s="2">
        <f t="shared" si="31"/>
        <v>4</v>
      </c>
      <c r="V23" s="2">
        <f t="shared" si="32"/>
        <v>4</v>
      </c>
      <c r="W23" s="2">
        <f t="shared" si="33"/>
        <v>4</v>
      </c>
      <c r="X23" s="34">
        <f t="shared" si="34"/>
        <v>0</v>
      </c>
      <c r="Y23" s="2">
        <v>1.0</v>
      </c>
      <c r="Z23" s="3">
        <f t="shared" si="5"/>
        <v>0.8333333333</v>
      </c>
      <c r="AA23" s="2">
        <f t="shared" si="35"/>
        <v>6</v>
      </c>
      <c r="AB23" s="2">
        <f t="shared" si="36"/>
        <v>2</v>
      </c>
      <c r="AC23" s="2">
        <f t="shared" si="37"/>
        <v>1</v>
      </c>
      <c r="AD23" s="2">
        <f t="shared" si="38"/>
        <v>7</v>
      </c>
      <c r="AE23" s="2">
        <f t="shared" si="39"/>
        <v>2</v>
      </c>
      <c r="AF23" s="2">
        <f t="shared" si="40"/>
        <v>5</v>
      </c>
      <c r="AG23" s="2">
        <f t="shared" si="41"/>
        <v>5</v>
      </c>
      <c r="AH23" s="2">
        <f t="shared" si="42"/>
        <v>1</v>
      </c>
      <c r="AI23" s="34">
        <f t="shared" si="43"/>
        <v>1</v>
      </c>
      <c r="AJ23" s="2">
        <v>0.0</v>
      </c>
      <c r="AK23" s="3">
        <f t="shared" si="6"/>
        <v>1.25</v>
      </c>
      <c r="AL23" s="2">
        <f t="shared" si="44"/>
        <v>7</v>
      </c>
      <c r="AM23" s="2">
        <f t="shared" si="45"/>
        <v>6</v>
      </c>
      <c r="AN23" s="2">
        <f t="shared" si="46"/>
        <v>1</v>
      </c>
      <c r="AO23" s="2">
        <f t="shared" si="47"/>
        <v>8</v>
      </c>
      <c r="AP23" s="2">
        <f t="shared" si="48"/>
        <v>6</v>
      </c>
      <c r="AQ23" s="2">
        <f t="shared" si="49"/>
        <v>4</v>
      </c>
      <c r="AR23" s="2">
        <f t="shared" si="50"/>
        <v>2</v>
      </c>
      <c r="AS23" s="2">
        <f t="shared" si="51"/>
        <v>5</v>
      </c>
      <c r="AT23" s="34">
        <f t="shared" si="52"/>
        <v>1</v>
      </c>
      <c r="AU23" s="35">
        <v>1.0</v>
      </c>
      <c r="AV23" s="3">
        <f t="shared" si="7"/>
        <v>0.9166666667</v>
      </c>
      <c r="AW23" s="2">
        <f t="shared" si="53"/>
        <v>6</v>
      </c>
      <c r="AX23" s="2">
        <f t="shared" si="54"/>
        <v>3</v>
      </c>
      <c r="AY23" s="2">
        <f t="shared" si="55"/>
        <v>1</v>
      </c>
      <c r="AZ23" s="2">
        <f t="shared" si="56"/>
        <v>7</v>
      </c>
      <c r="BA23" s="2">
        <f t="shared" si="57"/>
        <v>3</v>
      </c>
      <c r="BB23" s="2">
        <f t="shared" si="58"/>
        <v>5</v>
      </c>
      <c r="BC23" s="2">
        <f t="shared" si="59"/>
        <v>4</v>
      </c>
      <c r="BD23" s="2">
        <f t="shared" si="60"/>
        <v>2</v>
      </c>
      <c r="BE23" s="2">
        <f t="shared" si="61"/>
        <v>1</v>
      </c>
      <c r="BF23" s="36">
        <f t="shared" ref="BF23:BO23" si="80">+(AK23+Z23+O23+D23)/4</f>
        <v>1.083333333</v>
      </c>
      <c r="BG23" s="2">
        <f t="shared" si="80"/>
        <v>6.5</v>
      </c>
      <c r="BH23" s="2">
        <f t="shared" si="80"/>
        <v>3.5</v>
      </c>
      <c r="BI23" s="2">
        <f t="shared" si="80"/>
        <v>1.25</v>
      </c>
      <c r="BJ23" s="2">
        <f t="shared" si="80"/>
        <v>7.5</v>
      </c>
      <c r="BK23" s="2">
        <f t="shared" si="80"/>
        <v>3.75</v>
      </c>
      <c r="BL23" s="2">
        <f t="shared" si="80"/>
        <v>4.25</v>
      </c>
      <c r="BM23" s="2">
        <f t="shared" si="80"/>
        <v>4</v>
      </c>
      <c r="BN23" s="2">
        <f t="shared" si="80"/>
        <v>2.5</v>
      </c>
      <c r="BO23" s="2">
        <f t="shared" si="80"/>
        <v>1</v>
      </c>
      <c r="BP23" s="37">
        <f t="shared" si="9"/>
        <v>-0.1666666667</v>
      </c>
      <c r="BQ23" s="66">
        <f t="shared" si="10"/>
        <v>0.4166666667</v>
      </c>
      <c r="BR23" s="66">
        <f t="shared" si="11"/>
        <v>0.3333333333</v>
      </c>
      <c r="BS23" s="66">
        <f t="shared" si="12"/>
        <v>0.1666666667</v>
      </c>
      <c r="BT23" s="66">
        <f t="shared" si="13"/>
        <v>0.08333333333</v>
      </c>
      <c r="BU23" s="66">
        <f t="shared" si="14"/>
        <v>0</v>
      </c>
      <c r="BV23" s="66">
        <f t="shared" si="15"/>
        <v>0.5833333333</v>
      </c>
      <c r="BW23" s="66">
        <f t="shared" ref="BW23:BX23" si="81">+BR23+BS23+BT23</f>
        <v>0.5833333333</v>
      </c>
      <c r="BX23" s="67">
        <f t="shared" si="81"/>
        <v>0.25</v>
      </c>
    </row>
    <row r="24" ht="15.75" customHeight="1">
      <c r="A24" s="24"/>
      <c r="B24" s="40">
        <v>13.0</v>
      </c>
      <c r="C24" s="24">
        <v>2.0</v>
      </c>
      <c r="D24" s="27">
        <f t="shared" si="3"/>
        <v>1.307692308</v>
      </c>
      <c r="E24" s="24">
        <f t="shared" si="17"/>
        <v>6</v>
      </c>
      <c r="F24" s="2">
        <f t="shared" si="18"/>
        <v>3</v>
      </c>
      <c r="G24" s="24">
        <f t="shared" si="19"/>
        <v>3</v>
      </c>
      <c r="H24" s="24">
        <f t="shared" si="20"/>
        <v>8</v>
      </c>
      <c r="I24" s="24">
        <f t="shared" si="21"/>
        <v>4</v>
      </c>
      <c r="J24" s="24">
        <f t="shared" si="22"/>
        <v>4</v>
      </c>
      <c r="K24" s="24">
        <f t="shared" si="23"/>
        <v>5</v>
      </c>
      <c r="L24" s="24">
        <f t="shared" si="24"/>
        <v>1</v>
      </c>
      <c r="M24" s="28">
        <f t="shared" si="25"/>
        <v>2</v>
      </c>
      <c r="N24" s="24">
        <v>1.0</v>
      </c>
      <c r="O24" s="27">
        <f t="shared" si="4"/>
        <v>1</v>
      </c>
      <c r="P24" s="24">
        <f t="shared" si="26"/>
        <v>9</v>
      </c>
      <c r="Q24" s="2">
        <f t="shared" si="27"/>
        <v>4</v>
      </c>
      <c r="R24" s="24">
        <f t="shared" si="28"/>
        <v>0</v>
      </c>
      <c r="S24" s="24">
        <f t="shared" si="29"/>
        <v>9</v>
      </c>
      <c r="T24" s="24">
        <f t="shared" si="30"/>
        <v>4</v>
      </c>
      <c r="U24" s="24">
        <f t="shared" si="31"/>
        <v>4</v>
      </c>
      <c r="V24" s="24">
        <f t="shared" si="32"/>
        <v>5</v>
      </c>
      <c r="W24" s="24">
        <f t="shared" si="33"/>
        <v>4</v>
      </c>
      <c r="X24" s="28">
        <f t="shared" si="34"/>
        <v>0</v>
      </c>
      <c r="Y24" s="24">
        <v>0.0</v>
      </c>
      <c r="Z24" s="27">
        <f t="shared" si="5"/>
        <v>0.7692307692</v>
      </c>
      <c r="AA24" s="24">
        <f t="shared" si="35"/>
        <v>6</v>
      </c>
      <c r="AB24" s="2">
        <f t="shared" si="36"/>
        <v>2</v>
      </c>
      <c r="AC24" s="24">
        <f t="shared" si="37"/>
        <v>1</v>
      </c>
      <c r="AD24" s="24">
        <f t="shared" si="38"/>
        <v>7</v>
      </c>
      <c r="AE24" s="24">
        <f t="shared" si="39"/>
        <v>2</v>
      </c>
      <c r="AF24" s="24">
        <f t="shared" si="40"/>
        <v>6</v>
      </c>
      <c r="AG24" s="24">
        <f t="shared" si="41"/>
        <v>5</v>
      </c>
      <c r="AH24" s="24">
        <f t="shared" si="42"/>
        <v>1</v>
      </c>
      <c r="AI24" s="28">
        <f t="shared" si="43"/>
        <v>1</v>
      </c>
      <c r="AJ24" s="24">
        <v>1.0</v>
      </c>
      <c r="AK24" s="27">
        <f t="shared" si="6"/>
        <v>1.230769231</v>
      </c>
      <c r="AL24" s="24">
        <f t="shared" si="44"/>
        <v>8</v>
      </c>
      <c r="AM24" s="2">
        <f t="shared" si="45"/>
        <v>6</v>
      </c>
      <c r="AN24" s="24">
        <f t="shared" si="46"/>
        <v>1</v>
      </c>
      <c r="AO24" s="24">
        <f t="shared" si="47"/>
        <v>9</v>
      </c>
      <c r="AP24" s="24">
        <f t="shared" si="48"/>
        <v>6</v>
      </c>
      <c r="AQ24" s="24">
        <f t="shared" si="49"/>
        <v>4</v>
      </c>
      <c r="AR24" s="24">
        <f t="shared" si="50"/>
        <v>3</v>
      </c>
      <c r="AS24" s="24">
        <f t="shared" si="51"/>
        <v>5</v>
      </c>
      <c r="AT24" s="28">
        <f t="shared" si="52"/>
        <v>1</v>
      </c>
      <c r="AU24" s="24">
        <v>1.0</v>
      </c>
      <c r="AV24" s="27">
        <f t="shared" si="7"/>
        <v>0.9230769231</v>
      </c>
      <c r="AW24" s="24">
        <f t="shared" si="53"/>
        <v>7</v>
      </c>
      <c r="AX24" s="2">
        <f t="shared" si="54"/>
        <v>3</v>
      </c>
      <c r="AY24" s="24">
        <f t="shared" si="55"/>
        <v>1</v>
      </c>
      <c r="AZ24" s="24">
        <f t="shared" si="56"/>
        <v>8</v>
      </c>
      <c r="BA24" s="24">
        <f t="shared" si="57"/>
        <v>3</v>
      </c>
      <c r="BB24" s="24">
        <f t="shared" si="58"/>
        <v>5</v>
      </c>
      <c r="BC24" s="24">
        <f t="shared" si="59"/>
        <v>5</v>
      </c>
      <c r="BD24" s="24">
        <f t="shared" si="60"/>
        <v>2</v>
      </c>
      <c r="BE24" s="24">
        <f t="shared" si="61"/>
        <v>1</v>
      </c>
      <c r="BF24" s="29">
        <f t="shared" ref="BF24:BO24" si="82">+(AK24+Z24+O24+D24)/4</f>
        <v>1.076923077</v>
      </c>
      <c r="BG24" s="24">
        <f t="shared" si="82"/>
        <v>7.25</v>
      </c>
      <c r="BH24" s="24">
        <f t="shared" si="82"/>
        <v>3.75</v>
      </c>
      <c r="BI24" s="24">
        <f t="shared" si="82"/>
        <v>1.25</v>
      </c>
      <c r="BJ24" s="24">
        <f t="shared" si="82"/>
        <v>8.25</v>
      </c>
      <c r="BK24" s="24">
        <f t="shared" si="82"/>
        <v>4</v>
      </c>
      <c r="BL24" s="24">
        <f t="shared" si="82"/>
        <v>4.5</v>
      </c>
      <c r="BM24" s="24">
        <f t="shared" si="82"/>
        <v>4.5</v>
      </c>
      <c r="BN24" s="24">
        <f t="shared" si="82"/>
        <v>2.75</v>
      </c>
      <c r="BO24" s="24">
        <f t="shared" si="82"/>
        <v>1</v>
      </c>
      <c r="BP24" s="30">
        <f t="shared" si="9"/>
        <v>-0.1538461538</v>
      </c>
      <c r="BQ24" s="64">
        <f t="shared" si="10"/>
        <v>0.3846153846</v>
      </c>
      <c r="BR24" s="64">
        <f t="shared" si="11"/>
        <v>0.3846153846</v>
      </c>
      <c r="BS24" s="64">
        <f t="shared" si="12"/>
        <v>0.1538461538</v>
      </c>
      <c r="BT24" s="64">
        <f t="shared" si="13"/>
        <v>0.07692307692</v>
      </c>
      <c r="BU24" s="64">
        <f t="shared" si="14"/>
        <v>0</v>
      </c>
      <c r="BV24" s="64">
        <f t="shared" si="15"/>
        <v>0.6153846154</v>
      </c>
      <c r="BW24" s="64">
        <f t="shared" ref="BW24:BX24" si="83">+BR24+BS24+BT24</f>
        <v>0.6153846154</v>
      </c>
      <c r="BX24" s="65">
        <f t="shared" si="83"/>
        <v>0.2307692308</v>
      </c>
    </row>
    <row r="25" ht="15.75" customHeight="1">
      <c r="A25" s="2"/>
      <c r="B25" s="33">
        <v>14.0</v>
      </c>
      <c r="C25" s="2">
        <v>0.0</v>
      </c>
      <c r="D25" s="3">
        <f t="shared" si="3"/>
        <v>1.214285714</v>
      </c>
      <c r="E25" s="2">
        <f t="shared" si="17"/>
        <v>6</v>
      </c>
      <c r="F25" s="2">
        <f t="shared" si="18"/>
        <v>3</v>
      </c>
      <c r="G25" s="2">
        <f t="shared" si="19"/>
        <v>3</v>
      </c>
      <c r="H25" s="2">
        <f t="shared" si="20"/>
        <v>8</v>
      </c>
      <c r="I25" s="2">
        <f t="shared" si="21"/>
        <v>4</v>
      </c>
      <c r="J25" s="2">
        <f t="shared" si="22"/>
        <v>5</v>
      </c>
      <c r="K25" s="2">
        <f t="shared" si="23"/>
        <v>5</v>
      </c>
      <c r="L25" s="2">
        <f t="shared" si="24"/>
        <v>1</v>
      </c>
      <c r="M25" s="34">
        <f t="shared" si="25"/>
        <v>2</v>
      </c>
      <c r="N25" s="2">
        <v>2.0</v>
      </c>
      <c r="O25" s="3">
        <f t="shared" si="4"/>
        <v>1.071428571</v>
      </c>
      <c r="P25" s="2">
        <f t="shared" si="26"/>
        <v>10</v>
      </c>
      <c r="Q25" s="2">
        <f t="shared" si="27"/>
        <v>5</v>
      </c>
      <c r="R25" s="2">
        <f t="shared" si="28"/>
        <v>0</v>
      </c>
      <c r="S25" s="2">
        <f t="shared" si="29"/>
        <v>10</v>
      </c>
      <c r="T25" s="2">
        <f t="shared" si="30"/>
        <v>5</v>
      </c>
      <c r="U25" s="2">
        <f t="shared" si="31"/>
        <v>4</v>
      </c>
      <c r="V25" s="2">
        <f t="shared" si="32"/>
        <v>5</v>
      </c>
      <c r="W25" s="2">
        <f t="shared" si="33"/>
        <v>5</v>
      </c>
      <c r="X25" s="34">
        <f t="shared" si="34"/>
        <v>0</v>
      </c>
      <c r="Y25" s="2">
        <v>3.0</v>
      </c>
      <c r="Z25" s="3">
        <f t="shared" si="5"/>
        <v>0.9285714286</v>
      </c>
      <c r="AA25" s="2">
        <f t="shared" si="35"/>
        <v>6</v>
      </c>
      <c r="AB25" s="2">
        <f t="shared" si="36"/>
        <v>3</v>
      </c>
      <c r="AC25" s="2">
        <f t="shared" si="37"/>
        <v>2</v>
      </c>
      <c r="AD25" s="2">
        <f t="shared" si="38"/>
        <v>8</v>
      </c>
      <c r="AE25" s="2">
        <f t="shared" si="39"/>
        <v>3</v>
      </c>
      <c r="AF25" s="2">
        <f t="shared" si="40"/>
        <v>6</v>
      </c>
      <c r="AG25" s="2">
        <f t="shared" si="41"/>
        <v>5</v>
      </c>
      <c r="AH25" s="2">
        <f t="shared" si="42"/>
        <v>1</v>
      </c>
      <c r="AI25" s="34">
        <f t="shared" si="43"/>
        <v>2</v>
      </c>
      <c r="AJ25" s="2">
        <v>0.0</v>
      </c>
      <c r="AK25" s="3">
        <f t="shared" si="6"/>
        <v>1.142857143</v>
      </c>
      <c r="AL25" s="2">
        <f t="shared" si="44"/>
        <v>8</v>
      </c>
      <c r="AM25" s="2">
        <f t="shared" si="45"/>
        <v>6</v>
      </c>
      <c r="AN25" s="2">
        <f t="shared" si="46"/>
        <v>1</v>
      </c>
      <c r="AO25" s="2">
        <f t="shared" si="47"/>
        <v>9</v>
      </c>
      <c r="AP25" s="2">
        <f t="shared" si="48"/>
        <v>6</v>
      </c>
      <c r="AQ25" s="2">
        <f t="shared" si="49"/>
        <v>5</v>
      </c>
      <c r="AR25" s="2">
        <f t="shared" si="50"/>
        <v>3</v>
      </c>
      <c r="AS25" s="2">
        <f t="shared" si="51"/>
        <v>5</v>
      </c>
      <c r="AT25" s="34">
        <f t="shared" si="52"/>
        <v>1</v>
      </c>
      <c r="AU25" s="35">
        <v>2.0</v>
      </c>
      <c r="AV25" s="3">
        <f t="shared" si="7"/>
        <v>1</v>
      </c>
      <c r="AW25" s="2">
        <f t="shared" si="53"/>
        <v>8</v>
      </c>
      <c r="AX25" s="2">
        <f t="shared" si="54"/>
        <v>4</v>
      </c>
      <c r="AY25" s="2">
        <f t="shared" si="55"/>
        <v>1</v>
      </c>
      <c r="AZ25" s="2">
        <f t="shared" si="56"/>
        <v>9</v>
      </c>
      <c r="BA25" s="2">
        <f t="shared" si="57"/>
        <v>4</v>
      </c>
      <c r="BB25" s="2">
        <f t="shared" si="58"/>
        <v>5</v>
      </c>
      <c r="BC25" s="2">
        <f t="shared" si="59"/>
        <v>5</v>
      </c>
      <c r="BD25" s="2">
        <f t="shared" si="60"/>
        <v>3</v>
      </c>
      <c r="BE25" s="2">
        <f t="shared" si="61"/>
        <v>1</v>
      </c>
      <c r="BF25" s="36">
        <f t="shared" ref="BF25:BO25" si="84">+(AK25+Z25+O25+D25)/4</f>
        <v>1.089285714</v>
      </c>
      <c r="BG25" s="2">
        <f t="shared" si="84"/>
        <v>7.5</v>
      </c>
      <c r="BH25" s="2">
        <f t="shared" si="84"/>
        <v>4.25</v>
      </c>
      <c r="BI25" s="2">
        <f t="shared" si="84"/>
        <v>1.5</v>
      </c>
      <c r="BJ25" s="2">
        <f t="shared" si="84"/>
        <v>8.75</v>
      </c>
      <c r="BK25" s="2">
        <f t="shared" si="84"/>
        <v>4.5</v>
      </c>
      <c r="BL25" s="2">
        <f t="shared" si="84"/>
        <v>5</v>
      </c>
      <c r="BM25" s="2">
        <f t="shared" si="84"/>
        <v>4.5</v>
      </c>
      <c r="BN25" s="2">
        <f t="shared" si="84"/>
        <v>3</v>
      </c>
      <c r="BO25" s="2">
        <f t="shared" si="84"/>
        <v>1.25</v>
      </c>
      <c r="BP25" s="37">
        <f t="shared" si="9"/>
        <v>-0.08928571429</v>
      </c>
      <c r="BQ25" s="66">
        <f t="shared" si="10"/>
        <v>0.3571428571</v>
      </c>
      <c r="BR25" s="66">
        <f t="shared" si="11"/>
        <v>0.3571428571</v>
      </c>
      <c r="BS25" s="66">
        <f t="shared" si="12"/>
        <v>0.2142857143</v>
      </c>
      <c r="BT25" s="66">
        <f t="shared" si="13"/>
        <v>0.07142857143</v>
      </c>
      <c r="BU25" s="66">
        <f t="shared" si="14"/>
        <v>0</v>
      </c>
      <c r="BV25" s="66">
        <f t="shared" si="15"/>
        <v>0.6428571429</v>
      </c>
      <c r="BW25" s="66">
        <f t="shared" ref="BW25:BX25" si="85">+BR25+BS25+BT25</f>
        <v>0.6428571429</v>
      </c>
      <c r="BX25" s="67">
        <f t="shared" si="85"/>
        <v>0.2857142857</v>
      </c>
    </row>
    <row r="26" ht="15.75" customHeight="1">
      <c r="A26" s="24"/>
      <c r="B26" s="40">
        <v>15.0</v>
      </c>
      <c r="C26" s="24">
        <v>2.0</v>
      </c>
      <c r="D26" s="27">
        <f t="shared" si="3"/>
        <v>1.266666667</v>
      </c>
      <c r="E26" s="24">
        <f t="shared" si="17"/>
        <v>7</v>
      </c>
      <c r="F26" s="2">
        <f t="shared" si="18"/>
        <v>4</v>
      </c>
      <c r="G26" s="24">
        <f t="shared" si="19"/>
        <v>3</v>
      </c>
      <c r="H26" s="24">
        <f t="shared" si="20"/>
        <v>9</v>
      </c>
      <c r="I26" s="24">
        <f t="shared" si="21"/>
        <v>5</v>
      </c>
      <c r="J26" s="24">
        <f t="shared" si="22"/>
        <v>5</v>
      </c>
      <c r="K26" s="24">
        <f t="shared" si="23"/>
        <v>5</v>
      </c>
      <c r="L26" s="24">
        <f t="shared" si="24"/>
        <v>2</v>
      </c>
      <c r="M26" s="28">
        <f t="shared" si="25"/>
        <v>2</v>
      </c>
      <c r="N26" s="24">
        <v>1.0</v>
      </c>
      <c r="O26" s="27">
        <f t="shared" si="4"/>
        <v>1.066666667</v>
      </c>
      <c r="P26" s="24">
        <f t="shared" si="26"/>
        <v>11</v>
      </c>
      <c r="Q26" s="2">
        <f t="shared" si="27"/>
        <v>5</v>
      </c>
      <c r="R26" s="24">
        <f t="shared" si="28"/>
        <v>0</v>
      </c>
      <c r="S26" s="24">
        <f t="shared" si="29"/>
        <v>11</v>
      </c>
      <c r="T26" s="24">
        <f t="shared" si="30"/>
        <v>5</v>
      </c>
      <c r="U26" s="24">
        <f t="shared" si="31"/>
        <v>4</v>
      </c>
      <c r="V26" s="24">
        <f t="shared" si="32"/>
        <v>6</v>
      </c>
      <c r="W26" s="24">
        <f t="shared" si="33"/>
        <v>5</v>
      </c>
      <c r="X26" s="28">
        <f t="shared" si="34"/>
        <v>0</v>
      </c>
      <c r="Y26" s="24">
        <v>0.0</v>
      </c>
      <c r="Z26" s="27">
        <f t="shared" si="5"/>
        <v>0.8666666667</v>
      </c>
      <c r="AA26" s="24">
        <f t="shared" si="35"/>
        <v>6</v>
      </c>
      <c r="AB26" s="2">
        <f t="shared" si="36"/>
        <v>3</v>
      </c>
      <c r="AC26" s="24">
        <f t="shared" si="37"/>
        <v>2</v>
      </c>
      <c r="AD26" s="24">
        <f t="shared" si="38"/>
        <v>8</v>
      </c>
      <c r="AE26" s="24">
        <f t="shared" si="39"/>
        <v>3</v>
      </c>
      <c r="AF26" s="24">
        <f t="shared" si="40"/>
        <v>7</v>
      </c>
      <c r="AG26" s="24">
        <f t="shared" si="41"/>
        <v>5</v>
      </c>
      <c r="AH26" s="24">
        <f t="shared" si="42"/>
        <v>1</v>
      </c>
      <c r="AI26" s="28">
        <f t="shared" si="43"/>
        <v>2</v>
      </c>
      <c r="AJ26" s="24">
        <v>0.0</v>
      </c>
      <c r="AK26" s="27">
        <f t="shared" si="6"/>
        <v>1.066666667</v>
      </c>
      <c r="AL26" s="24">
        <f t="shared" si="44"/>
        <v>8</v>
      </c>
      <c r="AM26" s="2">
        <f t="shared" si="45"/>
        <v>6</v>
      </c>
      <c r="AN26" s="24">
        <f t="shared" si="46"/>
        <v>1</v>
      </c>
      <c r="AO26" s="24">
        <f t="shared" si="47"/>
        <v>9</v>
      </c>
      <c r="AP26" s="24">
        <f t="shared" si="48"/>
        <v>6</v>
      </c>
      <c r="AQ26" s="24">
        <f t="shared" si="49"/>
        <v>6</v>
      </c>
      <c r="AR26" s="24">
        <f t="shared" si="50"/>
        <v>3</v>
      </c>
      <c r="AS26" s="24">
        <f t="shared" si="51"/>
        <v>5</v>
      </c>
      <c r="AT26" s="28">
        <f t="shared" si="52"/>
        <v>1</v>
      </c>
      <c r="AU26" s="24">
        <v>1.0</v>
      </c>
      <c r="AV26" s="27">
        <f t="shared" si="7"/>
        <v>1</v>
      </c>
      <c r="AW26" s="24">
        <f t="shared" si="53"/>
        <v>9</v>
      </c>
      <c r="AX26" s="2">
        <f t="shared" si="54"/>
        <v>4</v>
      </c>
      <c r="AY26" s="24">
        <f t="shared" si="55"/>
        <v>1</v>
      </c>
      <c r="AZ26" s="24">
        <f t="shared" si="56"/>
        <v>10</v>
      </c>
      <c r="BA26" s="24">
        <f t="shared" si="57"/>
        <v>4</v>
      </c>
      <c r="BB26" s="24">
        <f t="shared" si="58"/>
        <v>5</v>
      </c>
      <c r="BC26" s="24">
        <f t="shared" si="59"/>
        <v>6</v>
      </c>
      <c r="BD26" s="24">
        <f t="shared" si="60"/>
        <v>3</v>
      </c>
      <c r="BE26" s="24">
        <f t="shared" si="61"/>
        <v>1</v>
      </c>
      <c r="BF26" s="29">
        <f t="shared" ref="BF26:BO26" si="86">+(AK26+Z26+O26+D26)/4</f>
        <v>1.066666667</v>
      </c>
      <c r="BG26" s="24">
        <f t="shared" si="86"/>
        <v>8</v>
      </c>
      <c r="BH26" s="24">
        <f t="shared" si="86"/>
        <v>4.5</v>
      </c>
      <c r="BI26" s="24">
        <f t="shared" si="86"/>
        <v>1.5</v>
      </c>
      <c r="BJ26" s="24">
        <f t="shared" si="86"/>
        <v>9.25</v>
      </c>
      <c r="BK26" s="24">
        <f t="shared" si="86"/>
        <v>4.75</v>
      </c>
      <c r="BL26" s="24">
        <f t="shared" si="86"/>
        <v>5.5</v>
      </c>
      <c r="BM26" s="24">
        <f t="shared" si="86"/>
        <v>4.75</v>
      </c>
      <c r="BN26" s="24">
        <f t="shared" si="86"/>
        <v>3.25</v>
      </c>
      <c r="BO26" s="24">
        <f t="shared" si="86"/>
        <v>1.25</v>
      </c>
      <c r="BP26" s="30">
        <f t="shared" si="9"/>
        <v>-0.06666666667</v>
      </c>
      <c r="BQ26" s="64">
        <f t="shared" si="10"/>
        <v>0.3333333333</v>
      </c>
      <c r="BR26" s="64">
        <f t="shared" si="11"/>
        <v>0.4</v>
      </c>
      <c r="BS26" s="64">
        <f t="shared" si="12"/>
        <v>0.2</v>
      </c>
      <c r="BT26" s="64">
        <f t="shared" si="13"/>
        <v>0.06666666667</v>
      </c>
      <c r="BU26" s="64">
        <f t="shared" si="14"/>
        <v>0</v>
      </c>
      <c r="BV26" s="64">
        <f t="shared" si="15"/>
        <v>0.6666666667</v>
      </c>
      <c r="BW26" s="64">
        <f t="shared" ref="BW26:BX26" si="87">+BR26+BS26+BT26</f>
        <v>0.6666666667</v>
      </c>
      <c r="BX26" s="65">
        <f t="shared" si="87"/>
        <v>0.2666666667</v>
      </c>
    </row>
    <row r="27" ht="15.75" customHeight="1">
      <c r="A27" s="2"/>
      <c r="B27" s="33">
        <v>16.0</v>
      </c>
      <c r="C27" s="2">
        <v>1.0</v>
      </c>
      <c r="D27" s="3">
        <f t="shared" si="3"/>
        <v>1.25</v>
      </c>
      <c r="E27" s="2">
        <f t="shared" si="17"/>
        <v>8</v>
      </c>
      <c r="F27" s="2">
        <f t="shared" si="18"/>
        <v>4</v>
      </c>
      <c r="G27" s="2">
        <f t="shared" si="19"/>
        <v>3</v>
      </c>
      <c r="H27" s="2">
        <f t="shared" si="20"/>
        <v>10</v>
      </c>
      <c r="I27" s="2">
        <f t="shared" si="21"/>
        <v>5</v>
      </c>
      <c r="J27" s="2">
        <f t="shared" si="22"/>
        <v>5</v>
      </c>
      <c r="K27" s="2">
        <f t="shared" si="23"/>
        <v>6</v>
      </c>
      <c r="L27" s="2">
        <f t="shared" si="24"/>
        <v>2</v>
      </c>
      <c r="M27" s="34">
        <f t="shared" si="25"/>
        <v>2</v>
      </c>
      <c r="N27" s="2">
        <v>1.0</v>
      </c>
      <c r="O27" s="3">
        <f t="shared" si="4"/>
        <v>1.0625</v>
      </c>
      <c r="P27" s="2">
        <f t="shared" si="26"/>
        <v>12</v>
      </c>
      <c r="Q27" s="2">
        <f t="shared" si="27"/>
        <v>5</v>
      </c>
      <c r="R27" s="2">
        <f t="shared" si="28"/>
        <v>0</v>
      </c>
      <c r="S27" s="2">
        <f t="shared" si="29"/>
        <v>12</v>
      </c>
      <c r="T27" s="2">
        <f t="shared" si="30"/>
        <v>5</v>
      </c>
      <c r="U27" s="2">
        <f t="shared" si="31"/>
        <v>4</v>
      </c>
      <c r="V27" s="2">
        <f t="shared" si="32"/>
        <v>7</v>
      </c>
      <c r="W27" s="2">
        <f t="shared" si="33"/>
        <v>5</v>
      </c>
      <c r="X27" s="34">
        <f t="shared" si="34"/>
        <v>0</v>
      </c>
      <c r="Y27" s="2">
        <v>1.0</v>
      </c>
      <c r="Z27" s="3">
        <f t="shared" si="5"/>
        <v>0.875</v>
      </c>
      <c r="AA27" s="2">
        <f t="shared" si="35"/>
        <v>7</v>
      </c>
      <c r="AB27" s="2">
        <f t="shared" si="36"/>
        <v>3</v>
      </c>
      <c r="AC27" s="2">
        <f t="shared" si="37"/>
        <v>2</v>
      </c>
      <c r="AD27" s="2">
        <f t="shared" si="38"/>
        <v>9</v>
      </c>
      <c r="AE27" s="2">
        <f t="shared" si="39"/>
        <v>3</v>
      </c>
      <c r="AF27" s="2">
        <f t="shared" si="40"/>
        <v>7</v>
      </c>
      <c r="AG27" s="2">
        <f t="shared" si="41"/>
        <v>6</v>
      </c>
      <c r="AH27" s="2">
        <f t="shared" si="42"/>
        <v>1</v>
      </c>
      <c r="AI27" s="34">
        <f t="shared" si="43"/>
        <v>2</v>
      </c>
      <c r="AJ27" s="2">
        <v>1.0</v>
      </c>
      <c r="AK27" s="3">
        <f t="shared" si="6"/>
        <v>1.0625</v>
      </c>
      <c r="AL27" s="2">
        <f t="shared" si="44"/>
        <v>9</v>
      </c>
      <c r="AM27" s="2">
        <f t="shared" si="45"/>
        <v>6</v>
      </c>
      <c r="AN27" s="2">
        <f t="shared" si="46"/>
        <v>1</v>
      </c>
      <c r="AO27" s="2">
        <f t="shared" si="47"/>
        <v>10</v>
      </c>
      <c r="AP27" s="2">
        <f t="shared" si="48"/>
        <v>6</v>
      </c>
      <c r="AQ27" s="2">
        <f t="shared" si="49"/>
        <v>6</v>
      </c>
      <c r="AR27" s="2">
        <f t="shared" si="50"/>
        <v>4</v>
      </c>
      <c r="AS27" s="2">
        <f t="shared" si="51"/>
        <v>5</v>
      </c>
      <c r="AT27" s="34">
        <f t="shared" si="52"/>
        <v>1</v>
      </c>
      <c r="AU27" s="35">
        <v>1.0</v>
      </c>
      <c r="AV27" s="3">
        <f t="shared" si="7"/>
        <v>1</v>
      </c>
      <c r="AW27" s="2">
        <f t="shared" si="53"/>
        <v>10</v>
      </c>
      <c r="AX27" s="2">
        <f t="shared" si="54"/>
        <v>4</v>
      </c>
      <c r="AY27" s="2">
        <f t="shared" si="55"/>
        <v>1</v>
      </c>
      <c r="AZ27" s="2">
        <f t="shared" si="56"/>
        <v>11</v>
      </c>
      <c r="BA27" s="2">
        <f t="shared" si="57"/>
        <v>4</v>
      </c>
      <c r="BB27" s="2">
        <f t="shared" si="58"/>
        <v>5</v>
      </c>
      <c r="BC27" s="2">
        <f t="shared" si="59"/>
        <v>7</v>
      </c>
      <c r="BD27" s="2">
        <f t="shared" si="60"/>
        <v>3</v>
      </c>
      <c r="BE27" s="2">
        <f t="shared" si="61"/>
        <v>1</v>
      </c>
      <c r="BF27" s="36">
        <f t="shared" ref="BF27:BO27" si="88">+(AK27+Z27+O27+D27)/4</f>
        <v>1.0625</v>
      </c>
      <c r="BG27" s="2">
        <f t="shared" si="88"/>
        <v>9</v>
      </c>
      <c r="BH27" s="2">
        <f t="shared" si="88"/>
        <v>4.5</v>
      </c>
      <c r="BI27" s="2">
        <f t="shared" si="88"/>
        <v>1.5</v>
      </c>
      <c r="BJ27" s="2">
        <f t="shared" si="88"/>
        <v>10.25</v>
      </c>
      <c r="BK27" s="2">
        <f t="shared" si="88"/>
        <v>4.75</v>
      </c>
      <c r="BL27" s="2">
        <f t="shared" si="88"/>
        <v>5.5</v>
      </c>
      <c r="BM27" s="2">
        <f t="shared" si="88"/>
        <v>5.75</v>
      </c>
      <c r="BN27" s="2">
        <f t="shared" si="88"/>
        <v>3.25</v>
      </c>
      <c r="BO27" s="2">
        <f t="shared" si="88"/>
        <v>1.25</v>
      </c>
      <c r="BP27" s="37">
        <f t="shared" si="9"/>
        <v>-0.0625</v>
      </c>
      <c r="BQ27" s="66">
        <f t="shared" si="10"/>
        <v>0.3125</v>
      </c>
      <c r="BR27" s="66">
        <f t="shared" si="11"/>
        <v>0.4375</v>
      </c>
      <c r="BS27" s="66">
        <f t="shared" si="12"/>
        <v>0.1875</v>
      </c>
      <c r="BT27" s="66">
        <f t="shared" si="13"/>
        <v>0.0625</v>
      </c>
      <c r="BU27" s="66">
        <f t="shared" si="14"/>
        <v>0</v>
      </c>
      <c r="BV27" s="66">
        <f t="shared" si="15"/>
        <v>0.6875</v>
      </c>
      <c r="BW27" s="66">
        <f t="shared" ref="BW27:BX27" si="89">+BR27+BS27+BT27</f>
        <v>0.6875</v>
      </c>
      <c r="BX27" s="67">
        <f t="shared" si="89"/>
        <v>0.25</v>
      </c>
    </row>
    <row r="28" ht="15.75" customHeight="1">
      <c r="A28" s="24"/>
      <c r="B28" s="40">
        <v>17.0</v>
      </c>
      <c r="C28" s="24">
        <v>2.0</v>
      </c>
      <c r="D28" s="27">
        <f t="shared" si="3"/>
        <v>1.294117647</v>
      </c>
      <c r="E28" s="24">
        <f t="shared" si="17"/>
        <v>9</v>
      </c>
      <c r="F28" s="2">
        <f t="shared" si="18"/>
        <v>5</v>
      </c>
      <c r="G28" s="24">
        <f t="shared" si="19"/>
        <v>3</v>
      </c>
      <c r="H28" s="24">
        <f t="shared" si="20"/>
        <v>11</v>
      </c>
      <c r="I28" s="24">
        <f t="shared" si="21"/>
        <v>6</v>
      </c>
      <c r="J28" s="24">
        <f t="shared" si="22"/>
        <v>5</v>
      </c>
      <c r="K28" s="24">
        <f t="shared" si="23"/>
        <v>6</v>
      </c>
      <c r="L28" s="24">
        <f t="shared" si="24"/>
        <v>3</v>
      </c>
      <c r="M28" s="28">
        <f t="shared" si="25"/>
        <v>2</v>
      </c>
      <c r="N28" s="24">
        <v>1.0</v>
      </c>
      <c r="O28" s="27">
        <f t="shared" si="4"/>
        <v>1.058823529</v>
      </c>
      <c r="P28" s="24">
        <f t="shared" si="26"/>
        <v>13</v>
      </c>
      <c r="Q28" s="2">
        <f t="shared" si="27"/>
        <v>5</v>
      </c>
      <c r="R28" s="24">
        <f t="shared" si="28"/>
        <v>0</v>
      </c>
      <c r="S28" s="24">
        <f t="shared" si="29"/>
        <v>13</v>
      </c>
      <c r="T28" s="24">
        <f t="shared" si="30"/>
        <v>5</v>
      </c>
      <c r="U28" s="24">
        <f t="shared" si="31"/>
        <v>4</v>
      </c>
      <c r="V28" s="24">
        <f t="shared" si="32"/>
        <v>8</v>
      </c>
      <c r="W28" s="24">
        <f t="shared" si="33"/>
        <v>5</v>
      </c>
      <c r="X28" s="28">
        <f t="shared" si="34"/>
        <v>0</v>
      </c>
      <c r="Y28" s="24">
        <v>1.0</v>
      </c>
      <c r="Z28" s="27">
        <f t="shared" si="5"/>
        <v>0.8823529412</v>
      </c>
      <c r="AA28" s="24">
        <f t="shared" si="35"/>
        <v>8</v>
      </c>
      <c r="AB28" s="2">
        <f t="shared" si="36"/>
        <v>3</v>
      </c>
      <c r="AC28" s="24">
        <f t="shared" si="37"/>
        <v>2</v>
      </c>
      <c r="AD28" s="24">
        <f t="shared" si="38"/>
        <v>10</v>
      </c>
      <c r="AE28" s="24">
        <f t="shared" si="39"/>
        <v>3</v>
      </c>
      <c r="AF28" s="24">
        <f t="shared" si="40"/>
        <v>7</v>
      </c>
      <c r="AG28" s="24">
        <f t="shared" si="41"/>
        <v>7</v>
      </c>
      <c r="AH28" s="24">
        <f t="shared" si="42"/>
        <v>1</v>
      </c>
      <c r="AI28" s="28">
        <f t="shared" si="43"/>
        <v>2</v>
      </c>
      <c r="AJ28" s="24">
        <v>0.0</v>
      </c>
      <c r="AK28" s="27">
        <f t="shared" si="6"/>
        <v>1</v>
      </c>
      <c r="AL28" s="24">
        <f t="shared" si="44"/>
        <v>9</v>
      </c>
      <c r="AM28" s="2">
        <f t="shared" si="45"/>
        <v>6</v>
      </c>
      <c r="AN28" s="24">
        <f t="shared" si="46"/>
        <v>1</v>
      </c>
      <c r="AO28" s="24">
        <f t="shared" si="47"/>
        <v>10</v>
      </c>
      <c r="AP28" s="24">
        <f t="shared" si="48"/>
        <v>6</v>
      </c>
      <c r="AQ28" s="24">
        <f t="shared" si="49"/>
        <v>7</v>
      </c>
      <c r="AR28" s="24">
        <f t="shared" si="50"/>
        <v>4</v>
      </c>
      <c r="AS28" s="24">
        <f t="shared" si="51"/>
        <v>5</v>
      </c>
      <c r="AT28" s="28">
        <f t="shared" si="52"/>
        <v>1</v>
      </c>
      <c r="AU28" s="41">
        <v>1.0</v>
      </c>
      <c r="AV28" s="27">
        <f t="shared" si="7"/>
        <v>1</v>
      </c>
      <c r="AW28" s="24">
        <f t="shared" si="53"/>
        <v>11</v>
      </c>
      <c r="AX28" s="2">
        <f t="shared" si="54"/>
        <v>4</v>
      </c>
      <c r="AY28" s="24">
        <f t="shared" si="55"/>
        <v>1</v>
      </c>
      <c r="AZ28" s="24">
        <f t="shared" si="56"/>
        <v>12</v>
      </c>
      <c r="BA28" s="24">
        <f t="shared" si="57"/>
        <v>4</v>
      </c>
      <c r="BB28" s="24">
        <f t="shared" si="58"/>
        <v>5</v>
      </c>
      <c r="BC28" s="24">
        <f t="shared" si="59"/>
        <v>8</v>
      </c>
      <c r="BD28" s="24">
        <f t="shared" si="60"/>
        <v>3</v>
      </c>
      <c r="BE28" s="24">
        <f t="shared" si="61"/>
        <v>1</v>
      </c>
      <c r="BF28" s="29">
        <f t="shared" ref="BF28:BO28" si="90">+(AK28+Z28+O28+D28)/4</f>
        <v>1.058823529</v>
      </c>
      <c r="BG28" s="24">
        <f t="shared" si="90"/>
        <v>9.75</v>
      </c>
      <c r="BH28" s="24">
        <f t="shared" si="90"/>
        <v>4.75</v>
      </c>
      <c r="BI28" s="24">
        <f t="shared" si="90"/>
        <v>1.5</v>
      </c>
      <c r="BJ28" s="24">
        <f t="shared" si="90"/>
        <v>11</v>
      </c>
      <c r="BK28" s="24">
        <f t="shared" si="90"/>
        <v>5</v>
      </c>
      <c r="BL28" s="24">
        <f t="shared" si="90"/>
        <v>5.75</v>
      </c>
      <c r="BM28" s="24">
        <f t="shared" si="90"/>
        <v>6.25</v>
      </c>
      <c r="BN28" s="24">
        <f t="shared" si="90"/>
        <v>3.5</v>
      </c>
      <c r="BO28" s="24">
        <f t="shared" si="90"/>
        <v>1.25</v>
      </c>
      <c r="BP28" s="30">
        <f t="shared" si="9"/>
        <v>-0.05882352941</v>
      </c>
      <c r="BQ28" s="64">
        <f t="shared" si="10"/>
        <v>0.2941176471</v>
      </c>
      <c r="BR28" s="64">
        <f t="shared" si="11"/>
        <v>0.4705882353</v>
      </c>
      <c r="BS28" s="64">
        <f t="shared" si="12"/>
        <v>0.1764705882</v>
      </c>
      <c r="BT28" s="64">
        <f t="shared" si="13"/>
        <v>0.05882352941</v>
      </c>
      <c r="BU28" s="64">
        <f t="shared" si="14"/>
        <v>0</v>
      </c>
      <c r="BV28" s="64">
        <f t="shared" si="15"/>
        <v>0.7058823529</v>
      </c>
      <c r="BW28" s="64">
        <f t="shared" ref="BW28:BX28" si="91">+BR28+BS28+BT28</f>
        <v>0.7058823529</v>
      </c>
      <c r="BX28" s="65">
        <f t="shared" si="91"/>
        <v>0.2352941176</v>
      </c>
    </row>
    <row r="29" ht="15.75" customHeight="1">
      <c r="A29" s="2"/>
      <c r="B29" s="33">
        <v>18.0</v>
      </c>
      <c r="C29" s="2">
        <v>1.0</v>
      </c>
      <c r="D29" s="3">
        <f t="shared" si="3"/>
        <v>1.277777778</v>
      </c>
      <c r="E29" s="2">
        <f t="shared" si="17"/>
        <v>10</v>
      </c>
      <c r="F29" s="2">
        <f t="shared" si="18"/>
        <v>5</v>
      </c>
      <c r="G29" s="2">
        <f t="shared" si="19"/>
        <v>3</v>
      </c>
      <c r="H29" s="2">
        <f t="shared" si="20"/>
        <v>12</v>
      </c>
      <c r="I29" s="2">
        <f t="shared" si="21"/>
        <v>6</v>
      </c>
      <c r="J29" s="2">
        <f t="shared" si="22"/>
        <v>5</v>
      </c>
      <c r="K29" s="2">
        <f t="shared" si="23"/>
        <v>7</v>
      </c>
      <c r="L29" s="2">
        <f t="shared" si="24"/>
        <v>3</v>
      </c>
      <c r="M29" s="34">
        <f t="shared" si="25"/>
        <v>2</v>
      </c>
      <c r="N29" s="2">
        <v>0.0</v>
      </c>
      <c r="O29" s="3">
        <f t="shared" si="4"/>
        <v>1</v>
      </c>
      <c r="P29" s="2">
        <f t="shared" si="26"/>
        <v>13</v>
      </c>
      <c r="Q29" s="2">
        <f t="shared" si="27"/>
        <v>5</v>
      </c>
      <c r="R29" s="2">
        <f t="shared" si="28"/>
        <v>0</v>
      </c>
      <c r="S29" s="2">
        <f t="shared" si="29"/>
        <v>13</v>
      </c>
      <c r="T29" s="2">
        <f t="shared" si="30"/>
        <v>5</v>
      </c>
      <c r="U29" s="2">
        <f t="shared" si="31"/>
        <v>5</v>
      </c>
      <c r="V29" s="2">
        <f t="shared" si="32"/>
        <v>8</v>
      </c>
      <c r="W29" s="2">
        <f t="shared" si="33"/>
        <v>5</v>
      </c>
      <c r="X29" s="34">
        <f t="shared" si="34"/>
        <v>0</v>
      </c>
      <c r="Y29" s="2">
        <v>0.0</v>
      </c>
      <c r="Z29" s="3">
        <f t="shared" si="5"/>
        <v>0.8333333333</v>
      </c>
      <c r="AA29" s="2">
        <f t="shared" si="35"/>
        <v>8</v>
      </c>
      <c r="AB29" s="2">
        <f t="shared" si="36"/>
        <v>3</v>
      </c>
      <c r="AC29" s="2">
        <f t="shared" si="37"/>
        <v>2</v>
      </c>
      <c r="AD29" s="2">
        <f t="shared" si="38"/>
        <v>10</v>
      </c>
      <c r="AE29" s="2">
        <f t="shared" si="39"/>
        <v>3</v>
      </c>
      <c r="AF29" s="2">
        <f t="shared" si="40"/>
        <v>8</v>
      </c>
      <c r="AG29" s="2">
        <f t="shared" si="41"/>
        <v>7</v>
      </c>
      <c r="AH29" s="2">
        <f t="shared" si="42"/>
        <v>1</v>
      </c>
      <c r="AI29" s="34">
        <f t="shared" si="43"/>
        <v>2</v>
      </c>
      <c r="AJ29" s="2">
        <v>2.0</v>
      </c>
      <c r="AK29" s="3">
        <f t="shared" si="6"/>
        <v>1.055555556</v>
      </c>
      <c r="AL29" s="2">
        <f t="shared" si="44"/>
        <v>10</v>
      </c>
      <c r="AM29" s="2">
        <f t="shared" si="45"/>
        <v>7</v>
      </c>
      <c r="AN29" s="2">
        <f t="shared" si="46"/>
        <v>1</v>
      </c>
      <c r="AO29" s="2">
        <f t="shared" si="47"/>
        <v>11</v>
      </c>
      <c r="AP29" s="2">
        <f t="shared" si="48"/>
        <v>7</v>
      </c>
      <c r="AQ29" s="2">
        <f t="shared" si="49"/>
        <v>7</v>
      </c>
      <c r="AR29" s="2">
        <f t="shared" si="50"/>
        <v>4</v>
      </c>
      <c r="AS29" s="2">
        <f t="shared" si="51"/>
        <v>6</v>
      </c>
      <c r="AT29" s="34">
        <f t="shared" si="52"/>
        <v>1</v>
      </c>
      <c r="AU29" s="35"/>
      <c r="AV29" s="3">
        <f t="shared" si="7"/>
        <v>1</v>
      </c>
      <c r="AW29" s="2">
        <f t="shared" si="53"/>
        <v>11</v>
      </c>
      <c r="AX29" s="2">
        <f t="shared" si="54"/>
        <v>4</v>
      </c>
      <c r="AY29" s="2">
        <f t="shared" si="55"/>
        <v>1</v>
      </c>
      <c r="AZ29" s="2">
        <f t="shared" si="56"/>
        <v>12</v>
      </c>
      <c r="BA29" s="2">
        <f t="shared" si="57"/>
        <v>4</v>
      </c>
      <c r="BB29" s="2">
        <f t="shared" si="58"/>
        <v>6</v>
      </c>
      <c r="BC29" s="2">
        <f t="shared" si="59"/>
        <v>8</v>
      </c>
      <c r="BD29" s="2">
        <f t="shared" si="60"/>
        <v>3</v>
      </c>
      <c r="BE29" s="2">
        <f t="shared" si="61"/>
        <v>1</v>
      </c>
      <c r="BF29" s="36">
        <f t="shared" ref="BF29:BO29" si="92">+(AK29+Z29+O29+D29)/4</f>
        <v>1.041666667</v>
      </c>
      <c r="BG29" s="2">
        <f t="shared" si="92"/>
        <v>10.25</v>
      </c>
      <c r="BH29" s="2">
        <f t="shared" si="92"/>
        <v>5</v>
      </c>
      <c r="BI29" s="2">
        <f t="shared" si="92"/>
        <v>1.5</v>
      </c>
      <c r="BJ29" s="2">
        <f t="shared" si="92"/>
        <v>11.5</v>
      </c>
      <c r="BK29" s="2">
        <f t="shared" si="92"/>
        <v>5.25</v>
      </c>
      <c r="BL29" s="2">
        <f t="shared" si="92"/>
        <v>6.25</v>
      </c>
      <c r="BM29" s="2">
        <f t="shared" si="92"/>
        <v>6.5</v>
      </c>
      <c r="BN29" s="2">
        <f t="shared" si="92"/>
        <v>3.75</v>
      </c>
      <c r="BO29" s="2">
        <f t="shared" si="92"/>
        <v>1.25</v>
      </c>
      <c r="BP29" s="37">
        <f t="shared" si="9"/>
        <v>-0.04166666667</v>
      </c>
      <c r="BQ29" s="66">
        <f t="shared" si="10"/>
        <v>0.2777777778</v>
      </c>
      <c r="BR29" s="66">
        <f t="shared" si="11"/>
        <v>0.4444444444</v>
      </c>
      <c r="BS29" s="66">
        <f t="shared" si="12"/>
        <v>0.1666666667</v>
      </c>
      <c r="BT29" s="66">
        <f t="shared" si="13"/>
        <v>0.05555555556</v>
      </c>
      <c r="BU29" s="66">
        <f t="shared" si="14"/>
        <v>0</v>
      </c>
      <c r="BV29" s="66">
        <f t="shared" si="15"/>
        <v>0.7222222222</v>
      </c>
      <c r="BW29" s="66">
        <f t="shared" ref="BW29:BX29" si="93">+BR29+BS29+BT29</f>
        <v>0.6666666667</v>
      </c>
      <c r="BX29" s="67">
        <f t="shared" si="93"/>
        <v>0.2222222222</v>
      </c>
    </row>
    <row r="30" ht="15.75" customHeight="1">
      <c r="A30" s="24"/>
      <c r="B30" s="40">
        <v>19.0</v>
      </c>
      <c r="C30" s="24">
        <v>0.0</v>
      </c>
      <c r="D30" s="27">
        <f t="shared" si="3"/>
        <v>1.210526316</v>
      </c>
      <c r="E30" s="24">
        <f t="shared" si="17"/>
        <v>10</v>
      </c>
      <c r="F30" s="2">
        <f t="shared" si="18"/>
        <v>5</v>
      </c>
      <c r="G30" s="24">
        <f t="shared" si="19"/>
        <v>3</v>
      </c>
      <c r="H30" s="24">
        <f t="shared" si="20"/>
        <v>12</v>
      </c>
      <c r="I30" s="24">
        <f t="shared" si="21"/>
        <v>6</v>
      </c>
      <c r="J30" s="24">
        <f t="shared" si="22"/>
        <v>6</v>
      </c>
      <c r="K30" s="24">
        <f t="shared" si="23"/>
        <v>7</v>
      </c>
      <c r="L30" s="24">
        <f t="shared" si="24"/>
        <v>3</v>
      </c>
      <c r="M30" s="28">
        <f t="shared" si="25"/>
        <v>2</v>
      </c>
      <c r="N30" s="24">
        <v>1.0</v>
      </c>
      <c r="O30" s="27">
        <f t="shared" si="4"/>
        <v>1</v>
      </c>
      <c r="P30" s="24">
        <f t="shared" si="26"/>
        <v>14</v>
      </c>
      <c r="Q30" s="2">
        <f t="shared" si="27"/>
        <v>5</v>
      </c>
      <c r="R30" s="24">
        <f t="shared" si="28"/>
        <v>0</v>
      </c>
      <c r="S30" s="24">
        <f t="shared" si="29"/>
        <v>14</v>
      </c>
      <c r="T30" s="24">
        <f t="shared" si="30"/>
        <v>5</v>
      </c>
      <c r="U30" s="24">
        <f t="shared" si="31"/>
        <v>5</v>
      </c>
      <c r="V30" s="24">
        <f t="shared" si="32"/>
        <v>9</v>
      </c>
      <c r="W30" s="24">
        <f t="shared" si="33"/>
        <v>5</v>
      </c>
      <c r="X30" s="28">
        <f t="shared" si="34"/>
        <v>0</v>
      </c>
      <c r="Y30" s="24">
        <v>3.0</v>
      </c>
      <c r="Z30" s="27">
        <f t="shared" si="5"/>
        <v>0.9473684211</v>
      </c>
      <c r="AA30" s="24">
        <f t="shared" si="35"/>
        <v>8</v>
      </c>
      <c r="AB30" s="2">
        <f t="shared" si="36"/>
        <v>4</v>
      </c>
      <c r="AC30" s="24">
        <f t="shared" si="37"/>
        <v>3</v>
      </c>
      <c r="AD30" s="24">
        <f t="shared" si="38"/>
        <v>11</v>
      </c>
      <c r="AE30" s="24">
        <f t="shared" si="39"/>
        <v>4</v>
      </c>
      <c r="AF30" s="24">
        <f t="shared" si="40"/>
        <v>8</v>
      </c>
      <c r="AG30" s="24">
        <f t="shared" si="41"/>
        <v>7</v>
      </c>
      <c r="AH30" s="24">
        <f t="shared" si="42"/>
        <v>1</v>
      </c>
      <c r="AI30" s="28">
        <f t="shared" si="43"/>
        <v>3</v>
      </c>
      <c r="AJ30" s="24">
        <v>0.0</v>
      </c>
      <c r="AK30" s="27">
        <f t="shared" si="6"/>
        <v>1</v>
      </c>
      <c r="AL30" s="24">
        <f t="shared" si="44"/>
        <v>10</v>
      </c>
      <c r="AM30" s="2">
        <f t="shared" si="45"/>
        <v>7</v>
      </c>
      <c r="AN30" s="24">
        <f t="shared" si="46"/>
        <v>1</v>
      </c>
      <c r="AO30" s="24">
        <f t="shared" si="47"/>
        <v>11</v>
      </c>
      <c r="AP30" s="24">
        <f t="shared" si="48"/>
        <v>7</v>
      </c>
      <c r="AQ30" s="24">
        <f t="shared" si="49"/>
        <v>8</v>
      </c>
      <c r="AR30" s="24">
        <f t="shared" si="50"/>
        <v>4</v>
      </c>
      <c r="AS30" s="24">
        <f t="shared" si="51"/>
        <v>6</v>
      </c>
      <c r="AT30" s="28">
        <f t="shared" si="52"/>
        <v>1</v>
      </c>
      <c r="AU30" s="24"/>
      <c r="AV30" s="27">
        <f t="shared" si="7"/>
        <v>1</v>
      </c>
      <c r="AW30" s="24">
        <f t="shared" si="53"/>
        <v>11</v>
      </c>
      <c r="AX30" s="2">
        <f t="shared" si="54"/>
        <v>4</v>
      </c>
      <c r="AY30" s="24">
        <f t="shared" si="55"/>
        <v>1</v>
      </c>
      <c r="AZ30" s="24">
        <f t="shared" si="56"/>
        <v>12</v>
      </c>
      <c r="BA30" s="24">
        <f t="shared" si="57"/>
        <v>4</v>
      </c>
      <c r="BB30" s="24">
        <f t="shared" si="58"/>
        <v>7</v>
      </c>
      <c r="BC30" s="24">
        <f t="shared" si="59"/>
        <v>8</v>
      </c>
      <c r="BD30" s="24">
        <f t="shared" si="60"/>
        <v>3</v>
      </c>
      <c r="BE30" s="24">
        <f t="shared" si="61"/>
        <v>1</v>
      </c>
      <c r="BF30" s="29">
        <f t="shared" ref="BF30:BO30" si="94">+(AK30+Z30+O30+D30)/4</f>
        <v>1.039473684</v>
      </c>
      <c r="BG30" s="24">
        <f t="shared" si="94"/>
        <v>10.5</v>
      </c>
      <c r="BH30" s="24">
        <f t="shared" si="94"/>
        <v>5.25</v>
      </c>
      <c r="BI30" s="24">
        <f t="shared" si="94"/>
        <v>1.75</v>
      </c>
      <c r="BJ30" s="24">
        <f t="shared" si="94"/>
        <v>12</v>
      </c>
      <c r="BK30" s="24">
        <f t="shared" si="94"/>
        <v>5.5</v>
      </c>
      <c r="BL30" s="24">
        <f t="shared" si="94"/>
        <v>6.75</v>
      </c>
      <c r="BM30" s="24">
        <f t="shared" si="94"/>
        <v>6.75</v>
      </c>
      <c r="BN30" s="24">
        <f t="shared" si="94"/>
        <v>3.75</v>
      </c>
      <c r="BO30" s="24">
        <f t="shared" si="94"/>
        <v>1.5</v>
      </c>
      <c r="BP30" s="30">
        <f t="shared" si="9"/>
        <v>-0.03947368421</v>
      </c>
      <c r="BQ30" s="64">
        <f t="shared" si="10"/>
        <v>0.2631578947</v>
      </c>
      <c r="BR30" s="64">
        <f t="shared" si="11"/>
        <v>0.4210526316</v>
      </c>
      <c r="BS30" s="64">
        <f t="shared" si="12"/>
        <v>0.1578947368</v>
      </c>
      <c r="BT30" s="64">
        <f t="shared" si="13"/>
        <v>0.05263157895</v>
      </c>
      <c r="BU30" s="64">
        <f t="shared" si="14"/>
        <v>0</v>
      </c>
      <c r="BV30" s="64">
        <f t="shared" si="15"/>
        <v>0.7368421053</v>
      </c>
      <c r="BW30" s="64">
        <f t="shared" ref="BW30:BX30" si="95">+BR30+BS30+BT30</f>
        <v>0.6315789474</v>
      </c>
      <c r="BX30" s="65">
        <f t="shared" si="95"/>
        <v>0.2105263158</v>
      </c>
    </row>
    <row r="31" ht="15.75" customHeight="1">
      <c r="A31" s="2"/>
      <c r="B31" s="33">
        <v>20.0</v>
      </c>
      <c r="C31" s="2">
        <v>4.0</v>
      </c>
      <c r="D31" s="3">
        <f t="shared" si="3"/>
        <v>1.35</v>
      </c>
      <c r="E31" s="2">
        <f t="shared" si="17"/>
        <v>10</v>
      </c>
      <c r="F31" s="2">
        <f t="shared" si="18"/>
        <v>5</v>
      </c>
      <c r="G31" s="2">
        <f t="shared" si="19"/>
        <v>4</v>
      </c>
      <c r="H31" s="2">
        <f t="shared" si="20"/>
        <v>12</v>
      </c>
      <c r="I31" s="2">
        <f t="shared" si="21"/>
        <v>7</v>
      </c>
      <c r="J31" s="2">
        <f t="shared" si="22"/>
        <v>6</v>
      </c>
      <c r="K31" s="2">
        <f t="shared" si="23"/>
        <v>7</v>
      </c>
      <c r="L31" s="2">
        <f t="shared" si="24"/>
        <v>3</v>
      </c>
      <c r="M31" s="34">
        <f t="shared" si="25"/>
        <v>2</v>
      </c>
      <c r="N31" s="2">
        <v>2.0</v>
      </c>
      <c r="O31" s="3">
        <f t="shared" si="4"/>
        <v>1.05</v>
      </c>
      <c r="P31" s="2">
        <f t="shared" si="26"/>
        <v>15</v>
      </c>
      <c r="Q31" s="2">
        <f t="shared" si="27"/>
        <v>6</v>
      </c>
      <c r="R31" s="2">
        <f t="shared" si="28"/>
        <v>0</v>
      </c>
      <c r="S31" s="2">
        <f t="shared" si="29"/>
        <v>15</v>
      </c>
      <c r="T31" s="2">
        <f t="shared" si="30"/>
        <v>6</v>
      </c>
      <c r="U31" s="2">
        <f t="shared" si="31"/>
        <v>5</v>
      </c>
      <c r="V31" s="2">
        <f t="shared" si="32"/>
        <v>9</v>
      </c>
      <c r="W31" s="2">
        <f t="shared" si="33"/>
        <v>6</v>
      </c>
      <c r="X31" s="34">
        <f t="shared" si="34"/>
        <v>0</v>
      </c>
      <c r="Y31" s="2">
        <v>0.0</v>
      </c>
      <c r="Z31" s="3">
        <f t="shared" si="5"/>
        <v>0.9</v>
      </c>
      <c r="AA31" s="2">
        <f t="shared" si="35"/>
        <v>8</v>
      </c>
      <c r="AB31" s="2">
        <f t="shared" si="36"/>
        <v>4</v>
      </c>
      <c r="AC31" s="2">
        <f t="shared" si="37"/>
        <v>3</v>
      </c>
      <c r="AD31" s="2">
        <f t="shared" si="38"/>
        <v>11</v>
      </c>
      <c r="AE31" s="2">
        <f t="shared" si="39"/>
        <v>4</v>
      </c>
      <c r="AF31" s="2">
        <f t="shared" si="40"/>
        <v>9</v>
      </c>
      <c r="AG31" s="2">
        <f t="shared" si="41"/>
        <v>7</v>
      </c>
      <c r="AH31" s="2">
        <f t="shared" si="42"/>
        <v>1</v>
      </c>
      <c r="AI31" s="34">
        <f t="shared" si="43"/>
        <v>3</v>
      </c>
      <c r="AJ31" s="2">
        <v>1.0</v>
      </c>
      <c r="AK31" s="3">
        <f t="shared" si="6"/>
        <v>1</v>
      </c>
      <c r="AL31" s="2">
        <f t="shared" si="44"/>
        <v>11</v>
      </c>
      <c r="AM31" s="2">
        <f t="shared" si="45"/>
        <v>7</v>
      </c>
      <c r="AN31" s="2">
        <f t="shared" si="46"/>
        <v>1</v>
      </c>
      <c r="AO31" s="2">
        <f t="shared" si="47"/>
        <v>12</v>
      </c>
      <c r="AP31" s="2">
        <f t="shared" si="48"/>
        <v>7</v>
      </c>
      <c r="AQ31" s="2">
        <f t="shared" si="49"/>
        <v>8</v>
      </c>
      <c r="AR31" s="2">
        <f t="shared" si="50"/>
        <v>5</v>
      </c>
      <c r="AS31" s="2">
        <f t="shared" si="51"/>
        <v>6</v>
      </c>
      <c r="AT31" s="34">
        <f t="shared" si="52"/>
        <v>1</v>
      </c>
      <c r="AU31" s="35"/>
      <c r="AV31" s="3">
        <f t="shared" si="7"/>
        <v>1</v>
      </c>
      <c r="AW31" s="2">
        <f t="shared" si="53"/>
        <v>11</v>
      </c>
      <c r="AX31" s="2">
        <f t="shared" si="54"/>
        <v>4</v>
      </c>
      <c r="AY31" s="2">
        <f t="shared" si="55"/>
        <v>1</v>
      </c>
      <c r="AZ31" s="2">
        <f t="shared" si="56"/>
        <v>12</v>
      </c>
      <c r="BA31" s="2">
        <f t="shared" si="57"/>
        <v>4</v>
      </c>
      <c r="BB31" s="2">
        <f t="shared" si="58"/>
        <v>8</v>
      </c>
      <c r="BC31" s="2">
        <f t="shared" si="59"/>
        <v>8</v>
      </c>
      <c r="BD31" s="2">
        <f t="shared" si="60"/>
        <v>3</v>
      </c>
      <c r="BE31" s="2">
        <f t="shared" si="61"/>
        <v>1</v>
      </c>
      <c r="BF31" s="36">
        <f t="shared" ref="BF31:BO31" si="96">+(AK31+Z31+O31+D31)/4</f>
        <v>1.075</v>
      </c>
      <c r="BG31" s="2">
        <f t="shared" si="96"/>
        <v>11</v>
      </c>
      <c r="BH31" s="2">
        <f t="shared" si="96"/>
        <v>5.5</v>
      </c>
      <c r="BI31" s="2">
        <f t="shared" si="96"/>
        <v>2</v>
      </c>
      <c r="BJ31" s="2">
        <f t="shared" si="96"/>
        <v>12.5</v>
      </c>
      <c r="BK31" s="2">
        <f t="shared" si="96"/>
        <v>6</v>
      </c>
      <c r="BL31" s="2">
        <f t="shared" si="96"/>
        <v>7</v>
      </c>
      <c r="BM31" s="2">
        <f t="shared" si="96"/>
        <v>7</v>
      </c>
      <c r="BN31" s="2">
        <f t="shared" si="96"/>
        <v>4</v>
      </c>
      <c r="BO31" s="2">
        <f t="shared" si="96"/>
        <v>1.5</v>
      </c>
      <c r="BP31" s="37">
        <f t="shared" si="9"/>
        <v>-0.075</v>
      </c>
      <c r="BQ31" s="66">
        <f t="shared" si="10"/>
        <v>0.25</v>
      </c>
      <c r="BR31" s="66">
        <f t="shared" si="11"/>
        <v>0.4</v>
      </c>
      <c r="BS31" s="66">
        <f t="shared" si="12"/>
        <v>0.15</v>
      </c>
      <c r="BT31" s="66">
        <f t="shared" si="13"/>
        <v>0.05</v>
      </c>
      <c r="BU31" s="66">
        <f t="shared" si="14"/>
        <v>0</v>
      </c>
      <c r="BV31" s="66">
        <f t="shared" si="15"/>
        <v>0.75</v>
      </c>
      <c r="BW31" s="66">
        <f t="shared" ref="BW31:BX31" si="97">+BR31+BS31+BT31</f>
        <v>0.6</v>
      </c>
      <c r="BX31" s="67">
        <f t="shared" si="97"/>
        <v>0.2</v>
      </c>
    </row>
    <row r="32" ht="15.75" customHeight="1">
      <c r="A32" s="24"/>
      <c r="B32" s="40">
        <v>21.0</v>
      </c>
      <c r="C32" s="24">
        <v>2.0</v>
      </c>
      <c r="D32" s="27">
        <f t="shared" si="3"/>
        <v>1.380952381</v>
      </c>
      <c r="E32" s="24">
        <f t="shared" si="17"/>
        <v>11</v>
      </c>
      <c r="F32" s="2">
        <f t="shared" si="18"/>
        <v>6</v>
      </c>
      <c r="G32" s="24">
        <f t="shared" si="19"/>
        <v>4</v>
      </c>
      <c r="H32" s="24">
        <f t="shared" si="20"/>
        <v>13</v>
      </c>
      <c r="I32" s="24">
        <f t="shared" si="21"/>
        <v>8</v>
      </c>
      <c r="J32" s="24">
        <f t="shared" si="22"/>
        <v>6</v>
      </c>
      <c r="K32" s="24">
        <f t="shared" si="23"/>
        <v>7</v>
      </c>
      <c r="L32" s="24">
        <f t="shared" si="24"/>
        <v>4</v>
      </c>
      <c r="M32" s="28">
        <f t="shared" si="25"/>
        <v>2</v>
      </c>
      <c r="N32" s="24">
        <v>1.0</v>
      </c>
      <c r="O32" s="27">
        <f t="shared" si="4"/>
        <v>1.047619048</v>
      </c>
      <c r="P32" s="24">
        <f t="shared" si="26"/>
        <v>16</v>
      </c>
      <c r="Q32" s="2">
        <f t="shared" si="27"/>
        <v>6</v>
      </c>
      <c r="R32" s="24">
        <f t="shared" si="28"/>
        <v>0</v>
      </c>
      <c r="S32" s="24">
        <f t="shared" si="29"/>
        <v>16</v>
      </c>
      <c r="T32" s="24">
        <f t="shared" si="30"/>
        <v>6</v>
      </c>
      <c r="U32" s="24">
        <f t="shared" si="31"/>
        <v>5</v>
      </c>
      <c r="V32" s="24">
        <f t="shared" si="32"/>
        <v>10</v>
      </c>
      <c r="W32" s="24">
        <f t="shared" si="33"/>
        <v>6</v>
      </c>
      <c r="X32" s="28">
        <f t="shared" si="34"/>
        <v>0</v>
      </c>
      <c r="Y32" s="24">
        <v>2.0</v>
      </c>
      <c r="Z32" s="27">
        <f t="shared" si="5"/>
        <v>0.9523809524</v>
      </c>
      <c r="AA32" s="24">
        <f t="shared" si="35"/>
        <v>9</v>
      </c>
      <c r="AB32" s="2">
        <f t="shared" si="36"/>
        <v>5</v>
      </c>
      <c r="AC32" s="24">
        <f t="shared" si="37"/>
        <v>3</v>
      </c>
      <c r="AD32" s="24">
        <f t="shared" si="38"/>
        <v>12</v>
      </c>
      <c r="AE32" s="24">
        <f t="shared" si="39"/>
        <v>5</v>
      </c>
      <c r="AF32" s="24">
        <f t="shared" si="40"/>
        <v>9</v>
      </c>
      <c r="AG32" s="24">
        <f t="shared" si="41"/>
        <v>7</v>
      </c>
      <c r="AH32" s="24">
        <f t="shared" si="42"/>
        <v>2</v>
      </c>
      <c r="AI32" s="28">
        <f t="shared" si="43"/>
        <v>3</v>
      </c>
      <c r="AJ32" s="24">
        <v>1.0</v>
      </c>
      <c r="AK32" s="27">
        <f t="shared" si="6"/>
        <v>1</v>
      </c>
      <c r="AL32" s="24">
        <f t="shared" si="44"/>
        <v>12</v>
      </c>
      <c r="AM32" s="2">
        <f t="shared" si="45"/>
        <v>7</v>
      </c>
      <c r="AN32" s="24">
        <f t="shared" si="46"/>
        <v>1</v>
      </c>
      <c r="AO32" s="24">
        <f t="shared" si="47"/>
        <v>13</v>
      </c>
      <c r="AP32" s="24">
        <f t="shared" si="48"/>
        <v>7</v>
      </c>
      <c r="AQ32" s="24">
        <f t="shared" si="49"/>
        <v>8</v>
      </c>
      <c r="AR32" s="24">
        <f t="shared" si="50"/>
        <v>6</v>
      </c>
      <c r="AS32" s="24">
        <f t="shared" si="51"/>
        <v>6</v>
      </c>
      <c r="AT32" s="28">
        <f t="shared" si="52"/>
        <v>1</v>
      </c>
      <c r="AU32" s="24"/>
      <c r="AV32" s="27">
        <f t="shared" si="7"/>
        <v>1</v>
      </c>
      <c r="AW32" s="24">
        <f t="shared" si="53"/>
        <v>11</v>
      </c>
      <c r="AX32" s="2">
        <f t="shared" si="54"/>
        <v>4</v>
      </c>
      <c r="AY32" s="24">
        <f t="shared" si="55"/>
        <v>1</v>
      </c>
      <c r="AZ32" s="24">
        <f t="shared" si="56"/>
        <v>12</v>
      </c>
      <c r="BA32" s="24">
        <f t="shared" si="57"/>
        <v>4</v>
      </c>
      <c r="BB32" s="24">
        <f t="shared" si="58"/>
        <v>9</v>
      </c>
      <c r="BC32" s="24">
        <f t="shared" si="59"/>
        <v>8</v>
      </c>
      <c r="BD32" s="24">
        <f t="shared" si="60"/>
        <v>3</v>
      </c>
      <c r="BE32" s="24">
        <f t="shared" si="61"/>
        <v>1</v>
      </c>
      <c r="BF32" s="29">
        <f t="shared" ref="BF32:BO32" si="98">+(AK32+Z32+O32+D32)/4</f>
        <v>1.095238095</v>
      </c>
      <c r="BG32" s="24">
        <f t="shared" si="98"/>
        <v>12</v>
      </c>
      <c r="BH32" s="24">
        <f t="shared" si="98"/>
        <v>6</v>
      </c>
      <c r="BI32" s="24">
        <f t="shared" si="98"/>
        <v>2</v>
      </c>
      <c r="BJ32" s="24">
        <f t="shared" si="98"/>
        <v>13.5</v>
      </c>
      <c r="BK32" s="24">
        <f t="shared" si="98"/>
        <v>6.5</v>
      </c>
      <c r="BL32" s="24">
        <f t="shared" si="98"/>
        <v>7</v>
      </c>
      <c r="BM32" s="24">
        <f t="shared" si="98"/>
        <v>7.5</v>
      </c>
      <c r="BN32" s="24">
        <f t="shared" si="98"/>
        <v>4.5</v>
      </c>
      <c r="BO32" s="24">
        <f t="shared" si="98"/>
        <v>1.5</v>
      </c>
      <c r="BP32" s="30">
        <f t="shared" si="9"/>
        <v>-0.09523809524</v>
      </c>
      <c r="BQ32" s="64">
        <f t="shared" si="10"/>
        <v>0.2380952381</v>
      </c>
      <c r="BR32" s="64">
        <f t="shared" si="11"/>
        <v>0.380952381</v>
      </c>
      <c r="BS32" s="64">
        <f t="shared" si="12"/>
        <v>0.1428571429</v>
      </c>
      <c r="BT32" s="64">
        <f t="shared" si="13"/>
        <v>0.04761904762</v>
      </c>
      <c r="BU32" s="64">
        <f t="shared" si="14"/>
        <v>0</v>
      </c>
      <c r="BV32" s="64">
        <f t="shared" si="15"/>
        <v>0.7619047619</v>
      </c>
      <c r="BW32" s="64">
        <f t="shared" ref="BW32:BX32" si="99">+BR32+BS32+BT32</f>
        <v>0.5714285714</v>
      </c>
      <c r="BX32" s="65">
        <f t="shared" si="99"/>
        <v>0.1904761905</v>
      </c>
    </row>
    <row r="33" ht="15.75" customHeight="1">
      <c r="A33" s="2"/>
      <c r="B33" s="33">
        <v>22.0</v>
      </c>
      <c r="C33" s="2">
        <v>1.0</v>
      </c>
      <c r="D33" s="3">
        <f t="shared" si="3"/>
        <v>1.363636364</v>
      </c>
      <c r="E33" s="2">
        <f t="shared" si="17"/>
        <v>12</v>
      </c>
      <c r="F33" s="2">
        <f t="shared" si="18"/>
        <v>6</v>
      </c>
      <c r="G33" s="2">
        <f t="shared" si="19"/>
        <v>4</v>
      </c>
      <c r="H33" s="2">
        <f t="shared" si="20"/>
        <v>14</v>
      </c>
      <c r="I33" s="2">
        <f t="shared" si="21"/>
        <v>8</v>
      </c>
      <c r="J33" s="2">
        <f t="shared" si="22"/>
        <v>6</v>
      </c>
      <c r="K33" s="2">
        <f t="shared" si="23"/>
        <v>8</v>
      </c>
      <c r="L33" s="2">
        <f t="shared" si="24"/>
        <v>4</v>
      </c>
      <c r="M33" s="34">
        <f t="shared" si="25"/>
        <v>2</v>
      </c>
      <c r="N33" s="2">
        <v>0.0</v>
      </c>
      <c r="O33" s="3">
        <f t="shared" si="4"/>
        <v>1</v>
      </c>
      <c r="P33" s="2">
        <f t="shared" si="26"/>
        <v>16</v>
      </c>
      <c r="Q33" s="2">
        <f t="shared" si="27"/>
        <v>6</v>
      </c>
      <c r="R33" s="2">
        <f t="shared" si="28"/>
        <v>0</v>
      </c>
      <c r="S33" s="2">
        <f t="shared" si="29"/>
        <v>16</v>
      </c>
      <c r="T33" s="2">
        <f t="shared" si="30"/>
        <v>6</v>
      </c>
      <c r="U33" s="2">
        <f t="shared" si="31"/>
        <v>6</v>
      </c>
      <c r="V33" s="2">
        <f t="shared" si="32"/>
        <v>10</v>
      </c>
      <c r="W33" s="2">
        <f t="shared" si="33"/>
        <v>6</v>
      </c>
      <c r="X33" s="34">
        <f t="shared" si="34"/>
        <v>0</v>
      </c>
      <c r="Y33" s="2">
        <v>0.0</v>
      </c>
      <c r="Z33" s="3">
        <f t="shared" si="5"/>
        <v>0.9090909091</v>
      </c>
      <c r="AA33" s="2">
        <f t="shared" si="35"/>
        <v>9</v>
      </c>
      <c r="AB33" s="2">
        <f t="shared" si="36"/>
        <v>5</v>
      </c>
      <c r="AC33" s="2">
        <f t="shared" si="37"/>
        <v>3</v>
      </c>
      <c r="AD33" s="2">
        <f t="shared" si="38"/>
        <v>12</v>
      </c>
      <c r="AE33" s="2">
        <f t="shared" si="39"/>
        <v>5</v>
      </c>
      <c r="AF33" s="2">
        <f t="shared" si="40"/>
        <v>10</v>
      </c>
      <c r="AG33" s="2">
        <f t="shared" si="41"/>
        <v>7</v>
      </c>
      <c r="AH33" s="2">
        <f t="shared" si="42"/>
        <v>2</v>
      </c>
      <c r="AI33" s="34">
        <f t="shared" si="43"/>
        <v>3</v>
      </c>
      <c r="AJ33" s="2">
        <v>2.0</v>
      </c>
      <c r="AK33" s="3">
        <f t="shared" si="6"/>
        <v>1.045454545</v>
      </c>
      <c r="AL33" s="2">
        <f t="shared" si="44"/>
        <v>13</v>
      </c>
      <c r="AM33" s="2">
        <f t="shared" si="45"/>
        <v>8</v>
      </c>
      <c r="AN33" s="2">
        <f t="shared" si="46"/>
        <v>1</v>
      </c>
      <c r="AO33" s="2">
        <f t="shared" si="47"/>
        <v>14</v>
      </c>
      <c r="AP33" s="2">
        <f t="shared" si="48"/>
        <v>8</v>
      </c>
      <c r="AQ33" s="2">
        <f t="shared" si="49"/>
        <v>8</v>
      </c>
      <c r="AR33" s="2">
        <f t="shared" si="50"/>
        <v>6</v>
      </c>
      <c r="AS33" s="2">
        <f t="shared" si="51"/>
        <v>7</v>
      </c>
      <c r="AT33" s="34">
        <f t="shared" si="52"/>
        <v>1</v>
      </c>
      <c r="AU33" s="35"/>
      <c r="AV33" s="3">
        <f t="shared" si="7"/>
        <v>1</v>
      </c>
      <c r="AW33" s="2">
        <f t="shared" si="53"/>
        <v>11</v>
      </c>
      <c r="AX33" s="2">
        <f t="shared" si="54"/>
        <v>4</v>
      </c>
      <c r="AY33" s="2">
        <f t="shared" si="55"/>
        <v>1</v>
      </c>
      <c r="AZ33" s="2">
        <f t="shared" si="56"/>
        <v>12</v>
      </c>
      <c r="BA33" s="2">
        <f t="shared" si="57"/>
        <v>4</v>
      </c>
      <c r="BB33" s="2">
        <f t="shared" si="58"/>
        <v>10</v>
      </c>
      <c r="BC33" s="2">
        <f t="shared" si="59"/>
        <v>8</v>
      </c>
      <c r="BD33" s="2">
        <f t="shared" si="60"/>
        <v>3</v>
      </c>
      <c r="BE33" s="2">
        <f t="shared" si="61"/>
        <v>1</v>
      </c>
      <c r="BF33" s="36">
        <f t="shared" ref="BF33:BO33" si="100">+(AK33+Z33+O33+D33)/4</f>
        <v>1.079545455</v>
      </c>
      <c r="BG33" s="2">
        <f t="shared" si="100"/>
        <v>12.5</v>
      </c>
      <c r="BH33" s="2">
        <f t="shared" si="100"/>
        <v>6.25</v>
      </c>
      <c r="BI33" s="2">
        <f t="shared" si="100"/>
        <v>2</v>
      </c>
      <c r="BJ33" s="2">
        <f t="shared" si="100"/>
        <v>14</v>
      </c>
      <c r="BK33" s="2">
        <f t="shared" si="100"/>
        <v>6.75</v>
      </c>
      <c r="BL33" s="2">
        <f t="shared" si="100"/>
        <v>7.5</v>
      </c>
      <c r="BM33" s="2">
        <f t="shared" si="100"/>
        <v>7.75</v>
      </c>
      <c r="BN33" s="2">
        <f t="shared" si="100"/>
        <v>4.75</v>
      </c>
      <c r="BO33" s="2">
        <f t="shared" si="100"/>
        <v>1.5</v>
      </c>
      <c r="BP33" s="37">
        <f t="shared" si="9"/>
        <v>-0.07954545455</v>
      </c>
      <c r="BQ33" s="66">
        <f t="shared" si="10"/>
        <v>0.2272727273</v>
      </c>
      <c r="BR33" s="66">
        <f t="shared" si="11"/>
        <v>0.3636363636</v>
      </c>
      <c r="BS33" s="66">
        <f t="shared" si="12"/>
        <v>0.1363636364</v>
      </c>
      <c r="BT33" s="66">
        <f t="shared" si="13"/>
        <v>0.04545454545</v>
      </c>
      <c r="BU33" s="66">
        <f t="shared" si="14"/>
        <v>0</v>
      </c>
      <c r="BV33" s="66">
        <f t="shared" si="15"/>
        <v>0.7727272727</v>
      </c>
      <c r="BW33" s="66">
        <f t="shared" ref="BW33:BX33" si="101">+BR33+BS33+BT33</f>
        <v>0.5454545455</v>
      </c>
      <c r="BX33" s="67">
        <f t="shared" si="101"/>
        <v>0.1818181818</v>
      </c>
    </row>
    <row r="34" ht="15.75" customHeight="1">
      <c r="A34" s="24"/>
      <c r="B34" s="40">
        <v>23.0</v>
      </c>
      <c r="C34" s="24">
        <v>0.0</v>
      </c>
      <c r="D34" s="27">
        <f t="shared" si="3"/>
        <v>1.304347826</v>
      </c>
      <c r="E34" s="24">
        <f t="shared" si="17"/>
        <v>12</v>
      </c>
      <c r="F34" s="2">
        <f t="shared" si="18"/>
        <v>6</v>
      </c>
      <c r="G34" s="24">
        <f t="shared" si="19"/>
        <v>4</v>
      </c>
      <c r="H34" s="24">
        <f t="shared" si="20"/>
        <v>14</v>
      </c>
      <c r="I34" s="24">
        <f t="shared" si="21"/>
        <v>8</v>
      </c>
      <c r="J34" s="24">
        <f t="shared" si="22"/>
        <v>7</v>
      </c>
      <c r="K34" s="24">
        <f t="shared" si="23"/>
        <v>8</v>
      </c>
      <c r="L34" s="24">
        <f t="shared" si="24"/>
        <v>4</v>
      </c>
      <c r="M34" s="28">
        <f t="shared" si="25"/>
        <v>2</v>
      </c>
      <c r="N34" s="24">
        <v>2.0</v>
      </c>
      <c r="O34" s="27">
        <f t="shared" si="4"/>
        <v>1.043478261</v>
      </c>
      <c r="P34" s="24">
        <f t="shared" si="26"/>
        <v>17</v>
      </c>
      <c r="Q34" s="2">
        <f t="shared" si="27"/>
        <v>7</v>
      </c>
      <c r="R34" s="24">
        <f t="shared" si="28"/>
        <v>0</v>
      </c>
      <c r="S34" s="24">
        <f t="shared" si="29"/>
        <v>17</v>
      </c>
      <c r="T34" s="24">
        <f t="shared" si="30"/>
        <v>7</v>
      </c>
      <c r="U34" s="24">
        <f t="shared" si="31"/>
        <v>6</v>
      </c>
      <c r="V34" s="24">
        <f t="shared" si="32"/>
        <v>10</v>
      </c>
      <c r="W34" s="24">
        <f t="shared" si="33"/>
        <v>7</v>
      </c>
      <c r="X34" s="28">
        <f t="shared" si="34"/>
        <v>0</v>
      </c>
      <c r="Y34" s="24">
        <v>1.0</v>
      </c>
      <c r="Z34" s="27">
        <f t="shared" si="5"/>
        <v>0.9130434783</v>
      </c>
      <c r="AA34" s="24">
        <f t="shared" si="35"/>
        <v>10</v>
      </c>
      <c r="AB34" s="2">
        <f t="shared" si="36"/>
        <v>5</v>
      </c>
      <c r="AC34" s="24">
        <f t="shared" si="37"/>
        <v>3</v>
      </c>
      <c r="AD34" s="24">
        <f t="shared" si="38"/>
        <v>13</v>
      </c>
      <c r="AE34" s="24">
        <f t="shared" si="39"/>
        <v>5</v>
      </c>
      <c r="AF34" s="24">
        <f t="shared" si="40"/>
        <v>10</v>
      </c>
      <c r="AG34" s="24">
        <f t="shared" si="41"/>
        <v>8</v>
      </c>
      <c r="AH34" s="24">
        <f t="shared" si="42"/>
        <v>2</v>
      </c>
      <c r="AI34" s="28">
        <f t="shared" si="43"/>
        <v>3</v>
      </c>
      <c r="AJ34" s="24">
        <v>1.0</v>
      </c>
      <c r="AK34" s="27">
        <f t="shared" si="6"/>
        <v>1.043478261</v>
      </c>
      <c r="AL34" s="24">
        <f t="shared" si="44"/>
        <v>14</v>
      </c>
      <c r="AM34" s="2">
        <f t="shared" si="45"/>
        <v>8</v>
      </c>
      <c r="AN34" s="24">
        <f t="shared" si="46"/>
        <v>1</v>
      </c>
      <c r="AO34" s="24">
        <f t="shared" si="47"/>
        <v>15</v>
      </c>
      <c r="AP34" s="24">
        <f t="shared" si="48"/>
        <v>8</v>
      </c>
      <c r="AQ34" s="24">
        <f t="shared" si="49"/>
        <v>8</v>
      </c>
      <c r="AR34" s="24">
        <f t="shared" si="50"/>
        <v>7</v>
      </c>
      <c r="AS34" s="24">
        <f t="shared" si="51"/>
        <v>7</v>
      </c>
      <c r="AT34" s="28">
        <f t="shared" si="52"/>
        <v>1</v>
      </c>
      <c r="AU34" s="24"/>
      <c r="AV34" s="27">
        <f t="shared" si="7"/>
        <v>1</v>
      </c>
      <c r="AW34" s="24">
        <f t="shared" si="53"/>
        <v>11</v>
      </c>
      <c r="AX34" s="2">
        <f t="shared" si="54"/>
        <v>4</v>
      </c>
      <c r="AY34" s="24">
        <f t="shared" si="55"/>
        <v>1</v>
      </c>
      <c r="AZ34" s="24">
        <f t="shared" si="56"/>
        <v>12</v>
      </c>
      <c r="BA34" s="24">
        <f t="shared" si="57"/>
        <v>4</v>
      </c>
      <c r="BB34" s="24">
        <f t="shared" si="58"/>
        <v>11</v>
      </c>
      <c r="BC34" s="24">
        <f t="shared" si="59"/>
        <v>8</v>
      </c>
      <c r="BD34" s="24">
        <f t="shared" si="60"/>
        <v>3</v>
      </c>
      <c r="BE34" s="24">
        <f t="shared" si="61"/>
        <v>1</v>
      </c>
      <c r="BF34" s="29">
        <f t="shared" ref="BF34:BO34" si="102">+(AK34+Z34+O34+D34)/4</f>
        <v>1.076086957</v>
      </c>
      <c r="BG34" s="24">
        <f t="shared" si="102"/>
        <v>13.25</v>
      </c>
      <c r="BH34" s="24">
        <f t="shared" si="102"/>
        <v>6.5</v>
      </c>
      <c r="BI34" s="24">
        <f t="shared" si="102"/>
        <v>2</v>
      </c>
      <c r="BJ34" s="24">
        <f t="shared" si="102"/>
        <v>14.75</v>
      </c>
      <c r="BK34" s="24">
        <f t="shared" si="102"/>
        <v>7</v>
      </c>
      <c r="BL34" s="24">
        <f t="shared" si="102"/>
        <v>7.75</v>
      </c>
      <c r="BM34" s="24">
        <f t="shared" si="102"/>
        <v>8.25</v>
      </c>
      <c r="BN34" s="24">
        <f t="shared" si="102"/>
        <v>5</v>
      </c>
      <c r="BO34" s="24">
        <f t="shared" si="102"/>
        <v>1.5</v>
      </c>
      <c r="BP34" s="30">
        <f t="shared" si="9"/>
        <v>-0.07608695652</v>
      </c>
      <c r="BQ34" s="64">
        <f t="shared" si="10"/>
        <v>0.2173913043</v>
      </c>
      <c r="BR34" s="64">
        <f t="shared" si="11"/>
        <v>0.347826087</v>
      </c>
      <c r="BS34" s="64">
        <f t="shared" si="12"/>
        <v>0.1304347826</v>
      </c>
      <c r="BT34" s="64">
        <f t="shared" si="13"/>
        <v>0.04347826087</v>
      </c>
      <c r="BU34" s="64">
        <f t="shared" si="14"/>
        <v>0</v>
      </c>
      <c r="BV34" s="64">
        <f t="shared" si="15"/>
        <v>0.7826086957</v>
      </c>
      <c r="BW34" s="64">
        <f t="shared" ref="BW34:BX34" si="103">+BR34+BS34+BT34</f>
        <v>0.5217391304</v>
      </c>
      <c r="BX34" s="65">
        <f t="shared" si="103"/>
        <v>0.1739130435</v>
      </c>
    </row>
    <row r="35" ht="15.75" customHeight="1">
      <c r="A35" s="2"/>
      <c r="B35" s="33">
        <v>24.0</v>
      </c>
      <c r="C35" s="2">
        <v>1.0</v>
      </c>
      <c r="D35" s="3">
        <f t="shared" si="3"/>
        <v>1.291666667</v>
      </c>
      <c r="E35" s="2">
        <f t="shared" si="17"/>
        <v>13</v>
      </c>
      <c r="F35" s="2">
        <f t="shared" si="18"/>
        <v>6</v>
      </c>
      <c r="G35" s="2">
        <f t="shared" si="19"/>
        <v>4</v>
      </c>
      <c r="H35" s="2">
        <f t="shared" si="20"/>
        <v>15</v>
      </c>
      <c r="I35" s="2">
        <f t="shared" si="21"/>
        <v>8</v>
      </c>
      <c r="J35" s="2">
        <f t="shared" si="22"/>
        <v>7</v>
      </c>
      <c r="K35" s="2">
        <f t="shared" si="23"/>
        <v>9</v>
      </c>
      <c r="L35" s="2">
        <f t="shared" si="24"/>
        <v>4</v>
      </c>
      <c r="M35" s="34">
        <f t="shared" si="25"/>
        <v>2</v>
      </c>
      <c r="N35" s="2">
        <v>2.0</v>
      </c>
      <c r="O35" s="3">
        <f t="shared" si="4"/>
        <v>1.083333333</v>
      </c>
      <c r="P35" s="2">
        <f t="shared" si="26"/>
        <v>18</v>
      </c>
      <c r="Q35" s="2">
        <f t="shared" si="27"/>
        <v>8</v>
      </c>
      <c r="R35" s="2">
        <f t="shared" si="28"/>
        <v>0</v>
      </c>
      <c r="S35" s="2">
        <f t="shared" si="29"/>
        <v>18</v>
      </c>
      <c r="T35" s="2">
        <f t="shared" si="30"/>
        <v>8</v>
      </c>
      <c r="U35" s="2">
        <f t="shared" si="31"/>
        <v>6</v>
      </c>
      <c r="V35" s="2">
        <f t="shared" si="32"/>
        <v>10</v>
      </c>
      <c r="W35" s="2">
        <f t="shared" si="33"/>
        <v>8</v>
      </c>
      <c r="X35" s="34">
        <f t="shared" si="34"/>
        <v>0</v>
      </c>
      <c r="Y35" s="2">
        <v>2.0</v>
      </c>
      <c r="Z35" s="3">
        <f t="shared" si="5"/>
        <v>0.9583333333</v>
      </c>
      <c r="AA35" s="2">
        <f t="shared" si="35"/>
        <v>11</v>
      </c>
      <c r="AB35" s="2">
        <f t="shared" si="36"/>
        <v>6</v>
      </c>
      <c r="AC35" s="2">
        <f t="shared" si="37"/>
        <v>3</v>
      </c>
      <c r="AD35" s="2">
        <f t="shared" si="38"/>
        <v>14</v>
      </c>
      <c r="AE35" s="2">
        <f t="shared" si="39"/>
        <v>6</v>
      </c>
      <c r="AF35" s="2">
        <f t="shared" si="40"/>
        <v>10</v>
      </c>
      <c r="AG35" s="2">
        <f t="shared" si="41"/>
        <v>8</v>
      </c>
      <c r="AH35" s="2">
        <f t="shared" si="42"/>
        <v>3</v>
      </c>
      <c r="AI35" s="34">
        <f t="shared" si="43"/>
        <v>3</v>
      </c>
      <c r="AJ35" s="2">
        <v>1.0</v>
      </c>
      <c r="AK35" s="3">
        <f t="shared" si="6"/>
        <v>1.041666667</v>
      </c>
      <c r="AL35" s="2">
        <f t="shared" si="44"/>
        <v>15</v>
      </c>
      <c r="AM35" s="2">
        <f t="shared" si="45"/>
        <v>8</v>
      </c>
      <c r="AN35" s="2">
        <f t="shared" si="46"/>
        <v>1</v>
      </c>
      <c r="AO35" s="2">
        <f t="shared" si="47"/>
        <v>16</v>
      </c>
      <c r="AP35" s="2">
        <f t="shared" si="48"/>
        <v>8</v>
      </c>
      <c r="AQ35" s="2">
        <f t="shared" si="49"/>
        <v>8</v>
      </c>
      <c r="AR35" s="2">
        <f t="shared" si="50"/>
        <v>8</v>
      </c>
      <c r="AS35" s="2">
        <f t="shared" si="51"/>
        <v>7</v>
      </c>
      <c r="AT35" s="34">
        <f t="shared" si="52"/>
        <v>1</v>
      </c>
      <c r="AU35" s="35"/>
      <c r="AV35" s="3">
        <f t="shared" si="7"/>
        <v>1</v>
      </c>
      <c r="AW35" s="2">
        <f t="shared" si="53"/>
        <v>11</v>
      </c>
      <c r="AX35" s="2">
        <f t="shared" si="54"/>
        <v>4</v>
      </c>
      <c r="AY35" s="2">
        <f t="shared" si="55"/>
        <v>1</v>
      </c>
      <c r="AZ35" s="2">
        <f t="shared" si="56"/>
        <v>12</v>
      </c>
      <c r="BA35" s="2">
        <f t="shared" si="57"/>
        <v>4</v>
      </c>
      <c r="BB35" s="2">
        <f t="shared" si="58"/>
        <v>12</v>
      </c>
      <c r="BC35" s="2">
        <f t="shared" si="59"/>
        <v>8</v>
      </c>
      <c r="BD35" s="2">
        <f t="shared" si="60"/>
        <v>3</v>
      </c>
      <c r="BE35" s="2">
        <f t="shared" si="61"/>
        <v>1</v>
      </c>
      <c r="BF35" s="36">
        <f t="shared" ref="BF35:BO35" si="104">+(AK35+Z35+O35+D35)/4</f>
        <v>1.09375</v>
      </c>
      <c r="BG35" s="2">
        <f t="shared" si="104"/>
        <v>14.25</v>
      </c>
      <c r="BH35" s="2">
        <f t="shared" si="104"/>
        <v>7</v>
      </c>
      <c r="BI35" s="2">
        <f t="shared" si="104"/>
        <v>2</v>
      </c>
      <c r="BJ35" s="2">
        <f t="shared" si="104"/>
        <v>15.75</v>
      </c>
      <c r="BK35" s="2">
        <f t="shared" si="104"/>
        <v>7.5</v>
      </c>
      <c r="BL35" s="2">
        <f t="shared" si="104"/>
        <v>7.75</v>
      </c>
      <c r="BM35" s="2">
        <f t="shared" si="104"/>
        <v>8.75</v>
      </c>
      <c r="BN35" s="2">
        <f t="shared" si="104"/>
        <v>5.5</v>
      </c>
      <c r="BO35" s="2">
        <f t="shared" si="104"/>
        <v>1.5</v>
      </c>
      <c r="BP35" s="37">
        <f t="shared" si="9"/>
        <v>-0.09375</v>
      </c>
      <c r="BQ35" s="66">
        <f t="shared" si="10"/>
        <v>0.2083333333</v>
      </c>
      <c r="BR35" s="66">
        <f t="shared" si="11"/>
        <v>0.3333333333</v>
      </c>
      <c r="BS35" s="66">
        <f t="shared" si="12"/>
        <v>0.125</v>
      </c>
      <c r="BT35" s="66">
        <f t="shared" si="13"/>
        <v>0.04166666667</v>
      </c>
      <c r="BU35" s="66">
        <f t="shared" si="14"/>
        <v>0</v>
      </c>
      <c r="BV35" s="66">
        <f t="shared" si="15"/>
        <v>0.7916666667</v>
      </c>
      <c r="BW35" s="66">
        <f t="shared" ref="BW35:BX35" si="105">+BR35+BS35+BT35</f>
        <v>0.5</v>
      </c>
      <c r="BX35" s="67">
        <f t="shared" si="105"/>
        <v>0.1666666667</v>
      </c>
    </row>
    <row r="36" ht="15.75" customHeight="1">
      <c r="A36" s="24"/>
      <c r="B36" s="40">
        <v>25.0</v>
      </c>
      <c r="C36" s="24">
        <v>1.0</v>
      </c>
      <c r="D36" s="27">
        <f t="shared" si="3"/>
        <v>1.28</v>
      </c>
      <c r="E36" s="24">
        <f t="shared" si="17"/>
        <v>14</v>
      </c>
      <c r="F36" s="2">
        <f t="shared" si="18"/>
        <v>6</v>
      </c>
      <c r="G36" s="24">
        <f t="shared" si="19"/>
        <v>4</v>
      </c>
      <c r="H36" s="24">
        <f t="shared" si="20"/>
        <v>16</v>
      </c>
      <c r="I36" s="24">
        <f t="shared" si="21"/>
        <v>8</v>
      </c>
      <c r="J36" s="24">
        <f t="shared" si="22"/>
        <v>7</v>
      </c>
      <c r="K36" s="24">
        <f t="shared" si="23"/>
        <v>10</v>
      </c>
      <c r="L36" s="24">
        <f t="shared" si="24"/>
        <v>4</v>
      </c>
      <c r="M36" s="28">
        <f t="shared" si="25"/>
        <v>2</v>
      </c>
      <c r="N36" s="24">
        <v>1.0</v>
      </c>
      <c r="O36" s="27">
        <f t="shared" si="4"/>
        <v>1.08</v>
      </c>
      <c r="P36" s="24">
        <f t="shared" si="26"/>
        <v>19</v>
      </c>
      <c r="Q36" s="2">
        <f t="shared" si="27"/>
        <v>8</v>
      </c>
      <c r="R36" s="24">
        <f t="shared" si="28"/>
        <v>0</v>
      </c>
      <c r="S36" s="24">
        <f t="shared" si="29"/>
        <v>19</v>
      </c>
      <c r="T36" s="24">
        <f t="shared" si="30"/>
        <v>8</v>
      </c>
      <c r="U36" s="24">
        <f t="shared" si="31"/>
        <v>6</v>
      </c>
      <c r="V36" s="24">
        <f t="shared" si="32"/>
        <v>11</v>
      </c>
      <c r="W36" s="24">
        <f t="shared" si="33"/>
        <v>8</v>
      </c>
      <c r="X36" s="28">
        <f t="shared" si="34"/>
        <v>0</v>
      </c>
      <c r="Y36" s="24">
        <v>0.0</v>
      </c>
      <c r="Z36" s="27">
        <f t="shared" si="5"/>
        <v>0.92</v>
      </c>
      <c r="AA36" s="24">
        <f t="shared" si="35"/>
        <v>11</v>
      </c>
      <c r="AB36" s="2">
        <f t="shared" si="36"/>
        <v>6</v>
      </c>
      <c r="AC36" s="24">
        <f t="shared" si="37"/>
        <v>3</v>
      </c>
      <c r="AD36" s="24">
        <f t="shared" si="38"/>
        <v>14</v>
      </c>
      <c r="AE36" s="24">
        <f t="shared" si="39"/>
        <v>6</v>
      </c>
      <c r="AF36" s="24">
        <f t="shared" si="40"/>
        <v>11</v>
      </c>
      <c r="AG36" s="24">
        <f t="shared" si="41"/>
        <v>8</v>
      </c>
      <c r="AH36" s="24">
        <f t="shared" si="42"/>
        <v>3</v>
      </c>
      <c r="AI36" s="28">
        <f t="shared" si="43"/>
        <v>3</v>
      </c>
      <c r="AJ36" s="24">
        <v>2.0</v>
      </c>
      <c r="AK36" s="27">
        <f t="shared" si="6"/>
        <v>1.08</v>
      </c>
      <c r="AL36" s="24">
        <f t="shared" si="44"/>
        <v>16</v>
      </c>
      <c r="AM36" s="2">
        <f t="shared" si="45"/>
        <v>9</v>
      </c>
      <c r="AN36" s="24">
        <f t="shared" si="46"/>
        <v>1</v>
      </c>
      <c r="AO36" s="24">
        <f t="shared" si="47"/>
        <v>17</v>
      </c>
      <c r="AP36" s="24">
        <f t="shared" si="48"/>
        <v>9</v>
      </c>
      <c r="AQ36" s="24">
        <f t="shared" si="49"/>
        <v>8</v>
      </c>
      <c r="AR36" s="24">
        <f t="shared" si="50"/>
        <v>8</v>
      </c>
      <c r="AS36" s="24">
        <f t="shared" si="51"/>
        <v>8</v>
      </c>
      <c r="AT36" s="28">
        <f t="shared" si="52"/>
        <v>1</v>
      </c>
      <c r="AU36" s="24"/>
      <c r="AV36" s="27">
        <f t="shared" si="7"/>
        <v>1</v>
      </c>
      <c r="AW36" s="24">
        <f t="shared" si="53"/>
        <v>11</v>
      </c>
      <c r="AX36" s="2">
        <f t="shared" si="54"/>
        <v>4</v>
      </c>
      <c r="AY36" s="24">
        <f t="shared" si="55"/>
        <v>1</v>
      </c>
      <c r="AZ36" s="24">
        <f t="shared" si="56"/>
        <v>12</v>
      </c>
      <c r="BA36" s="24">
        <f t="shared" si="57"/>
        <v>4</v>
      </c>
      <c r="BB36" s="24">
        <f t="shared" si="58"/>
        <v>13</v>
      </c>
      <c r="BC36" s="24">
        <f t="shared" si="59"/>
        <v>8</v>
      </c>
      <c r="BD36" s="24">
        <f t="shared" si="60"/>
        <v>3</v>
      </c>
      <c r="BE36" s="24">
        <f t="shared" si="61"/>
        <v>1</v>
      </c>
      <c r="BF36" s="29">
        <f t="shared" ref="BF36:BO36" si="106">+(AK36+Z36+O36+D36)/4</f>
        <v>1.09</v>
      </c>
      <c r="BG36" s="24">
        <f t="shared" si="106"/>
        <v>15</v>
      </c>
      <c r="BH36" s="24">
        <f t="shared" si="106"/>
        <v>7.25</v>
      </c>
      <c r="BI36" s="24">
        <f t="shared" si="106"/>
        <v>2</v>
      </c>
      <c r="BJ36" s="24">
        <f t="shared" si="106"/>
        <v>16.5</v>
      </c>
      <c r="BK36" s="24">
        <f t="shared" si="106"/>
        <v>7.75</v>
      </c>
      <c r="BL36" s="24">
        <f t="shared" si="106"/>
        <v>8</v>
      </c>
      <c r="BM36" s="24">
        <f t="shared" si="106"/>
        <v>9.25</v>
      </c>
      <c r="BN36" s="24">
        <f t="shared" si="106"/>
        <v>5.75</v>
      </c>
      <c r="BO36" s="24">
        <f t="shared" si="106"/>
        <v>1.5</v>
      </c>
      <c r="BP36" s="30">
        <f t="shared" si="9"/>
        <v>-0.09</v>
      </c>
      <c r="BQ36" s="64">
        <f t="shared" si="10"/>
        <v>0.2</v>
      </c>
      <c r="BR36" s="64">
        <f t="shared" si="11"/>
        <v>0.32</v>
      </c>
      <c r="BS36" s="64">
        <f t="shared" si="12"/>
        <v>0.12</v>
      </c>
      <c r="BT36" s="64">
        <f t="shared" si="13"/>
        <v>0.04</v>
      </c>
      <c r="BU36" s="64">
        <f t="shared" si="14"/>
        <v>0</v>
      </c>
      <c r="BV36" s="64">
        <f t="shared" si="15"/>
        <v>0.8</v>
      </c>
      <c r="BW36" s="64">
        <f t="shared" ref="BW36:BX36" si="107">+BR36+BS36+BT36</f>
        <v>0.48</v>
      </c>
      <c r="BX36" s="65">
        <f t="shared" si="107"/>
        <v>0.16</v>
      </c>
    </row>
    <row r="37" ht="15.75" customHeight="1">
      <c r="A37" s="2"/>
      <c r="B37" s="33">
        <v>26.0</v>
      </c>
      <c r="C37" s="2">
        <v>1.0</v>
      </c>
      <c r="D37" s="3">
        <f t="shared" si="3"/>
        <v>1.269230769</v>
      </c>
      <c r="E37" s="2">
        <f t="shared" si="17"/>
        <v>15</v>
      </c>
      <c r="F37" s="2">
        <f t="shared" si="18"/>
        <v>6</v>
      </c>
      <c r="G37" s="2">
        <f t="shared" si="19"/>
        <v>4</v>
      </c>
      <c r="H37" s="2">
        <f t="shared" si="20"/>
        <v>17</v>
      </c>
      <c r="I37" s="2">
        <f t="shared" si="21"/>
        <v>8</v>
      </c>
      <c r="J37" s="2">
        <f t="shared" si="22"/>
        <v>7</v>
      </c>
      <c r="K37" s="2">
        <f t="shared" si="23"/>
        <v>11</v>
      </c>
      <c r="L37" s="2">
        <f t="shared" si="24"/>
        <v>4</v>
      </c>
      <c r="M37" s="34">
        <f t="shared" si="25"/>
        <v>2</v>
      </c>
      <c r="N37" s="2">
        <v>2.0</v>
      </c>
      <c r="O37" s="3">
        <f t="shared" si="4"/>
        <v>1.115384615</v>
      </c>
      <c r="P37" s="2">
        <f t="shared" si="26"/>
        <v>20</v>
      </c>
      <c r="Q37" s="2">
        <f t="shared" si="27"/>
        <v>9</v>
      </c>
      <c r="R37" s="2">
        <f t="shared" si="28"/>
        <v>0</v>
      </c>
      <c r="S37" s="2">
        <f t="shared" si="29"/>
        <v>20</v>
      </c>
      <c r="T37" s="2">
        <f t="shared" si="30"/>
        <v>9</v>
      </c>
      <c r="U37" s="2">
        <f t="shared" si="31"/>
        <v>6</v>
      </c>
      <c r="V37" s="2">
        <f t="shared" si="32"/>
        <v>11</v>
      </c>
      <c r="W37" s="2">
        <f t="shared" si="33"/>
        <v>9</v>
      </c>
      <c r="X37" s="34">
        <f t="shared" si="34"/>
        <v>0</v>
      </c>
      <c r="Y37" s="2">
        <v>2.0</v>
      </c>
      <c r="Z37" s="3">
        <f t="shared" si="5"/>
        <v>0.9615384615</v>
      </c>
      <c r="AA37" s="2">
        <f t="shared" si="35"/>
        <v>12</v>
      </c>
      <c r="AB37" s="2">
        <f t="shared" si="36"/>
        <v>7</v>
      </c>
      <c r="AC37" s="2">
        <f t="shared" si="37"/>
        <v>3</v>
      </c>
      <c r="AD37" s="2">
        <f t="shared" si="38"/>
        <v>15</v>
      </c>
      <c r="AE37" s="2">
        <f t="shared" si="39"/>
        <v>7</v>
      </c>
      <c r="AF37" s="2">
        <f t="shared" si="40"/>
        <v>11</v>
      </c>
      <c r="AG37" s="2">
        <f t="shared" si="41"/>
        <v>8</v>
      </c>
      <c r="AH37" s="2">
        <f t="shared" si="42"/>
        <v>4</v>
      </c>
      <c r="AI37" s="34">
        <f t="shared" si="43"/>
        <v>3</v>
      </c>
      <c r="AJ37" s="2">
        <v>2.0</v>
      </c>
      <c r="AK37" s="3">
        <f t="shared" si="6"/>
        <v>1.115384615</v>
      </c>
      <c r="AL37" s="2">
        <f t="shared" si="44"/>
        <v>17</v>
      </c>
      <c r="AM37" s="2">
        <f t="shared" si="45"/>
        <v>10</v>
      </c>
      <c r="AN37" s="2">
        <f t="shared" si="46"/>
        <v>1</v>
      </c>
      <c r="AO37" s="2">
        <f t="shared" si="47"/>
        <v>18</v>
      </c>
      <c r="AP37" s="2">
        <f t="shared" si="48"/>
        <v>10</v>
      </c>
      <c r="AQ37" s="2">
        <f t="shared" si="49"/>
        <v>8</v>
      </c>
      <c r="AR37" s="2">
        <f t="shared" si="50"/>
        <v>8</v>
      </c>
      <c r="AS37" s="2">
        <f t="shared" si="51"/>
        <v>9</v>
      </c>
      <c r="AT37" s="34">
        <f t="shared" si="52"/>
        <v>1</v>
      </c>
      <c r="AU37" s="35"/>
      <c r="AV37" s="3">
        <f t="shared" si="7"/>
        <v>1</v>
      </c>
      <c r="AW37" s="2">
        <f t="shared" si="53"/>
        <v>11</v>
      </c>
      <c r="AX37" s="2">
        <f t="shared" si="54"/>
        <v>4</v>
      </c>
      <c r="AY37" s="2">
        <f t="shared" si="55"/>
        <v>1</v>
      </c>
      <c r="AZ37" s="2">
        <f t="shared" si="56"/>
        <v>12</v>
      </c>
      <c r="BA37" s="2">
        <f t="shared" si="57"/>
        <v>4</v>
      </c>
      <c r="BB37" s="2">
        <f t="shared" si="58"/>
        <v>14</v>
      </c>
      <c r="BC37" s="2">
        <f t="shared" si="59"/>
        <v>8</v>
      </c>
      <c r="BD37" s="2">
        <f t="shared" si="60"/>
        <v>3</v>
      </c>
      <c r="BE37" s="2">
        <f t="shared" si="61"/>
        <v>1</v>
      </c>
      <c r="BF37" s="36">
        <f t="shared" ref="BF37:BO37" si="108">+(AK37+Z37+O37+D37)/4</f>
        <v>1.115384615</v>
      </c>
      <c r="BG37" s="2">
        <f t="shared" si="108"/>
        <v>16</v>
      </c>
      <c r="BH37" s="2">
        <f t="shared" si="108"/>
        <v>8</v>
      </c>
      <c r="BI37" s="2">
        <f t="shared" si="108"/>
        <v>2</v>
      </c>
      <c r="BJ37" s="2">
        <f t="shared" si="108"/>
        <v>17.5</v>
      </c>
      <c r="BK37" s="2">
        <f t="shared" si="108"/>
        <v>8.5</v>
      </c>
      <c r="BL37" s="2">
        <f t="shared" si="108"/>
        <v>8</v>
      </c>
      <c r="BM37" s="2">
        <f t="shared" si="108"/>
        <v>9.5</v>
      </c>
      <c r="BN37" s="2">
        <f t="shared" si="108"/>
        <v>6.5</v>
      </c>
      <c r="BO37" s="2">
        <f t="shared" si="108"/>
        <v>1.5</v>
      </c>
      <c r="BP37" s="37">
        <f t="shared" si="9"/>
        <v>-0.1153846154</v>
      </c>
      <c r="BQ37" s="66">
        <f t="shared" si="10"/>
        <v>0.1923076923</v>
      </c>
      <c r="BR37" s="66">
        <f t="shared" si="11"/>
        <v>0.3076923077</v>
      </c>
      <c r="BS37" s="66">
        <f t="shared" si="12"/>
        <v>0.1153846154</v>
      </c>
      <c r="BT37" s="66">
        <f t="shared" si="13"/>
        <v>0.03846153846</v>
      </c>
      <c r="BU37" s="66">
        <f t="shared" si="14"/>
        <v>0</v>
      </c>
      <c r="BV37" s="66">
        <f t="shared" si="15"/>
        <v>0.8076923077</v>
      </c>
      <c r="BW37" s="66">
        <f t="shared" ref="BW37:BX37" si="109">+BR37+BS37+BT37</f>
        <v>0.4615384615</v>
      </c>
      <c r="BX37" s="67">
        <f t="shared" si="109"/>
        <v>0.1538461538</v>
      </c>
    </row>
    <row r="38" ht="15.75" customHeight="1">
      <c r="A38" s="24"/>
      <c r="B38" s="40">
        <v>27.0</v>
      </c>
      <c r="C38" s="24">
        <v>0.0</v>
      </c>
      <c r="D38" s="27">
        <f t="shared" si="3"/>
        <v>1.222222222</v>
      </c>
      <c r="E38" s="24">
        <f t="shared" si="17"/>
        <v>15</v>
      </c>
      <c r="F38" s="2">
        <f t="shared" si="18"/>
        <v>6</v>
      </c>
      <c r="G38" s="24">
        <f t="shared" si="19"/>
        <v>4</v>
      </c>
      <c r="H38" s="24">
        <f t="shared" si="20"/>
        <v>17</v>
      </c>
      <c r="I38" s="24">
        <f t="shared" si="21"/>
        <v>8</v>
      </c>
      <c r="J38" s="24">
        <f t="shared" si="22"/>
        <v>8</v>
      </c>
      <c r="K38" s="24">
        <f t="shared" si="23"/>
        <v>11</v>
      </c>
      <c r="L38" s="24">
        <f t="shared" si="24"/>
        <v>4</v>
      </c>
      <c r="M38" s="28">
        <f t="shared" si="25"/>
        <v>2</v>
      </c>
      <c r="N38" s="24">
        <v>0.0</v>
      </c>
      <c r="O38" s="27">
        <f t="shared" si="4"/>
        <v>1.074074074</v>
      </c>
      <c r="P38" s="24">
        <f t="shared" si="26"/>
        <v>20</v>
      </c>
      <c r="Q38" s="2">
        <f t="shared" si="27"/>
        <v>9</v>
      </c>
      <c r="R38" s="24">
        <f t="shared" si="28"/>
        <v>0</v>
      </c>
      <c r="S38" s="24">
        <f t="shared" si="29"/>
        <v>20</v>
      </c>
      <c r="T38" s="24">
        <f t="shared" si="30"/>
        <v>9</v>
      </c>
      <c r="U38" s="24">
        <f t="shared" si="31"/>
        <v>7</v>
      </c>
      <c r="V38" s="24">
        <f t="shared" si="32"/>
        <v>11</v>
      </c>
      <c r="W38" s="24">
        <f t="shared" si="33"/>
        <v>9</v>
      </c>
      <c r="X38" s="28">
        <f t="shared" si="34"/>
        <v>0</v>
      </c>
      <c r="Y38" s="24">
        <v>0.0</v>
      </c>
      <c r="Z38" s="27">
        <f t="shared" si="5"/>
        <v>0.9259259259</v>
      </c>
      <c r="AA38" s="24">
        <f t="shared" si="35"/>
        <v>12</v>
      </c>
      <c r="AB38" s="2">
        <f t="shared" si="36"/>
        <v>7</v>
      </c>
      <c r="AC38" s="24">
        <f t="shared" si="37"/>
        <v>3</v>
      </c>
      <c r="AD38" s="24">
        <f t="shared" si="38"/>
        <v>15</v>
      </c>
      <c r="AE38" s="24">
        <f t="shared" si="39"/>
        <v>7</v>
      </c>
      <c r="AF38" s="24">
        <f t="shared" si="40"/>
        <v>12</v>
      </c>
      <c r="AG38" s="24">
        <f t="shared" si="41"/>
        <v>8</v>
      </c>
      <c r="AH38" s="24">
        <f t="shared" si="42"/>
        <v>4</v>
      </c>
      <c r="AI38" s="28">
        <f t="shared" si="43"/>
        <v>3</v>
      </c>
      <c r="AJ38" s="24">
        <v>2.0</v>
      </c>
      <c r="AK38" s="27">
        <f t="shared" si="6"/>
        <v>1.148148148</v>
      </c>
      <c r="AL38" s="24">
        <f t="shared" si="44"/>
        <v>18</v>
      </c>
      <c r="AM38" s="2">
        <f t="shared" si="45"/>
        <v>11</v>
      </c>
      <c r="AN38" s="24">
        <f t="shared" si="46"/>
        <v>1</v>
      </c>
      <c r="AO38" s="24">
        <f t="shared" si="47"/>
        <v>19</v>
      </c>
      <c r="AP38" s="24">
        <f t="shared" si="48"/>
        <v>11</v>
      </c>
      <c r="AQ38" s="24">
        <f t="shared" si="49"/>
        <v>8</v>
      </c>
      <c r="AR38" s="24">
        <f t="shared" si="50"/>
        <v>8</v>
      </c>
      <c r="AS38" s="24">
        <f t="shared" si="51"/>
        <v>10</v>
      </c>
      <c r="AT38" s="28">
        <f t="shared" si="52"/>
        <v>1</v>
      </c>
      <c r="AU38" s="24"/>
      <c r="AV38" s="27">
        <f t="shared" si="7"/>
        <v>1</v>
      </c>
      <c r="AW38" s="24">
        <f t="shared" si="53"/>
        <v>11</v>
      </c>
      <c r="AX38" s="2">
        <f t="shared" si="54"/>
        <v>4</v>
      </c>
      <c r="AY38" s="24">
        <f t="shared" si="55"/>
        <v>1</v>
      </c>
      <c r="AZ38" s="24">
        <f t="shared" si="56"/>
        <v>12</v>
      </c>
      <c r="BA38" s="24">
        <f t="shared" si="57"/>
        <v>4</v>
      </c>
      <c r="BB38" s="24">
        <f t="shared" si="58"/>
        <v>15</v>
      </c>
      <c r="BC38" s="24">
        <f t="shared" si="59"/>
        <v>8</v>
      </c>
      <c r="BD38" s="24">
        <f t="shared" si="60"/>
        <v>3</v>
      </c>
      <c r="BE38" s="24">
        <f t="shared" si="61"/>
        <v>1</v>
      </c>
      <c r="BF38" s="29">
        <f t="shared" ref="BF38:BO38" si="110">+(AK38+Z38+O38+D38)/4</f>
        <v>1.092592593</v>
      </c>
      <c r="BG38" s="24">
        <f t="shared" si="110"/>
        <v>16.25</v>
      </c>
      <c r="BH38" s="24">
        <f t="shared" si="110"/>
        <v>8.25</v>
      </c>
      <c r="BI38" s="24">
        <f t="shared" si="110"/>
        <v>2</v>
      </c>
      <c r="BJ38" s="24">
        <f t="shared" si="110"/>
        <v>17.75</v>
      </c>
      <c r="BK38" s="24">
        <f t="shared" si="110"/>
        <v>8.75</v>
      </c>
      <c r="BL38" s="24">
        <f t="shared" si="110"/>
        <v>8.75</v>
      </c>
      <c r="BM38" s="24">
        <f t="shared" si="110"/>
        <v>9.5</v>
      </c>
      <c r="BN38" s="24">
        <f t="shared" si="110"/>
        <v>6.75</v>
      </c>
      <c r="BO38" s="24">
        <f t="shared" si="110"/>
        <v>1.5</v>
      </c>
      <c r="BP38" s="30">
        <f t="shared" si="9"/>
        <v>-0.09259259259</v>
      </c>
      <c r="BQ38" s="64">
        <f t="shared" si="10"/>
        <v>0.1851851852</v>
      </c>
      <c r="BR38" s="64">
        <f t="shared" si="11"/>
        <v>0.2962962963</v>
      </c>
      <c r="BS38" s="64">
        <f t="shared" si="12"/>
        <v>0.1111111111</v>
      </c>
      <c r="BT38" s="64">
        <f t="shared" si="13"/>
        <v>0.03703703704</v>
      </c>
      <c r="BU38" s="64">
        <f t="shared" si="14"/>
        <v>0</v>
      </c>
      <c r="BV38" s="64">
        <f t="shared" si="15"/>
        <v>0.8148148148</v>
      </c>
      <c r="BW38" s="64">
        <f t="shared" ref="BW38:BX38" si="111">+BR38+BS38+BT38</f>
        <v>0.4444444444</v>
      </c>
      <c r="BX38" s="65">
        <f t="shared" si="111"/>
        <v>0.1481481481</v>
      </c>
    </row>
    <row r="39" ht="15.75" customHeight="1">
      <c r="A39" s="2"/>
      <c r="B39" s="33">
        <v>28.0</v>
      </c>
      <c r="C39" s="2">
        <v>1.0</v>
      </c>
      <c r="D39" s="3">
        <f t="shared" si="3"/>
        <v>1.214285714</v>
      </c>
      <c r="E39" s="2">
        <f t="shared" si="17"/>
        <v>16</v>
      </c>
      <c r="F39" s="2">
        <f t="shared" si="18"/>
        <v>6</v>
      </c>
      <c r="G39" s="2">
        <f t="shared" si="19"/>
        <v>4</v>
      </c>
      <c r="H39" s="2">
        <f t="shared" si="20"/>
        <v>18</v>
      </c>
      <c r="I39" s="2">
        <f t="shared" si="21"/>
        <v>8</v>
      </c>
      <c r="J39" s="2">
        <f t="shared" si="22"/>
        <v>8</v>
      </c>
      <c r="K39" s="2">
        <f t="shared" si="23"/>
        <v>12</v>
      </c>
      <c r="L39" s="2">
        <f t="shared" si="24"/>
        <v>4</v>
      </c>
      <c r="M39" s="34">
        <f t="shared" si="25"/>
        <v>2</v>
      </c>
      <c r="N39" s="2">
        <v>1.0</v>
      </c>
      <c r="O39" s="3">
        <f t="shared" si="4"/>
        <v>1.071428571</v>
      </c>
      <c r="P39" s="2">
        <f t="shared" si="26"/>
        <v>21</v>
      </c>
      <c r="Q39" s="2">
        <f t="shared" si="27"/>
        <v>9</v>
      </c>
      <c r="R39" s="2">
        <f t="shared" si="28"/>
        <v>0</v>
      </c>
      <c r="S39" s="2">
        <f t="shared" si="29"/>
        <v>21</v>
      </c>
      <c r="T39" s="2">
        <f t="shared" si="30"/>
        <v>9</v>
      </c>
      <c r="U39" s="2">
        <f t="shared" si="31"/>
        <v>7</v>
      </c>
      <c r="V39" s="2">
        <f t="shared" si="32"/>
        <v>12</v>
      </c>
      <c r="W39" s="2">
        <f t="shared" si="33"/>
        <v>9</v>
      </c>
      <c r="X39" s="34">
        <f t="shared" si="34"/>
        <v>0</v>
      </c>
      <c r="Y39" s="2">
        <v>1.0</v>
      </c>
      <c r="Z39" s="3">
        <f t="shared" si="5"/>
        <v>0.9285714286</v>
      </c>
      <c r="AA39" s="2">
        <f t="shared" si="35"/>
        <v>13</v>
      </c>
      <c r="AB39" s="2">
        <f t="shared" si="36"/>
        <v>7</v>
      </c>
      <c r="AC39" s="2">
        <f t="shared" si="37"/>
        <v>3</v>
      </c>
      <c r="AD39" s="2">
        <f t="shared" si="38"/>
        <v>16</v>
      </c>
      <c r="AE39" s="2">
        <f t="shared" si="39"/>
        <v>7</v>
      </c>
      <c r="AF39" s="2">
        <f t="shared" si="40"/>
        <v>12</v>
      </c>
      <c r="AG39" s="2">
        <f t="shared" si="41"/>
        <v>9</v>
      </c>
      <c r="AH39" s="2">
        <f t="shared" si="42"/>
        <v>4</v>
      </c>
      <c r="AI39" s="34">
        <f t="shared" si="43"/>
        <v>3</v>
      </c>
      <c r="AJ39" s="2">
        <v>2.0</v>
      </c>
      <c r="AK39" s="3">
        <f t="shared" si="6"/>
        <v>1.178571429</v>
      </c>
      <c r="AL39" s="2">
        <f t="shared" si="44"/>
        <v>19</v>
      </c>
      <c r="AM39" s="2">
        <f t="shared" si="45"/>
        <v>12</v>
      </c>
      <c r="AN39" s="2">
        <f t="shared" si="46"/>
        <v>1</v>
      </c>
      <c r="AO39" s="2">
        <f t="shared" si="47"/>
        <v>20</v>
      </c>
      <c r="AP39" s="2">
        <f t="shared" si="48"/>
        <v>12</v>
      </c>
      <c r="AQ39" s="2">
        <f t="shared" si="49"/>
        <v>8</v>
      </c>
      <c r="AR39" s="2">
        <f t="shared" si="50"/>
        <v>8</v>
      </c>
      <c r="AS39" s="2">
        <f t="shared" si="51"/>
        <v>11</v>
      </c>
      <c r="AT39" s="34">
        <f t="shared" si="52"/>
        <v>1</v>
      </c>
      <c r="AU39" s="35"/>
      <c r="AV39" s="3">
        <f t="shared" si="7"/>
        <v>1</v>
      </c>
      <c r="AW39" s="2">
        <f t="shared" si="53"/>
        <v>11</v>
      </c>
      <c r="AX39" s="2">
        <f t="shared" si="54"/>
        <v>4</v>
      </c>
      <c r="AY39" s="2">
        <f t="shared" si="55"/>
        <v>1</v>
      </c>
      <c r="AZ39" s="2">
        <f t="shared" si="56"/>
        <v>12</v>
      </c>
      <c r="BA39" s="2">
        <f t="shared" si="57"/>
        <v>4</v>
      </c>
      <c r="BB39" s="2">
        <f t="shared" si="58"/>
        <v>16</v>
      </c>
      <c r="BC39" s="2">
        <f t="shared" si="59"/>
        <v>8</v>
      </c>
      <c r="BD39" s="2">
        <f t="shared" si="60"/>
        <v>3</v>
      </c>
      <c r="BE39" s="2">
        <f t="shared" si="61"/>
        <v>1</v>
      </c>
      <c r="BF39" s="36">
        <f t="shared" ref="BF39:BO39" si="112">+(AK39+Z39+O39+D39)/4</f>
        <v>1.098214286</v>
      </c>
      <c r="BG39" s="2">
        <f t="shared" si="112"/>
        <v>17.25</v>
      </c>
      <c r="BH39" s="2">
        <f t="shared" si="112"/>
        <v>8.5</v>
      </c>
      <c r="BI39" s="2">
        <f t="shared" si="112"/>
        <v>2</v>
      </c>
      <c r="BJ39" s="2">
        <f t="shared" si="112"/>
        <v>18.75</v>
      </c>
      <c r="BK39" s="2">
        <f t="shared" si="112"/>
        <v>9</v>
      </c>
      <c r="BL39" s="2">
        <f t="shared" si="112"/>
        <v>8.75</v>
      </c>
      <c r="BM39" s="2">
        <f t="shared" si="112"/>
        <v>10.25</v>
      </c>
      <c r="BN39" s="2">
        <f t="shared" si="112"/>
        <v>7</v>
      </c>
      <c r="BO39" s="2">
        <f t="shared" si="112"/>
        <v>1.5</v>
      </c>
      <c r="BP39" s="37">
        <f t="shared" si="9"/>
        <v>-0.09821428571</v>
      </c>
      <c r="BQ39" s="66">
        <f t="shared" si="10"/>
        <v>0.1785714286</v>
      </c>
      <c r="BR39" s="66">
        <f t="shared" si="11"/>
        <v>0.2857142857</v>
      </c>
      <c r="BS39" s="66">
        <f t="shared" si="12"/>
        <v>0.1071428571</v>
      </c>
      <c r="BT39" s="66">
        <f t="shared" si="13"/>
        <v>0.03571428571</v>
      </c>
      <c r="BU39" s="66">
        <f t="shared" si="14"/>
        <v>0</v>
      </c>
      <c r="BV39" s="66">
        <f t="shared" si="15"/>
        <v>0.8214285714</v>
      </c>
      <c r="BW39" s="66">
        <f t="shared" ref="BW39:BX39" si="113">+BR39+BS39+BT39</f>
        <v>0.4285714286</v>
      </c>
      <c r="BX39" s="67">
        <f t="shared" si="113"/>
        <v>0.1428571429</v>
      </c>
    </row>
    <row r="40" ht="15.75" customHeight="1">
      <c r="A40" s="24"/>
      <c r="B40" s="40">
        <v>29.0</v>
      </c>
      <c r="C40" s="24">
        <v>0.0</v>
      </c>
      <c r="D40" s="27">
        <f t="shared" si="3"/>
        <v>1.172413793</v>
      </c>
      <c r="E40" s="24">
        <f t="shared" si="17"/>
        <v>16</v>
      </c>
      <c r="F40" s="2">
        <f t="shared" si="18"/>
        <v>6</v>
      </c>
      <c r="G40" s="24">
        <f t="shared" si="19"/>
        <v>4</v>
      </c>
      <c r="H40" s="24">
        <f t="shared" si="20"/>
        <v>18</v>
      </c>
      <c r="I40" s="24">
        <f t="shared" si="21"/>
        <v>8</v>
      </c>
      <c r="J40" s="24">
        <f t="shared" si="22"/>
        <v>9</v>
      </c>
      <c r="K40" s="24">
        <f t="shared" si="23"/>
        <v>12</v>
      </c>
      <c r="L40" s="24">
        <f t="shared" si="24"/>
        <v>4</v>
      </c>
      <c r="M40" s="28">
        <f t="shared" si="25"/>
        <v>2</v>
      </c>
      <c r="N40" s="24">
        <v>0.0</v>
      </c>
      <c r="O40" s="27">
        <f t="shared" si="4"/>
        <v>1.034482759</v>
      </c>
      <c r="P40" s="24">
        <f t="shared" si="26"/>
        <v>21</v>
      </c>
      <c r="Q40" s="2">
        <f t="shared" si="27"/>
        <v>9</v>
      </c>
      <c r="R40" s="24">
        <f t="shared" si="28"/>
        <v>0</v>
      </c>
      <c r="S40" s="24">
        <f t="shared" si="29"/>
        <v>21</v>
      </c>
      <c r="T40" s="24">
        <f t="shared" si="30"/>
        <v>9</v>
      </c>
      <c r="U40" s="24">
        <f t="shared" si="31"/>
        <v>8</v>
      </c>
      <c r="V40" s="24">
        <f t="shared" si="32"/>
        <v>12</v>
      </c>
      <c r="W40" s="24">
        <f t="shared" si="33"/>
        <v>9</v>
      </c>
      <c r="X40" s="28">
        <f t="shared" si="34"/>
        <v>0</v>
      </c>
      <c r="Y40" s="24">
        <v>2.0</v>
      </c>
      <c r="Z40" s="27">
        <f t="shared" si="5"/>
        <v>0.9655172414</v>
      </c>
      <c r="AA40" s="24">
        <f t="shared" si="35"/>
        <v>14</v>
      </c>
      <c r="AB40" s="2">
        <f t="shared" si="36"/>
        <v>8</v>
      </c>
      <c r="AC40" s="24">
        <f t="shared" si="37"/>
        <v>3</v>
      </c>
      <c r="AD40" s="24">
        <f t="shared" si="38"/>
        <v>17</v>
      </c>
      <c r="AE40" s="24">
        <f t="shared" si="39"/>
        <v>8</v>
      </c>
      <c r="AF40" s="24">
        <f t="shared" si="40"/>
        <v>12</v>
      </c>
      <c r="AG40" s="24">
        <f t="shared" si="41"/>
        <v>9</v>
      </c>
      <c r="AH40" s="24">
        <f t="shared" si="42"/>
        <v>5</v>
      </c>
      <c r="AI40" s="28">
        <f t="shared" si="43"/>
        <v>3</v>
      </c>
      <c r="AJ40" s="24">
        <v>1.0</v>
      </c>
      <c r="AK40" s="27">
        <f t="shared" si="6"/>
        <v>1.172413793</v>
      </c>
      <c r="AL40" s="24">
        <f t="shared" si="44"/>
        <v>20</v>
      </c>
      <c r="AM40" s="2">
        <f t="shared" si="45"/>
        <v>12</v>
      </c>
      <c r="AN40" s="24">
        <f t="shared" si="46"/>
        <v>1</v>
      </c>
      <c r="AO40" s="24">
        <f t="shared" si="47"/>
        <v>21</v>
      </c>
      <c r="AP40" s="24">
        <f t="shared" si="48"/>
        <v>12</v>
      </c>
      <c r="AQ40" s="24">
        <f t="shared" si="49"/>
        <v>8</v>
      </c>
      <c r="AR40" s="24">
        <f t="shared" si="50"/>
        <v>9</v>
      </c>
      <c r="AS40" s="24">
        <f t="shared" si="51"/>
        <v>11</v>
      </c>
      <c r="AT40" s="28">
        <f t="shared" si="52"/>
        <v>1</v>
      </c>
      <c r="AU40" s="24"/>
      <c r="AV40" s="27">
        <f t="shared" si="7"/>
        <v>1</v>
      </c>
      <c r="AW40" s="24">
        <f t="shared" si="53"/>
        <v>11</v>
      </c>
      <c r="AX40" s="2">
        <f t="shared" si="54"/>
        <v>4</v>
      </c>
      <c r="AY40" s="24">
        <f t="shared" si="55"/>
        <v>1</v>
      </c>
      <c r="AZ40" s="24">
        <f t="shared" si="56"/>
        <v>12</v>
      </c>
      <c r="BA40" s="24">
        <f t="shared" si="57"/>
        <v>4</v>
      </c>
      <c r="BB40" s="24">
        <f t="shared" si="58"/>
        <v>17</v>
      </c>
      <c r="BC40" s="24">
        <f t="shared" si="59"/>
        <v>8</v>
      </c>
      <c r="BD40" s="24">
        <f t="shared" si="60"/>
        <v>3</v>
      </c>
      <c r="BE40" s="24">
        <f t="shared" si="61"/>
        <v>1</v>
      </c>
      <c r="BF40" s="29">
        <f t="shared" ref="BF40:BO40" si="114">+(AK40+Z40+O40+D40)/4</f>
        <v>1.086206897</v>
      </c>
      <c r="BG40" s="24">
        <f t="shared" si="114"/>
        <v>17.75</v>
      </c>
      <c r="BH40" s="24">
        <f t="shared" si="114"/>
        <v>8.75</v>
      </c>
      <c r="BI40" s="24">
        <f t="shared" si="114"/>
        <v>2</v>
      </c>
      <c r="BJ40" s="24">
        <f t="shared" si="114"/>
        <v>19.25</v>
      </c>
      <c r="BK40" s="24">
        <f t="shared" si="114"/>
        <v>9.25</v>
      </c>
      <c r="BL40" s="24">
        <f t="shared" si="114"/>
        <v>9.25</v>
      </c>
      <c r="BM40" s="24">
        <f t="shared" si="114"/>
        <v>10.5</v>
      </c>
      <c r="BN40" s="24">
        <f t="shared" si="114"/>
        <v>7.25</v>
      </c>
      <c r="BO40" s="24">
        <f t="shared" si="114"/>
        <v>1.5</v>
      </c>
      <c r="BP40" s="30">
        <f t="shared" si="9"/>
        <v>-0.08620689655</v>
      </c>
      <c r="BQ40" s="64">
        <f t="shared" si="10"/>
        <v>0.1724137931</v>
      </c>
      <c r="BR40" s="64">
        <f t="shared" si="11"/>
        <v>0.275862069</v>
      </c>
      <c r="BS40" s="64">
        <f t="shared" si="12"/>
        <v>0.1034482759</v>
      </c>
      <c r="BT40" s="64">
        <f t="shared" si="13"/>
        <v>0.03448275862</v>
      </c>
      <c r="BU40" s="64">
        <f t="shared" si="14"/>
        <v>0</v>
      </c>
      <c r="BV40" s="64">
        <f t="shared" si="15"/>
        <v>0.8275862069</v>
      </c>
      <c r="BW40" s="64">
        <f t="shared" ref="BW40:BX40" si="115">+BR40+BS40+BT40</f>
        <v>0.4137931034</v>
      </c>
      <c r="BX40" s="65">
        <f t="shared" si="115"/>
        <v>0.1379310345</v>
      </c>
    </row>
    <row r="41" ht="15.75" customHeight="1">
      <c r="A41" s="2"/>
      <c r="B41" s="42">
        <v>30.0</v>
      </c>
      <c r="C41" s="2">
        <v>1.0</v>
      </c>
      <c r="D41" s="3">
        <f t="shared" si="3"/>
        <v>1.166666667</v>
      </c>
      <c r="E41" s="43">
        <f t="shared" si="17"/>
        <v>17</v>
      </c>
      <c r="F41" s="2">
        <f t="shared" si="18"/>
        <v>6</v>
      </c>
      <c r="G41" s="43">
        <f t="shared" si="19"/>
        <v>4</v>
      </c>
      <c r="H41" s="43">
        <f t="shared" si="20"/>
        <v>19</v>
      </c>
      <c r="I41" s="43">
        <f t="shared" si="21"/>
        <v>8</v>
      </c>
      <c r="J41" s="43">
        <f t="shared" si="22"/>
        <v>9</v>
      </c>
      <c r="K41" s="43">
        <f t="shared" si="23"/>
        <v>13</v>
      </c>
      <c r="L41" s="43">
        <f t="shared" si="24"/>
        <v>4</v>
      </c>
      <c r="M41" s="44">
        <f t="shared" si="25"/>
        <v>2</v>
      </c>
      <c r="N41" s="2">
        <v>1.0</v>
      </c>
      <c r="O41" s="3">
        <f t="shared" si="4"/>
        <v>1.033333333</v>
      </c>
      <c r="P41" s="43">
        <f t="shared" si="26"/>
        <v>22</v>
      </c>
      <c r="Q41" s="2">
        <f t="shared" si="27"/>
        <v>9</v>
      </c>
      <c r="R41" s="43">
        <f t="shared" si="28"/>
        <v>0</v>
      </c>
      <c r="S41" s="43">
        <f t="shared" si="29"/>
        <v>22</v>
      </c>
      <c r="T41" s="43">
        <f t="shared" si="30"/>
        <v>9</v>
      </c>
      <c r="U41" s="43">
        <f t="shared" si="31"/>
        <v>8</v>
      </c>
      <c r="V41" s="43">
        <f t="shared" si="32"/>
        <v>13</v>
      </c>
      <c r="W41" s="43">
        <f t="shared" si="33"/>
        <v>9</v>
      </c>
      <c r="X41" s="44">
        <f t="shared" si="34"/>
        <v>0</v>
      </c>
      <c r="Y41" s="2">
        <v>1.0</v>
      </c>
      <c r="Z41" s="3">
        <f t="shared" si="5"/>
        <v>0.9666666667</v>
      </c>
      <c r="AA41" s="43">
        <f t="shared" si="35"/>
        <v>15</v>
      </c>
      <c r="AB41" s="2">
        <f t="shared" si="36"/>
        <v>8</v>
      </c>
      <c r="AC41" s="43">
        <f t="shared" si="37"/>
        <v>3</v>
      </c>
      <c r="AD41" s="43">
        <f t="shared" si="38"/>
        <v>18</v>
      </c>
      <c r="AE41" s="43">
        <f t="shared" si="39"/>
        <v>8</v>
      </c>
      <c r="AF41" s="43">
        <f t="shared" si="40"/>
        <v>12</v>
      </c>
      <c r="AG41" s="43">
        <f t="shared" si="41"/>
        <v>10</v>
      </c>
      <c r="AH41" s="43">
        <f t="shared" si="42"/>
        <v>5</v>
      </c>
      <c r="AI41" s="44">
        <f t="shared" si="43"/>
        <v>3</v>
      </c>
      <c r="AJ41" s="2">
        <v>1.0</v>
      </c>
      <c r="AK41" s="3">
        <f t="shared" si="6"/>
        <v>1.166666667</v>
      </c>
      <c r="AL41" s="43">
        <f t="shared" si="44"/>
        <v>21</v>
      </c>
      <c r="AM41" s="2">
        <f t="shared" si="45"/>
        <v>12</v>
      </c>
      <c r="AN41" s="43">
        <f t="shared" si="46"/>
        <v>1</v>
      </c>
      <c r="AO41" s="43">
        <f t="shared" si="47"/>
        <v>22</v>
      </c>
      <c r="AP41" s="43">
        <f t="shared" si="48"/>
        <v>12</v>
      </c>
      <c r="AQ41" s="43">
        <f t="shared" si="49"/>
        <v>8</v>
      </c>
      <c r="AR41" s="43">
        <f t="shared" si="50"/>
        <v>10</v>
      </c>
      <c r="AS41" s="43">
        <f t="shared" si="51"/>
        <v>11</v>
      </c>
      <c r="AT41" s="44">
        <f t="shared" si="52"/>
        <v>1</v>
      </c>
      <c r="AU41" s="45"/>
      <c r="AV41" s="3">
        <f t="shared" si="7"/>
        <v>1</v>
      </c>
      <c r="AW41" s="43">
        <f t="shared" si="53"/>
        <v>11</v>
      </c>
      <c r="AX41" s="2">
        <f t="shared" si="54"/>
        <v>4</v>
      </c>
      <c r="AY41" s="43">
        <f t="shared" si="55"/>
        <v>1</v>
      </c>
      <c r="AZ41" s="43">
        <f t="shared" si="56"/>
        <v>12</v>
      </c>
      <c r="BA41" s="43">
        <f t="shared" si="57"/>
        <v>4</v>
      </c>
      <c r="BB41" s="43">
        <f t="shared" si="58"/>
        <v>18</v>
      </c>
      <c r="BC41" s="43">
        <f t="shared" si="59"/>
        <v>8</v>
      </c>
      <c r="BD41" s="43">
        <f t="shared" si="60"/>
        <v>3</v>
      </c>
      <c r="BE41" s="43">
        <f t="shared" si="61"/>
        <v>1</v>
      </c>
      <c r="BF41" s="46">
        <f t="shared" ref="BF41:BO41" si="116">+(AK41+Z41+O41+D41)/4</f>
        <v>1.083333333</v>
      </c>
      <c r="BG41" s="43">
        <f t="shared" si="116"/>
        <v>18.75</v>
      </c>
      <c r="BH41" s="43">
        <f t="shared" si="116"/>
        <v>8.75</v>
      </c>
      <c r="BI41" s="43">
        <f t="shared" si="116"/>
        <v>2</v>
      </c>
      <c r="BJ41" s="43">
        <f t="shared" si="116"/>
        <v>20.25</v>
      </c>
      <c r="BK41" s="43">
        <f t="shared" si="116"/>
        <v>9.25</v>
      </c>
      <c r="BL41" s="43">
        <f t="shared" si="116"/>
        <v>9.25</v>
      </c>
      <c r="BM41" s="43">
        <f t="shared" si="116"/>
        <v>11.5</v>
      </c>
      <c r="BN41" s="43">
        <f t="shared" si="116"/>
        <v>7.25</v>
      </c>
      <c r="BO41" s="43">
        <f t="shared" si="116"/>
        <v>1.5</v>
      </c>
      <c r="BP41" s="37">
        <f t="shared" si="9"/>
        <v>-0.08333333333</v>
      </c>
      <c r="BQ41" s="66">
        <f t="shared" si="10"/>
        <v>0.1666666667</v>
      </c>
      <c r="BR41" s="66">
        <f t="shared" si="11"/>
        <v>0.2666666667</v>
      </c>
      <c r="BS41" s="66">
        <f t="shared" si="12"/>
        <v>0.1</v>
      </c>
      <c r="BT41" s="66">
        <f t="shared" si="13"/>
        <v>0.03333333333</v>
      </c>
      <c r="BU41" s="66">
        <f t="shared" si="14"/>
        <v>0</v>
      </c>
      <c r="BV41" s="66">
        <f t="shared" si="15"/>
        <v>0.8333333333</v>
      </c>
      <c r="BW41" s="66">
        <f t="shared" ref="BW41:BX41" si="117">+BR41+BS41+BT41</f>
        <v>0.4</v>
      </c>
      <c r="BX41" s="67">
        <f t="shared" si="117"/>
        <v>0.1333333333</v>
      </c>
    </row>
    <row r="42" ht="15.75" customHeight="1">
      <c r="A42" s="24"/>
      <c r="B42" s="40">
        <v>31.0</v>
      </c>
      <c r="C42" s="24">
        <v>0.0</v>
      </c>
      <c r="D42" s="27">
        <f t="shared" si="3"/>
        <v>1.129032258</v>
      </c>
      <c r="E42" s="24">
        <f t="shared" si="17"/>
        <v>17</v>
      </c>
      <c r="F42" s="2">
        <f t="shared" si="18"/>
        <v>6</v>
      </c>
      <c r="G42" s="24">
        <f t="shared" si="19"/>
        <v>4</v>
      </c>
      <c r="H42" s="24">
        <f t="shared" si="20"/>
        <v>19</v>
      </c>
      <c r="I42" s="24">
        <f t="shared" si="21"/>
        <v>8</v>
      </c>
      <c r="J42" s="24">
        <f t="shared" si="22"/>
        <v>10</v>
      </c>
      <c r="K42" s="24">
        <f t="shared" si="23"/>
        <v>13</v>
      </c>
      <c r="L42" s="24">
        <f t="shared" si="24"/>
        <v>4</v>
      </c>
      <c r="M42" s="28">
        <f t="shared" si="25"/>
        <v>2</v>
      </c>
      <c r="N42" s="24">
        <v>1.0</v>
      </c>
      <c r="O42" s="27">
        <f t="shared" si="4"/>
        <v>1.032258065</v>
      </c>
      <c r="P42" s="24">
        <f t="shared" si="26"/>
        <v>23</v>
      </c>
      <c r="Q42" s="2">
        <f t="shared" si="27"/>
        <v>9</v>
      </c>
      <c r="R42" s="24">
        <f t="shared" si="28"/>
        <v>0</v>
      </c>
      <c r="S42" s="24">
        <f t="shared" si="29"/>
        <v>23</v>
      </c>
      <c r="T42" s="24">
        <f t="shared" si="30"/>
        <v>9</v>
      </c>
      <c r="U42" s="24">
        <f t="shared" si="31"/>
        <v>8</v>
      </c>
      <c r="V42" s="24">
        <f t="shared" si="32"/>
        <v>14</v>
      </c>
      <c r="W42" s="24">
        <f t="shared" si="33"/>
        <v>9</v>
      </c>
      <c r="X42" s="28">
        <f t="shared" si="34"/>
        <v>0</v>
      </c>
      <c r="Y42" s="24">
        <v>2.0</v>
      </c>
      <c r="Z42" s="27">
        <f t="shared" si="5"/>
        <v>1</v>
      </c>
      <c r="AA42" s="24">
        <f t="shared" si="35"/>
        <v>16</v>
      </c>
      <c r="AB42" s="2">
        <f t="shared" si="36"/>
        <v>9</v>
      </c>
      <c r="AC42" s="24">
        <f t="shared" si="37"/>
        <v>3</v>
      </c>
      <c r="AD42" s="24">
        <f t="shared" si="38"/>
        <v>19</v>
      </c>
      <c r="AE42" s="24">
        <f t="shared" si="39"/>
        <v>9</v>
      </c>
      <c r="AF42" s="24">
        <f t="shared" si="40"/>
        <v>12</v>
      </c>
      <c r="AG42" s="24">
        <f t="shared" si="41"/>
        <v>10</v>
      </c>
      <c r="AH42" s="24">
        <f t="shared" si="42"/>
        <v>6</v>
      </c>
      <c r="AI42" s="28">
        <f t="shared" si="43"/>
        <v>3</v>
      </c>
      <c r="AJ42" s="24">
        <v>1.0</v>
      </c>
      <c r="AK42" s="27">
        <f t="shared" si="6"/>
        <v>1.161290323</v>
      </c>
      <c r="AL42" s="24">
        <f t="shared" si="44"/>
        <v>22</v>
      </c>
      <c r="AM42" s="2">
        <f t="shared" si="45"/>
        <v>12</v>
      </c>
      <c r="AN42" s="24">
        <f t="shared" si="46"/>
        <v>1</v>
      </c>
      <c r="AO42" s="24">
        <f t="shared" si="47"/>
        <v>23</v>
      </c>
      <c r="AP42" s="24">
        <f t="shared" si="48"/>
        <v>12</v>
      </c>
      <c r="AQ42" s="24">
        <f t="shared" si="49"/>
        <v>8</v>
      </c>
      <c r="AR42" s="24">
        <f t="shared" si="50"/>
        <v>11</v>
      </c>
      <c r="AS42" s="24">
        <f t="shared" si="51"/>
        <v>11</v>
      </c>
      <c r="AT42" s="28">
        <f t="shared" si="52"/>
        <v>1</v>
      </c>
      <c r="AU42" s="24"/>
      <c r="AV42" s="27">
        <f t="shared" si="7"/>
        <v>1</v>
      </c>
      <c r="AW42" s="24">
        <f t="shared" si="53"/>
        <v>11</v>
      </c>
      <c r="AX42" s="2">
        <f t="shared" si="54"/>
        <v>4</v>
      </c>
      <c r="AY42" s="24">
        <f t="shared" si="55"/>
        <v>1</v>
      </c>
      <c r="AZ42" s="24">
        <f t="shared" si="56"/>
        <v>12</v>
      </c>
      <c r="BA42" s="24">
        <f t="shared" si="57"/>
        <v>4</v>
      </c>
      <c r="BB42" s="24">
        <f t="shared" si="58"/>
        <v>19</v>
      </c>
      <c r="BC42" s="24">
        <f t="shared" si="59"/>
        <v>8</v>
      </c>
      <c r="BD42" s="24">
        <f t="shared" si="60"/>
        <v>3</v>
      </c>
      <c r="BE42" s="24">
        <f t="shared" si="61"/>
        <v>1</v>
      </c>
      <c r="BF42" s="29">
        <f t="shared" ref="BF42:BO42" si="118">+(AK42+Z42+O42+D42)/4</f>
        <v>1.080645161</v>
      </c>
      <c r="BG42" s="24">
        <f t="shared" si="118"/>
        <v>19.5</v>
      </c>
      <c r="BH42" s="24">
        <f t="shared" si="118"/>
        <v>9</v>
      </c>
      <c r="BI42" s="24">
        <f t="shared" si="118"/>
        <v>2</v>
      </c>
      <c r="BJ42" s="24">
        <f t="shared" si="118"/>
        <v>21</v>
      </c>
      <c r="BK42" s="24">
        <f t="shared" si="118"/>
        <v>9.5</v>
      </c>
      <c r="BL42" s="24">
        <f t="shared" si="118"/>
        <v>9.5</v>
      </c>
      <c r="BM42" s="24">
        <f t="shared" si="118"/>
        <v>12</v>
      </c>
      <c r="BN42" s="24">
        <f t="shared" si="118"/>
        <v>7.5</v>
      </c>
      <c r="BO42" s="24">
        <f t="shared" si="118"/>
        <v>1.5</v>
      </c>
      <c r="BP42" s="30">
        <f t="shared" si="9"/>
        <v>-0.08064516129</v>
      </c>
      <c r="BQ42" s="64">
        <f t="shared" si="10"/>
        <v>0.1612903226</v>
      </c>
      <c r="BR42" s="64">
        <f t="shared" si="11"/>
        <v>0.2580645161</v>
      </c>
      <c r="BS42" s="64">
        <f t="shared" si="12"/>
        <v>0.09677419355</v>
      </c>
      <c r="BT42" s="64">
        <f t="shared" si="13"/>
        <v>0.03225806452</v>
      </c>
      <c r="BU42" s="64">
        <f t="shared" si="14"/>
        <v>0</v>
      </c>
      <c r="BV42" s="64">
        <f t="shared" si="15"/>
        <v>0.8387096774</v>
      </c>
      <c r="BW42" s="64">
        <f t="shared" ref="BW42:BX42" si="119">+BR42+BS42+BT42</f>
        <v>0.3870967742</v>
      </c>
      <c r="BX42" s="65">
        <f t="shared" si="119"/>
        <v>0.1290322581</v>
      </c>
    </row>
    <row r="43" ht="15.75" customHeight="1">
      <c r="A43" s="2"/>
      <c r="B43" s="33">
        <v>32.0</v>
      </c>
      <c r="C43" s="2">
        <v>1.0</v>
      </c>
      <c r="D43" s="3">
        <f t="shared" si="3"/>
        <v>1.125</v>
      </c>
      <c r="E43" s="2">
        <f t="shared" si="17"/>
        <v>18</v>
      </c>
      <c r="F43" s="2">
        <f t="shared" si="18"/>
        <v>6</v>
      </c>
      <c r="G43" s="2">
        <f t="shared" si="19"/>
        <v>4</v>
      </c>
      <c r="H43" s="2">
        <f t="shared" si="20"/>
        <v>20</v>
      </c>
      <c r="I43" s="2">
        <f t="shared" si="21"/>
        <v>8</v>
      </c>
      <c r="J43" s="2">
        <f t="shared" si="22"/>
        <v>10</v>
      </c>
      <c r="K43" s="2">
        <f t="shared" si="23"/>
        <v>14</v>
      </c>
      <c r="L43" s="2">
        <f t="shared" si="24"/>
        <v>4</v>
      </c>
      <c r="M43" s="34">
        <f t="shared" si="25"/>
        <v>2</v>
      </c>
      <c r="N43" s="2">
        <v>1.0</v>
      </c>
      <c r="O43" s="3">
        <f t="shared" si="4"/>
        <v>1.03125</v>
      </c>
      <c r="P43" s="2">
        <f t="shared" si="26"/>
        <v>24</v>
      </c>
      <c r="Q43" s="2">
        <f t="shared" si="27"/>
        <v>9</v>
      </c>
      <c r="R43" s="2">
        <f t="shared" si="28"/>
        <v>0</v>
      </c>
      <c r="S43" s="2">
        <f t="shared" si="29"/>
        <v>24</v>
      </c>
      <c r="T43" s="2">
        <f t="shared" si="30"/>
        <v>9</v>
      </c>
      <c r="U43" s="2">
        <f t="shared" si="31"/>
        <v>8</v>
      </c>
      <c r="V43" s="2">
        <f t="shared" si="32"/>
        <v>15</v>
      </c>
      <c r="W43" s="2">
        <f t="shared" si="33"/>
        <v>9</v>
      </c>
      <c r="X43" s="34">
        <f t="shared" si="34"/>
        <v>0</v>
      </c>
      <c r="Y43" s="2">
        <v>0.0</v>
      </c>
      <c r="Z43" s="3">
        <f t="shared" si="5"/>
        <v>0.96875</v>
      </c>
      <c r="AA43" s="2">
        <f t="shared" si="35"/>
        <v>16</v>
      </c>
      <c r="AB43" s="2">
        <f t="shared" si="36"/>
        <v>9</v>
      </c>
      <c r="AC43" s="2">
        <f t="shared" si="37"/>
        <v>3</v>
      </c>
      <c r="AD43" s="2">
        <f t="shared" si="38"/>
        <v>19</v>
      </c>
      <c r="AE43" s="2">
        <f t="shared" si="39"/>
        <v>9</v>
      </c>
      <c r="AF43" s="2">
        <f t="shared" si="40"/>
        <v>13</v>
      </c>
      <c r="AG43" s="2">
        <f t="shared" si="41"/>
        <v>10</v>
      </c>
      <c r="AH43" s="2">
        <f t="shared" si="42"/>
        <v>6</v>
      </c>
      <c r="AI43" s="34">
        <f t="shared" si="43"/>
        <v>3</v>
      </c>
      <c r="AJ43" s="2">
        <v>0.0</v>
      </c>
      <c r="AK43" s="3">
        <f t="shared" si="6"/>
        <v>1.125</v>
      </c>
      <c r="AL43" s="2">
        <f t="shared" si="44"/>
        <v>22</v>
      </c>
      <c r="AM43" s="2">
        <f t="shared" si="45"/>
        <v>12</v>
      </c>
      <c r="AN43" s="2">
        <f t="shared" si="46"/>
        <v>1</v>
      </c>
      <c r="AO43" s="2">
        <f t="shared" si="47"/>
        <v>23</v>
      </c>
      <c r="AP43" s="2">
        <f t="shared" si="48"/>
        <v>12</v>
      </c>
      <c r="AQ43" s="2">
        <f t="shared" si="49"/>
        <v>9</v>
      </c>
      <c r="AR43" s="2">
        <f t="shared" si="50"/>
        <v>11</v>
      </c>
      <c r="AS43" s="2">
        <f t="shared" si="51"/>
        <v>11</v>
      </c>
      <c r="AT43" s="34">
        <f t="shared" si="52"/>
        <v>1</v>
      </c>
      <c r="AU43" s="35"/>
      <c r="AV43" s="3">
        <f t="shared" si="7"/>
        <v>1</v>
      </c>
      <c r="AW43" s="2">
        <f t="shared" si="53"/>
        <v>11</v>
      </c>
      <c r="AX43" s="2">
        <f t="shared" si="54"/>
        <v>4</v>
      </c>
      <c r="AY43" s="2">
        <f t="shared" si="55"/>
        <v>1</v>
      </c>
      <c r="AZ43" s="2">
        <f t="shared" si="56"/>
        <v>12</v>
      </c>
      <c r="BA43" s="2">
        <f t="shared" si="57"/>
        <v>4</v>
      </c>
      <c r="BB43" s="2">
        <f t="shared" si="58"/>
        <v>20</v>
      </c>
      <c r="BC43" s="2">
        <f t="shared" si="59"/>
        <v>8</v>
      </c>
      <c r="BD43" s="2">
        <f t="shared" si="60"/>
        <v>3</v>
      </c>
      <c r="BE43" s="2">
        <f t="shared" si="61"/>
        <v>1</v>
      </c>
      <c r="BF43" s="36">
        <f t="shared" ref="BF43:BO43" si="120">+(AK43+Z43+O43+D43)/4</f>
        <v>1.0625</v>
      </c>
      <c r="BG43" s="2">
        <f t="shared" si="120"/>
        <v>20</v>
      </c>
      <c r="BH43" s="2">
        <f t="shared" si="120"/>
        <v>9</v>
      </c>
      <c r="BI43" s="2">
        <f t="shared" si="120"/>
        <v>2</v>
      </c>
      <c r="BJ43" s="2">
        <f t="shared" si="120"/>
        <v>21.5</v>
      </c>
      <c r="BK43" s="2">
        <f t="shared" si="120"/>
        <v>9.5</v>
      </c>
      <c r="BL43" s="2">
        <f t="shared" si="120"/>
        <v>10</v>
      </c>
      <c r="BM43" s="2">
        <f t="shared" si="120"/>
        <v>12.5</v>
      </c>
      <c r="BN43" s="2">
        <f t="shared" si="120"/>
        <v>7.5</v>
      </c>
      <c r="BO43" s="2">
        <f t="shared" si="120"/>
        <v>1.5</v>
      </c>
      <c r="BP43" s="37">
        <f t="shared" si="9"/>
        <v>-0.0625</v>
      </c>
      <c r="BQ43" s="66">
        <f t="shared" si="10"/>
        <v>0.15625</v>
      </c>
      <c r="BR43" s="66">
        <f t="shared" si="11"/>
        <v>0.25</v>
      </c>
      <c r="BS43" s="66">
        <f t="shared" si="12"/>
        <v>0.09375</v>
      </c>
      <c r="BT43" s="66">
        <f t="shared" si="13"/>
        <v>0.03125</v>
      </c>
      <c r="BU43" s="66">
        <f t="shared" si="14"/>
        <v>0</v>
      </c>
      <c r="BV43" s="66">
        <f t="shared" si="15"/>
        <v>0.84375</v>
      </c>
      <c r="BW43" s="66">
        <f t="shared" ref="BW43:BX43" si="121">+BR43+BS43+BT43</f>
        <v>0.375</v>
      </c>
      <c r="BX43" s="67">
        <f t="shared" si="121"/>
        <v>0.125</v>
      </c>
    </row>
    <row r="44" ht="15.75" customHeight="1">
      <c r="A44" s="24"/>
      <c r="B44" s="40">
        <v>33.0</v>
      </c>
      <c r="C44" s="24">
        <v>2.0</v>
      </c>
      <c r="D44" s="27">
        <f t="shared" si="3"/>
        <v>1.151515152</v>
      </c>
      <c r="E44" s="24">
        <f t="shared" si="17"/>
        <v>19</v>
      </c>
      <c r="F44" s="2">
        <f t="shared" si="18"/>
        <v>7</v>
      </c>
      <c r="G44" s="24">
        <f t="shared" si="19"/>
        <v>4</v>
      </c>
      <c r="H44" s="24">
        <f t="shared" si="20"/>
        <v>21</v>
      </c>
      <c r="I44" s="24">
        <f t="shared" si="21"/>
        <v>9</v>
      </c>
      <c r="J44" s="24">
        <f t="shared" si="22"/>
        <v>10</v>
      </c>
      <c r="K44" s="24">
        <f t="shared" si="23"/>
        <v>14</v>
      </c>
      <c r="L44" s="24">
        <f t="shared" si="24"/>
        <v>5</v>
      </c>
      <c r="M44" s="28">
        <f t="shared" si="25"/>
        <v>2</v>
      </c>
      <c r="N44" s="24">
        <v>2.0</v>
      </c>
      <c r="O44" s="27">
        <f t="shared" si="4"/>
        <v>1.060606061</v>
      </c>
      <c r="P44" s="24">
        <f t="shared" si="26"/>
        <v>25</v>
      </c>
      <c r="Q44" s="2">
        <f t="shared" si="27"/>
        <v>10</v>
      </c>
      <c r="R44" s="24">
        <f t="shared" si="28"/>
        <v>0</v>
      </c>
      <c r="S44" s="24">
        <f t="shared" si="29"/>
        <v>25</v>
      </c>
      <c r="T44" s="24">
        <f t="shared" si="30"/>
        <v>10</v>
      </c>
      <c r="U44" s="24">
        <f t="shared" si="31"/>
        <v>8</v>
      </c>
      <c r="V44" s="24">
        <f t="shared" si="32"/>
        <v>15</v>
      </c>
      <c r="W44" s="24">
        <f t="shared" si="33"/>
        <v>10</v>
      </c>
      <c r="X44" s="28">
        <f t="shared" si="34"/>
        <v>0</v>
      </c>
      <c r="Y44" s="24">
        <v>0.0</v>
      </c>
      <c r="Z44" s="27">
        <f t="shared" si="5"/>
        <v>0.9393939394</v>
      </c>
      <c r="AA44" s="24">
        <f t="shared" si="35"/>
        <v>16</v>
      </c>
      <c r="AB44" s="2">
        <f t="shared" si="36"/>
        <v>9</v>
      </c>
      <c r="AC44" s="24">
        <f t="shared" si="37"/>
        <v>3</v>
      </c>
      <c r="AD44" s="24">
        <f t="shared" si="38"/>
        <v>19</v>
      </c>
      <c r="AE44" s="24">
        <f t="shared" si="39"/>
        <v>9</v>
      </c>
      <c r="AF44" s="24">
        <f t="shared" si="40"/>
        <v>14</v>
      </c>
      <c r="AG44" s="24">
        <f t="shared" si="41"/>
        <v>10</v>
      </c>
      <c r="AH44" s="24">
        <f t="shared" si="42"/>
        <v>6</v>
      </c>
      <c r="AI44" s="28">
        <f t="shared" si="43"/>
        <v>3</v>
      </c>
      <c r="AJ44" s="24">
        <v>2.0</v>
      </c>
      <c r="AK44" s="27">
        <f t="shared" si="6"/>
        <v>1.151515152</v>
      </c>
      <c r="AL44" s="24">
        <f t="shared" si="44"/>
        <v>23</v>
      </c>
      <c r="AM44" s="2">
        <f t="shared" si="45"/>
        <v>13</v>
      </c>
      <c r="AN44" s="24">
        <f t="shared" si="46"/>
        <v>1</v>
      </c>
      <c r="AO44" s="24">
        <f t="shared" si="47"/>
        <v>24</v>
      </c>
      <c r="AP44" s="24">
        <f t="shared" si="48"/>
        <v>13</v>
      </c>
      <c r="AQ44" s="24">
        <f t="shared" si="49"/>
        <v>9</v>
      </c>
      <c r="AR44" s="24">
        <f t="shared" si="50"/>
        <v>11</v>
      </c>
      <c r="AS44" s="24">
        <f t="shared" si="51"/>
        <v>12</v>
      </c>
      <c r="AT44" s="28">
        <f t="shared" si="52"/>
        <v>1</v>
      </c>
      <c r="AU44" s="24"/>
      <c r="AV44" s="27">
        <f t="shared" si="7"/>
        <v>1</v>
      </c>
      <c r="AW44" s="24">
        <f t="shared" si="53"/>
        <v>11</v>
      </c>
      <c r="AX44" s="2">
        <f t="shared" si="54"/>
        <v>4</v>
      </c>
      <c r="AY44" s="24">
        <f t="shared" si="55"/>
        <v>1</v>
      </c>
      <c r="AZ44" s="24">
        <f t="shared" si="56"/>
        <v>12</v>
      </c>
      <c r="BA44" s="24">
        <f t="shared" si="57"/>
        <v>4</v>
      </c>
      <c r="BB44" s="24">
        <f t="shared" si="58"/>
        <v>21</v>
      </c>
      <c r="BC44" s="24">
        <f t="shared" si="59"/>
        <v>8</v>
      </c>
      <c r="BD44" s="24">
        <f t="shared" si="60"/>
        <v>3</v>
      </c>
      <c r="BE44" s="24">
        <f t="shared" si="61"/>
        <v>1</v>
      </c>
      <c r="BF44" s="29">
        <f t="shared" ref="BF44:BO44" si="122">+(AK44+Z44+O44+D44)/4</f>
        <v>1.075757576</v>
      </c>
      <c r="BG44" s="24">
        <f t="shared" si="122"/>
        <v>20.75</v>
      </c>
      <c r="BH44" s="24">
        <f t="shared" si="122"/>
        <v>9.75</v>
      </c>
      <c r="BI44" s="24">
        <f t="shared" si="122"/>
        <v>2</v>
      </c>
      <c r="BJ44" s="24">
        <f t="shared" si="122"/>
        <v>22.25</v>
      </c>
      <c r="BK44" s="24">
        <f t="shared" si="122"/>
        <v>10.25</v>
      </c>
      <c r="BL44" s="24">
        <f t="shared" si="122"/>
        <v>10.25</v>
      </c>
      <c r="BM44" s="24">
        <f t="shared" si="122"/>
        <v>12.5</v>
      </c>
      <c r="BN44" s="24">
        <f t="shared" si="122"/>
        <v>8.25</v>
      </c>
      <c r="BO44" s="24">
        <f t="shared" si="122"/>
        <v>1.5</v>
      </c>
      <c r="BP44" s="30">
        <f t="shared" si="9"/>
        <v>-0.07575757576</v>
      </c>
      <c r="BQ44" s="64">
        <f t="shared" si="10"/>
        <v>0.1515151515</v>
      </c>
      <c r="BR44" s="64">
        <f t="shared" si="11"/>
        <v>0.2424242424</v>
      </c>
      <c r="BS44" s="64">
        <f t="shared" si="12"/>
        <v>0.09090909091</v>
      </c>
      <c r="BT44" s="64">
        <f t="shared" si="13"/>
        <v>0.0303030303</v>
      </c>
      <c r="BU44" s="64">
        <f t="shared" si="14"/>
        <v>0</v>
      </c>
      <c r="BV44" s="64">
        <f t="shared" si="15"/>
        <v>0.8484848485</v>
      </c>
      <c r="BW44" s="64">
        <f t="shared" ref="BW44:BX44" si="123">+BR44+BS44+BT44</f>
        <v>0.3636363636</v>
      </c>
      <c r="BX44" s="65">
        <f t="shared" si="123"/>
        <v>0.1212121212</v>
      </c>
    </row>
    <row r="45" ht="15.75" customHeight="1">
      <c r="A45" s="2"/>
      <c r="B45" s="33">
        <v>34.0</v>
      </c>
      <c r="C45" s="2">
        <v>4.0</v>
      </c>
      <c r="D45" s="3">
        <f t="shared" si="3"/>
        <v>1.235294118</v>
      </c>
      <c r="E45" s="2">
        <f t="shared" si="17"/>
        <v>19</v>
      </c>
      <c r="F45" s="2">
        <f t="shared" si="18"/>
        <v>7</v>
      </c>
      <c r="G45" s="2">
        <f t="shared" si="19"/>
        <v>5</v>
      </c>
      <c r="H45" s="2">
        <f t="shared" si="20"/>
        <v>21</v>
      </c>
      <c r="I45" s="2">
        <f t="shared" si="21"/>
        <v>10</v>
      </c>
      <c r="J45" s="2">
        <f t="shared" si="22"/>
        <v>10</v>
      </c>
      <c r="K45" s="2">
        <f t="shared" si="23"/>
        <v>14</v>
      </c>
      <c r="L45" s="2">
        <f t="shared" si="24"/>
        <v>5</v>
      </c>
      <c r="M45" s="34">
        <f t="shared" si="25"/>
        <v>2</v>
      </c>
      <c r="N45" s="2">
        <v>1.0</v>
      </c>
      <c r="O45" s="3">
        <f t="shared" si="4"/>
        <v>1.058823529</v>
      </c>
      <c r="P45" s="2">
        <f t="shared" si="26"/>
        <v>26</v>
      </c>
      <c r="Q45" s="2">
        <f t="shared" si="27"/>
        <v>10</v>
      </c>
      <c r="R45" s="2">
        <f t="shared" si="28"/>
        <v>0</v>
      </c>
      <c r="S45" s="2">
        <f t="shared" si="29"/>
        <v>26</v>
      </c>
      <c r="T45" s="2">
        <f t="shared" si="30"/>
        <v>10</v>
      </c>
      <c r="U45" s="2">
        <f t="shared" si="31"/>
        <v>8</v>
      </c>
      <c r="V45" s="2">
        <f t="shared" si="32"/>
        <v>16</v>
      </c>
      <c r="W45" s="2">
        <f t="shared" si="33"/>
        <v>10</v>
      </c>
      <c r="X45" s="34">
        <f t="shared" si="34"/>
        <v>0</v>
      </c>
      <c r="Y45" s="2">
        <v>0.0</v>
      </c>
      <c r="Z45" s="3">
        <f t="shared" si="5"/>
        <v>0.9117647059</v>
      </c>
      <c r="AA45" s="2">
        <f t="shared" si="35"/>
        <v>16</v>
      </c>
      <c r="AB45" s="2">
        <f t="shared" si="36"/>
        <v>9</v>
      </c>
      <c r="AC45" s="2">
        <f t="shared" si="37"/>
        <v>3</v>
      </c>
      <c r="AD45" s="2">
        <f t="shared" si="38"/>
        <v>19</v>
      </c>
      <c r="AE45" s="2">
        <f t="shared" si="39"/>
        <v>9</v>
      </c>
      <c r="AF45" s="2">
        <f t="shared" si="40"/>
        <v>15</v>
      </c>
      <c r="AG45" s="2">
        <f t="shared" si="41"/>
        <v>10</v>
      </c>
      <c r="AH45" s="2">
        <f t="shared" si="42"/>
        <v>6</v>
      </c>
      <c r="AI45" s="34">
        <f t="shared" si="43"/>
        <v>3</v>
      </c>
      <c r="AJ45" s="2">
        <v>0.0</v>
      </c>
      <c r="AK45" s="3">
        <f t="shared" si="6"/>
        <v>1.117647059</v>
      </c>
      <c r="AL45" s="2">
        <f t="shared" si="44"/>
        <v>23</v>
      </c>
      <c r="AM45" s="2">
        <f t="shared" si="45"/>
        <v>13</v>
      </c>
      <c r="AN45" s="2">
        <f t="shared" si="46"/>
        <v>1</v>
      </c>
      <c r="AO45" s="2">
        <f t="shared" si="47"/>
        <v>24</v>
      </c>
      <c r="AP45" s="2">
        <f t="shared" si="48"/>
        <v>13</v>
      </c>
      <c r="AQ45" s="2">
        <f t="shared" si="49"/>
        <v>10</v>
      </c>
      <c r="AR45" s="2">
        <f t="shared" si="50"/>
        <v>11</v>
      </c>
      <c r="AS45" s="2">
        <f t="shared" si="51"/>
        <v>12</v>
      </c>
      <c r="AT45" s="34">
        <f t="shared" si="52"/>
        <v>1</v>
      </c>
      <c r="AU45" s="35"/>
      <c r="AV45" s="3">
        <f t="shared" si="7"/>
        <v>1</v>
      </c>
      <c r="AW45" s="2">
        <f t="shared" si="53"/>
        <v>11</v>
      </c>
      <c r="AX45" s="2">
        <f t="shared" si="54"/>
        <v>4</v>
      </c>
      <c r="AY45" s="2">
        <f t="shared" si="55"/>
        <v>1</v>
      </c>
      <c r="AZ45" s="2">
        <f t="shared" si="56"/>
        <v>12</v>
      </c>
      <c r="BA45" s="2">
        <f t="shared" si="57"/>
        <v>4</v>
      </c>
      <c r="BB45" s="2">
        <f t="shared" si="58"/>
        <v>22</v>
      </c>
      <c r="BC45" s="2">
        <f t="shared" si="59"/>
        <v>8</v>
      </c>
      <c r="BD45" s="2">
        <f t="shared" si="60"/>
        <v>3</v>
      </c>
      <c r="BE45" s="2">
        <f t="shared" si="61"/>
        <v>1</v>
      </c>
      <c r="BF45" s="36">
        <f t="shared" ref="BF45:BO45" si="124">+(AK45+Z45+O45+D45)/4</f>
        <v>1.080882353</v>
      </c>
      <c r="BG45" s="2">
        <f t="shared" si="124"/>
        <v>21</v>
      </c>
      <c r="BH45" s="2">
        <f t="shared" si="124"/>
        <v>9.75</v>
      </c>
      <c r="BI45" s="2">
        <f t="shared" si="124"/>
        <v>2.25</v>
      </c>
      <c r="BJ45" s="2">
        <f t="shared" si="124"/>
        <v>22.5</v>
      </c>
      <c r="BK45" s="2">
        <f t="shared" si="124"/>
        <v>10.5</v>
      </c>
      <c r="BL45" s="2">
        <f t="shared" si="124"/>
        <v>10.75</v>
      </c>
      <c r="BM45" s="2">
        <f t="shared" si="124"/>
        <v>12.75</v>
      </c>
      <c r="BN45" s="2">
        <f t="shared" si="124"/>
        <v>8.25</v>
      </c>
      <c r="BO45" s="2">
        <f t="shared" si="124"/>
        <v>1.5</v>
      </c>
      <c r="BP45" s="37">
        <f t="shared" si="9"/>
        <v>-0.08088235294</v>
      </c>
      <c r="BQ45" s="66">
        <f t="shared" si="10"/>
        <v>0.1470588235</v>
      </c>
      <c r="BR45" s="66">
        <f t="shared" si="11"/>
        <v>0.2352941176</v>
      </c>
      <c r="BS45" s="66">
        <f t="shared" si="12"/>
        <v>0.08823529412</v>
      </c>
      <c r="BT45" s="66">
        <f t="shared" si="13"/>
        <v>0.02941176471</v>
      </c>
      <c r="BU45" s="66">
        <f t="shared" si="14"/>
        <v>0</v>
      </c>
      <c r="BV45" s="66">
        <f t="shared" si="15"/>
        <v>0.8529411765</v>
      </c>
      <c r="BW45" s="66">
        <f t="shared" ref="BW45:BX45" si="125">+BR45+BS45+BT45</f>
        <v>0.3529411765</v>
      </c>
      <c r="BX45" s="67">
        <f t="shared" si="125"/>
        <v>0.1176470588</v>
      </c>
    </row>
    <row r="46" ht="15.75" customHeight="1">
      <c r="A46" s="24"/>
      <c r="B46" s="40">
        <v>35.0</v>
      </c>
      <c r="C46" s="24">
        <v>3.0</v>
      </c>
      <c r="D46" s="27">
        <f t="shared" si="3"/>
        <v>1.285714286</v>
      </c>
      <c r="E46" s="24">
        <f t="shared" si="17"/>
        <v>19</v>
      </c>
      <c r="F46" s="2">
        <f t="shared" si="18"/>
        <v>8</v>
      </c>
      <c r="G46" s="24">
        <f t="shared" si="19"/>
        <v>6</v>
      </c>
      <c r="H46" s="24">
        <f t="shared" si="20"/>
        <v>22</v>
      </c>
      <c r="I46" s="24">
        <f t="shared" si="21"/>
        <v>11</v>
      </c>
      <c r="J46" s="24">
        <f t="shared" si="22"/>
        <v>10</v>
      </c>
      <c r="K46" s="24">
        <f t="shared" si="23"/>
        <v>14</v>
      </c>
      <c r="L46" s="24">
        <f t="shared" si="24"/>
        <v>5</v>
      </c>
      <c r="M46" s="28">
        <f t="shared" si="25"/>
        <v>3</v>
      </c>
      <c r="N46" s="24">
        <v>1.0</v>
      </c>
      <c r="O46" s="27">
        <f t="shared" si="4"/>
        <v>1.057142857</v>
      </c>
      <c r="P46" s="24">
        <f t="shared" si="26"/>
        <v>27</v>
      </c>
      <c r="Q46" s="2">
        <f t="shared" si="27"/>
        <v>10</v>
      </c>
      <c r="R46" s="24">
        <f t="shared" si="28"/>
        <v>0</v>
      </c>
      <c r="S46" s="24">
        <f t="shared" si="29"/>
        <v>27</v>
      </c>
      <c r="T46" s="24">
        <f t="shared" si="30"/>
        <v>10</v>
      </c>
      <c r="U46" s="24">
        <f t="shared" si="31"/>
        <v>8</v>
      </c>
      <c r="V46" s="24">
        <f t="shared" si="32"/>
        <v>17</v>
      </c>
      <c r="W46" s="24">
        <f t="shared" si="33"/>
        <v>10</v>
      </c>
      <c r="X46" s="28">
        <f t="shared" si="34"/>
        <v>0</v>
      </c>
      <c r="Y46" s="24">
        <v>0.0</v>
      </c>
      <c r="Z46" s="27">
        <f t="shared" si="5"/>
        <v>0.8857142857</v>
      </c>
      <c r="AA46" s="24">
        <f t="shared" si="35"/>
        <v>16</v>
      </c>
      <c r="AB46" s="2">
        <f t="shared" si="36"/>
        <v>9</v>
      </c>
      <c r="AC46" s="24">
        <f t="shared" si="37"/>
        <v>3</v>
      </c>
      <c r="AD46" s="24">
        <f t="shared" si="38"/>
        <v>19</v>
      </c>
      <c r="AE46" s="24">
        <f t="shared" si="39"/>
        <v>9</v>
      </c>
      <c r="AF46" s="24">
        <f t="shared" si="40"/>
        <v>16</v>
      </c>
      <c r="AG46" s="24">
        <f t="shared" si="41"/>
        <v>10</v>
      </c>
      <c r="AH46" s="24">
        <f t="shared" si="42"/>
        <v>6</v>
      </c>
      <c r="AI46" s="28">
        <f t="shared" si="43"/>
        <v>3</v>
      </c>
      <c r="AJ46" s="24">
        <v>1.0</v>
      </c>
      <c r="AK46" s="27">
        <f t="shared" si="6"/>
        <v>1.114285714</v>
      </c>
      <c r="AL46" s="24">
        <f t="shared" si="44"/>
        <v>24</v>
      </c>
      <c r="AM46" s="2">
        <f t="shared" si="45"/>
        <v>13</v>
      </c>
      <c r="AN46" s="24">
        <f t="shared" si="46"/>
        <v>1</v>
      </c>
      <c r="AO46" s="24">
        <f t="shared" si="47"/>
        <v>25</v>
      </c>
      <c r="AP46" s="24">
        <f t="shared" si="48"/>
        <v>13</v>
      </c>
      <c r="AQ46" s="24">
        <f t="shared" si="49"/>
        <v>10</v>
      </c>
      <c r="AR46" s="24">
        <f t="shared" si="50"/>
        <v>12</v>
      </c>
      <c r="AS46" s="24">
        <f t="shared" si="51"/>
        <v>12</v>
      </c>
      <c r="AT46" s="28">
        <f t="shared" si="52"/>
        <v>1</v>
      </c>
      <c r="AU46" s="24"/>
      <c r="AV46" s="27">
        <f t="shared" si="7"/>
        <v>1</v>
      </c>
      <c r="AW46" s="24">
        <f t="shared" si="53"/>
        <v>11</v>
      </c>
      <c r="AX46" s="2">
        <f t="shared" si="54"/>
        <v>4</v>
      </c>
      <c r="AY46" s="24">
        <f t="shared" si="55"/>
        <v>1</v>
      </c>
      <c r="AZ46" s="24">
        <f t="shared" si="56"/>
        <v>12</v>
      </c>
      <c r="BA46" s="24">
        <f t="shared" si="57"/>
        <v>4</v>
      </c>
      <c r="BB46" s="24">
        <f t="shared" si="58"/>
        <v>23</v>
      </c>
      <c r="BC46" s="24">
        <f t="shared" si="59"/>
        <v>8</v>
      </c>
      <c r="BD46" s="24">
        <f t="shared" si="60"/>
        <v>3</v>
      </c>
      <c r="BE46" s="24">
        <f t="shared" si="61"/>
        <v>1</v>
      </c>
      <c r="BF46" s="29">
        <f t="shared" ref="BF46:BO46" si="126">+(AK46+Z46+O46+D46)/4</f>
        <v>1.085714286</v>
      </c>
      <c r="BG46" s="24">
        <f t="shared" si="126"/>
        <v>21.5</v>
      </c>
      <c r="BH46" s="24">
        <f t="shared" si="126"/>
        <v>10</v>
      </c>
      <c r="BI46" s="24">
        <f t="shared" si="126"/>
        <v>2.5</v>
      </c>
      <c r="BJ46" s="24">
        <f t="shared" si="126"/>
        <v>23.25</v>
      </c>
      <c r="BK46" s="24">
        <f t="shared" si="126"/>
        <v>10.75</v>
      </c>
      <c r="BL46" s="24">
        <f t="shared" si="126"/>
        <v>11</v>
      </c>
      <c r="BM46" s="24">
        <f t="shared" si="126"/>
        <v>13.25</v>
      </c>
      <c r="BN46" s="24">
        <f t="shared" si="126"/>
        <v>8.25</v>
      </c>
      <c r="BO46" s="24">
        <f t="shared" si="126"/>
        <v>1.75</v>
      </c>
      <c r="BP46" s="30">
        <f t="shared" si="9"/>
        <v>-0.08571428571</v>
      </c>
      <c r="BQ46" s="64">
        <f t="shared" si="10"/>
        <v>0.1428571429</v>
      </c>
      <c r="BR46" s="64">
        <f t="shared" si="11"/>
        <v>0.2285714286</v>
      </c>
      <c r="BS46" s="64">
        <f t="shared" si="12"/>
        <v>0.08571428571</v>
      </c>
      <c r="BT46" s="64">
        <f t="shared" si="13"/>
        <v>0.02857142857</v>
      </c>
      <c r="BU46" s="64">
        <f t="shared" si="14"/>
        <v>0</v>
      </c>
      <c r="BV46" s="64">
        <f t="shared" si="15"/>
        <v>0.8571428571</v>
      </c>
      <c r="BW46" s="64">
        <f t="shared" ref="BW46:BX46" si="127">+BR46+BS46+BT46</f>
        <v>0.3428571429</v>
      </c>
      <c r="BX46" s="65">
        <f t="shared" si="127"/>
        <v>0.1142857143</v>
      </c>
    </row>
    <row r="47" ht="15.75" customHeight="1">
      <c r="A47" s="2"/>
      <c r="B47" s="33">
        <v>36.0</v>
      </c>
      <c r="C47" s="2">
        <v>0.0</v>
      </c>
      <c r="D47" s="3">
        <f t="shared" si="3"/>
        <v>1.25</v>
      </c>
      <c r="E47" s="2">
        <f t="shared" si="17"/>
        <v>19</v>
      </c>
      <c r="F47" s="2">
        <f t="shared" si="18"/>
        <v>8</v>
      </c>
      <c r="G47" s="2">
        <f t="shared" si="19"/>
        <v>6</v>
      </c>
      <c r="H47" s="2">
        <f t="shared" si="20"/>
        <v>22</v>
      </c>
      <c r="I47" s="2">
        <f t="shared" si="21"/>
        <v>11</v>
      </c>
      <c r="J47" s="2">
        <f t="shared" si="22"/>
        <v>11</v>
      </c>
      <c r="K47" s="2">
        <f t="shared" si="23"/>
        <v>14</v>
      </c>
      <c r="L47" s="2">
        <f t="shared" si="24"/>
        <v>5</v>
      </c>
      <c r="M47" s="34">
        <f t="shared" si="25"/>
        <v>3</v>
      </c>
      <c r="N47" s="2">
        <v>1.0</v>
      </c>
      <c r="O47" s="3">
        <f t="shared" si="4"/>
        <v>1.055555556</v>
      </c>
      <c r="P47" s="2">
        <f t="shared" si="26"/>
        <v>28</v>
      </c>
      <c r="Q47" s="2">
        <f t="shared" si="27"/>
        <v>10</v>
      </c>
      <c r="R47" s="2">
        <f t="shared" si="28"/>
        <v>0</v>
      </c>
      <c r="S47" s="2">
        <f t="shared" si="29"/>
        <v>28</v>
      </c>
      <c r="T47" s="2">
        <f t="shared" si="30"/>
        <v>10</v>
      </c>
      <c r="U47" s="2">
        <f t="shared" si="31"/>
        <v>8</v>
      </c>
      <c r="V47" s="2">
        <f t="shared" si="32"/>
        <v>18</v>
      </c>
      <c r="W47" s="2">
        <f t="shared" si="33"/>
        <v>10</v>
      </c>
      <c r="X47" s="34">
        <f t="shared" si="34"/>
        <v>0</v>
      </c>
      <c r="Y47" s="2">
        <v>2.0</v>
      </c>
      <c r="Z47" s="3">
        <f t="shared" si="5"/>
        <v>0.9166666667</v>
      </c>
      <c r="AA47" s="2">
        <f t="shared" si="35"/>
        <v>17</v>
      </c>
      <c r="AB47" s="2">
        <f t="shared" si="36"/>
        <v>10</v>
      </c>
      <c r="AC47" s="2">
        <f t="shared" si="37"/>
        <v>3</v>
      </c>
      <c r="AD47" s="2">
        <f t="shared" si="38"/>
        <v>20</v>
      </c>
      <c r="AE47" s="2">
        <f t="shared" si="39"/>
        <v>10</v>
      </c>
      <c r="AF47" s="2">
        <f t="shared" si="40"/>
        <v>16</v>
      </c>
      <c r="AG47" s="2">
        <f t="shared" si="41"/>
        <v>10</v>
      </c>
      <c r="AH47" s="2">
        <f t="shared" si="42"/>
        <v>7</v>
      </c>
      <c r="AI47" s="34">
        <f t="shared" si="43"/>
        <v>3</v>
      </c>
      <c r="AJ47" s="2">
        <v>0.0</v>
      </c>
      <c r="AK47" s="3">
        <f t="shared" si="6"/>
        <v>1.083333333</v>
      </c>
      <c r="AL47" s="2">
        <f t="shared" si="44"/>
        <v>24</v>
      </c>
      <c r="AM47" s="2">
        <f t="shared" si="45"/>
        <v>13</v>
      </c>
      <c r="AN47" s="2">
        <f t="shared" si="46"/>
        <v>1</v>
      </c>
      <c r="AO47" s="2">
        <f t="shared" si="47"/>
        <v>25</v>
      </c>
      <c r="AP47" s="2">
        <f t="shared" si="48"/>
        <v>13</v>
      </c>
      <c r="AQ47" s="2">
        <f t="shared" si="49"/>
        <v>11</v>
      </c>
      <c r="AR47" s="2">
        <f t="shared" si="50"/>
        <v>12</v>
      </c>
      <c r="AS47" s="2">
        <f t="shared" si="51"/>
        <v>12</v>
      </c>
      <c r="AT47" s="34">
        <f t="shared" si="52"/>
        <v>1</v>
      </c>
      <c r="AU47" s="35"/>
      <c r="AV47" s="3">
        <f t="shared" si="7"/>
        <v>1</v>
      </c>
      <c r="AW47" s="2">
        <f t="shared" si="53"/>
        <v>11</v>
      </c>
      <c r="AX47" s="2">
        <f t="shared" si="54"/>
        <v>4</v>
      </c>
      <c r="AY47" s="2">
        <f t="shared" si="55"/>
        <v>1</v>
      </c>
      <c r="AZ47" s="2">
        <f t="shared" si="56"/>
        <v>12</v>
      </c>
      <c r="BA47" s="2">
        <f t="shared" si="57"/>
        <v>4</v>
      </c>
      <c r="BB47" s="2">
        <f t="shared" si="58"/>
        <v>24</v>
      </c>
      <c r="BC47" s="2">
        <f t="shared" si="59"/>
        <v>8</v>
      </c>
      <c r="BD47" s="2">
        <f t="shared" si="60"/>
        <v>3</v>
      </c>
      <c r="BE47" s="2">
        <f t="shared" si="61"/>
        <v>1</v>
      </c>
      <c r="BF47" s="36">
        <f t="shared" ref="BF47:BO47" si="128">+(AK47+Z47+O47+D47)/4</f>
        <v>1.076388889</v>
      </c>
      <c r="BG47" s="2">
        <f t="shared" si="128"/>
        <v>22</v>
      </c>
      <c r="BH47" s="2">
        <f t="shared" si="128"/>
        <v>10.25</v>
      </c>
      <c r="BI47" s="2">
        <f t="shared" si="128"/>
        <v>2.5</v>
      </c>
      <c r="BJ47" s="2">
        <f t="shared" si="128"/>
        <v>23.75</v>
      </c>
      <c r="BK47" s="2">
        <f t="shared" si="128"/>
        <v>11</v>
      </c>
      <c r="BL47" s="2">
        <f t="shared" si="128"/>
        <v>11.5</v>
      </c>
      <c r="BM47" s="2">
        <f t="shared" si="128"/>
        <v>13.5</v>
      </c>
      <c r="BN47" s="2">
        <f t="shared" si="128"/>
        <v>8.5</v>
      </c>
      <c r="BO47" s="2">
        <f t="shared" si="128"/>
        <v>1.75</v>
      </c>
      <c r="BP47" s="37">
        <f t="shared" si="9"/>
        <v>-0.07638888889</v>
      </c>
      <c r="BQ47" s="66">
        <f t="shared" si="10"/>
        <v>0.1388888889</v>
      </c>
      <c r="BR47" s="66">
        <f t="shared" si="11"/>
        <v>0.2222222222</v>
      </c>
      <c r="BS47" s="66">
        <f t="shared" si="12"/>
        <v>0.08333333333</v>
      </c>
      <c r="BT47" s="66">
        <f t="shared" si="13"/>
        <v>0.02777777778</v>
      </c>
      <c r="BU47" s="66">
        <f t="shared" si="14"/>
        <v>0</v>
      </c>
      <c r="BV47" s="66">
        <f t="shared" si="15"/>
        <v>0.8611111111</v>
      </c>
      <c r="BW47" s="66">
        <f t="shared" ref="BW47:BX47" si="129">+BR47+BS47+BT47</f>
        <v>0.3333333333</v>
      </c>
      <c r="BX47" s="67">
        <f t="shared" si="129"/>
        <v>0.1111111111</v>
      </c>
    </row>
    <row r="48" ht="15.75" customHeight="1">
      <c r="A48" s="24"/>
      <c r="B48" s="40">
        <v>37.0</v>
      </c>
      <c r="C48" s="24">
        <v>1.0</v>
      </c>
      <c r="D48" s="27">
        <f t="shared" si="3"/>
        <v>1.243243243</v>
      </c>
      <c r="E48" s="24">
        <f t="shared" si="17"/>
        <v>20</v>
      </c>
      <c r="F48" s="2">
        <f t="shared" si="18"/>
        <v>8</v>
      </c>
      <c r="G48" s="24">
        <f t="shared" si="19"/>
        <v>6</v>
      </c>
      <c r="H48" s="24">
        <f t="shared" si="20"/>
        <v>23</v>
      </c>
      <c r="I48" s="24">
        <f t="shared" si="21"/>
        <v>11</v>
      </c>
      <c r="J48" s="24">
        <f t="shared" si="22"/>
        <v>11</v>
      </c>
      <c r="K48" s="24">
        <f t="shared" si="23"/>
        <v>15</v>
      </c>
      <c r="L48" s="24">
        <f t="shared" si="24"/>
        <v>5</v>
      </c>
      <c r="M48" s="28">
        <f t="shared" si="25"/>
        <v>3</v>
      </c>
      <c r="N48" s="24">
        <v>4.0</v>
      </c>
      <c r="O48" s="27">
        <f t="shared" si="4"/>
        <v>1.135135135</v>
      </c>
      <c r="P48" s="24">
        <f t="shared" si="26"/>
        <v>28</v>
      </c>
      <c r="Q48" s="2">
        <f t="shared" si="27"/>
        <v>10</v>
      </c>
      <c r="R48" s="24">
        <f t="shared" si="28"/>
        <v>1</v>
      </c>
      <c r="S48" s="24">
        <f t="shared" si="29"/>
        <v>28</v>
      </c>
      <c r="T48" s="24">
        <f t="shared" si="30"/>
        <v>11</v>
      </c>
      <c r="U48" s="24">
        <f t="shared" si="31"/>
        <v>8</v>
      </c>
      <c r="V48" s="24">
        <f t="shared" si="32"/>
        <v>18</v>
      </c>
      <c r="W48" s="24">
        <f t="shared" si="33"/>
        <v>10</v>
      </c>
      <c r="X48" s="28">
        <f t="shared" si="34"/>
        <v>0</v>
      </c>
      <c r="Y48" s="24">
        <v>3.0</v>
      </c>
      <c r="Z48" s="27">
        <f t="shared" si="5"/>
        <v>0.972972973</v>
      </c>
      <c r="AA48" s="24">
        <f t="shared" si="35"/>
        <v>17</v>
      </c>
      <c r="AB48" s="2">
        <f t="shared" si="36"/>
        <v>11</v>
      </c>
      <c r="AC48" s="24">
        <f t="shared" si="37"/>
        <v>4</v>
      </c>
      <c r="AD48" s="24">
        <f t="shared" si="38"/>
        <v>21</v>
      </c>
      <c r="AE48" s="24">
        <f t="shared" si="39"/>
        <v>11</v>
      </c>
      <c r="AF48" s="24">
        <f t="shared" si="40"/>
        <v>16</v>
      </c>
      <c r="AG48" s="24">
        <f t="shared" si="41"/>
        <v>10</v>
      </c>
      <c r="AH48" s="24">
        <f t="shared" si="42"/>
        <v>7</v>
      </c>
      <c r="AI48" s="28">
        <f t="shared" si="43"/>
        <v>4</v>
      </c>
      <c r="AJ48" s="24">
        <v>0.0</v>
      </c>
      <c r="AK48" s="27">
        <f t="shared" si="6"/>
        <v>1.054054054</v>
      </c>
      <c r="AL48" s="24">
        <f t="shared" si="44"/>
        <v>24</v>
      </c>
      <c r="AM48" s="2">
        <f t="shared" si="45"/>
        <v>13</v>
      </c>
      <c r="AN48" s="24">
        <f t="shared" si="46"/>
        <v>1</v>
      </c>
      <c r="AO48" s="24">
        <f t="shared" si="47"/>
        <v>25</v>
      </c>
      <c r="AP48" s="24">
        <f t="shared" si="48"/>
        <v>13</v>
      </c>
      <c r="AQ48" s="24">
        <f t="shared" si="49"/>
        <v>12</v>
      </c>
      <c r="AR48" s="24">
        <f t="shared" si="50"/>
        <v>12</v>
      </c>
      <c r="AS48" s="24">
        <f t="shared" si="51"/>
        <v>12</v>
      </c>
      <c r="AT48" s="28">
        <f t="shared" si="52"/>
        <v>1</v>
      </c>
      <c r="AU48" s="24"/>
      <c r="AV48" s="27">
        <f t="shared" si="7"/>
        <v>1</v>
      </c>
      <c r="AW48" s="24">
        <f t="shared" si="53"/>
        <v>11</v>
      </c>
      <c r="AX48" s="2">
        <f t="shared" si="54"/>
        <v>4</v>
      </c>
      <c r="AY48" s="24">
        <f t="shared" si="55"/>
        <v>1</v>
      </c>
      <c r="AZ48" s="24">
        <f t="shared" si="56"/>
        <v>12</v>
      </c>
      <c r="BA48" s="24">
        <f t="shared" si="57"/>
        <v>4</v>
      </c>
      <c r="BB48" s="24">
        <f t="shared" si="58"/>
        <v>25</v>
      </c>
      <c r="BC48" s="24">
        <f t="shared" si="59"/>
        <v>8</v>
      </c>
      <c r="BD48" s="24">
        <f t="shared" si="60"/>
        <v>3</v>
      </c>
      <c r="BE48" s="24">
        <f t="shared" si="61"/>
        <v>1</v>
      </c>
      <c r="BF48" s="29">
        <f t="shared" ref="BF48:BO48" si="130">+(AK48+Z48+O48+D48)/4</f>
        <v>1.101351351</v>
      </c>
      <c r="BG48" s="24">
        <f t="shared" si="130"/>
        <v>22.25</v>
      </c>
      <c r="BH48" s="24">
        <f t="shared" si="130"/>
        <v>10.5</v>
      </c>
      <c r="BI48" s="24">
        <f t="shared" si="130"/>
        <v>3</v>
      </c>
      <c r="BJ48" s="24">
        <f t="shared" si="130"/>
        <v>24.25</v>
      </c>
      <c r="BK48" s="24">
        <f t="shared" si="130"/>
        <v>11.5</v>
      </c>
      <c r="BL48" s="24">
        <f t="shared" si="130"/>
        <v>11.75</v>
      </c>
      <c r="BM48" s="24">
        <f t="shared" si="130"/>
        <v>13.75</v>
      </c>
      <c r="BN48" s="24">
        <f t="shared" si="130"/>
        <v>8.5</v>
      </c>
      <c r="BO48" s="24">
        <f t="shared" si="130"/>
        <v>2</v>
      </c>
      <c r="BP48" s="30">
        <f t="shared" si="9"/>
        <v>-0.1013513514</v>
      </c>
      <c r="BQ48" s="64">
        <f t="shared" si="10"/>
        <v>0.1351351351</v>
      </c>
      <c r="BR48" s="64">
        <f t="shared" si="11"/>
        <v>0.2162162162</v>
      </c>
      <c r="BS48" s="64">
        <f t="shared" si="12"/>
        <v>0.08108108108</v>
      </c>
      <c r="BT48" s="64">
        <f t="shared" si="13"/>
        <v>0.02702702703</v>
      </c>
      <c r="BU48" s="64">
        <f t="shared" si="14"/>
        <v>0</v>
      </c>
      <c r="BV48" s="64">
        <f t="shared" si="15"/>
        <v>0.8648648649</v>
      </c>
      <c r="BW48" s="64">
        <f t="shared" ref="BW48:BX48" si="131">+BR48+BS48+BT48</f>
        <v>0.3243243243</v>
      </c>
      <c r="BX48" s="65">
        <f t="shared" si="131"/>
        <v>0.1081081081</v>
      </c>
    </row>
    <row r="49" ht="15.75" customHeight="1">
      <c r="A49" s="2"/>
      <c r="B49" s="42">
        <v>38.0</v>
      </c>
      <c r="C49" s="2">
        <v>0.0</v>
      </c>
      <c r="D49" s="3">
        <f t="shared" si="3"/>
        <v>1.210526316</v>
      </c>
      <c r="E49" s="43">
        <f t="shared" si="17"/>
        <v>20</v>
      </c>
      <c r="F49" s="2">
        <f t="shared" si="18"/>
        <v>8</v>
      </c>
      <c r="G49" s="43">
        <f t="shared" si="19"/>
        <v>6</v>
      </c>
      <c r="H49" s="43">
        <f t="shared" si="20"/>
        <v>23</v>
      </c>
      <c r="I49" s="43">
        <f t="shared" si="21"/>
        <v>11</v>
      </c>
      <c r="J49" s="43">
        <f t="shared" si="22"/>
        <v>12</v>
      </c>
      <c r="K49" s="43">
        <f t="shared" si="23"/>
        <v>15</v>
      </c>
      <c r="L49" s="43">
        <f t="shared" si="24"/>
        <v>5</v>
      </c>
      <c r="M49" s="44">
        <f t="shared" si="25"/>
        <v>3</v>
      </c>
      <c r="N49" s="2">
        <v>0.0</v>
      </c>
      <c r="O49" s="3">
        <f t="shared" si="4"/>
        <v>1.105263158</v>
      </c>
      <c r="P49" s="43">
        <f t="shared" si="26"/>
        <v>28</v>
      </c>
      <c r="Q49" s="2">
        <f t="shared" si="27"/>
        <v>10</v>
      </c>
      <c r="R49" s="43">
        <f t="shared" si="28"/>
        <v>1</v>
      </c>
      <c r="S49" s="43">
        <f t="shared" si="29"/>
        <v>28</v>
      </c>
      <c r="T49" s="43">
        <f t="shared" si="30"/>
        <v>11</v>
      </c>
      <c r="U49" s="43">
        <f t="shared" si="31"/>
        <v>9</v>
      </c>
      <c r="V49" s="43">
        <f t="shared" si="32"/>
        <v>18</v>
      </c>
      <c r="W49" s="43">
        <f t="shared" si="33"/>
        <v>10</v>
      </c>
      <c r="X49" s="44">
        <f t="shared" si="34"/>
        <v>0</v>
      </c>
      <c r="Y49" s="2">
        <v>0.0</v>
      </c>
      <c r="Z49" s="3">
        <f t="shared" si="5"/>
        <v>0.9473684211</v>
      </c>
      <c r="AA49" s="43">
        <f t="shared" si="35"/>
        <v>17</v>
      </c>
      <c r="AB49" s="2">
        <f t="shared" si="36"/>
        <v>11</v>
      </c>
      <c r="AC49" s="43">
        <f t="shared" si="37"/>
        <v>4</v>
      </c>
      <c r="AD49" s="43">
        <f t="shared" si="38"/>
        <v>21</v>
      </c>
      <c r="AE49" s="43">
        <f t="shared" si="39"/>
        <v>11</v>
      </c>
      <c r="AF49" s="43">
        <f t="shared" si="40"/>
        <v>17</v>
      </c>
      <c r="AG49" s="43">
        <f t="shared" si="41"/>
        <v>10</v>
      </c>
      <c r="AH49" s="43">
        <f t="shared" si="42"/>
        <v>7</v>
      </c>
      <c r="AI49" s="44">
        <f t="shared" si="43"/>
        <v>4</v>
      </c>
      <c r="AJ49" s="2">
        <v>0.0</v>
      </c>
      <c r="AK49" s="3">
        <f t="shared" si="6"/>
        <v>1.026315789</v>
      </c>
      <c r="AL49" s="43">
        <f t="shared" si="44"/>
        <v>24</v>
      </c>
      <c r="AM49" s="2">
        <f t="shared" si="45"/>
        <v>13</v>
      </c>
      <c r="AN49" s="43">
        <f t="shared" si="46"/>
        <v>1</v>
      </c>
      <c r="AO49" s="43">
        <f t="shared" si="47"/>
        <v>25</v>
      </c>
      <c r="AP49" s="43">
        <f t="shared" si="48"/>
        <v>13</v>
      </c>
      <c r="AQ49" s="43">
        <f t="shared" si="49"/>
        <v>13</v>
      </c>
      <c r="AR49" s="43">
        <f t="shared" si="50"/>
        <v>12</v>
      </c>
      <c r="AS49" s="43">
        <f t="shared" si="51"/>
        <v>12</v>
      </c>
      <c r="AT49" s="44">
        <f t="shared" si="52"/>
        <v>1</v>
      </c>
      <c r="AU49" s="45"/>
      <c r="AV49" s="3">
        <f t="shared" si="7"/>
        <v>1</v>
      </c>
      <c r="AW49" s="43">
        <f t="shared" si="53"/>
        <v>11</v>
      </c>
      <c r="AX49" s="2">
        <f t="shared" si="54"/>
        <v>4</v>
      </c>
      <c r="AY49" s="43">
        <f t="shared" si="55"/>
        <v>1</v>
      </c>
      <c r="AZ49" s="43">
        <f t="shared" si="56"/>
        <v>12</v>
      </c>
      <c r="BA49" s="43">
        <f t="shared" si="57"/>
        <v>4</v>
      </c>
      <c r="BB49" s="43">
        <f t="shared" si="58"/>
        <v>26</v>
      </c>
      <c r="BC49" s="43">
        <f t="shared" si="59"/>
        <v>8</v>
      </c>
      <c r="BD49" s="43">
        <f t="shared" si="60"/>
        <v>3</v>
      </c>
      <c r="BE49" s="43">
        <f t="shared" si="61"/>
        <v>1</v>
      </c>
      <c r="BF49" s="46">
        <f t="shared" ref="BF49:BO49" si="132">+(AK49+Z49+O49+D49)/4</f>
        <v>1.072368421</v>
      </c>
      <c r="BG49" s="43">
        <f t="shared" si="132"/>
        <v>22.25</v>
      </c>
      <c r="BH49" s="43">
        <f t="shared" si="132"/>
        <v>10.5</v>
      </c>
      <c r="BI49" s="43">
        <f t="shared" si="132"/>
        <v>3</v>
      </c>
      <c r="BJ49" s="43">
        <f t="shared" si="132"/>
        <v>24.25</v>
      </c>
      <c r="BK49" s="43">
        <f t="shared" si="132"/>
        <v>11.5</v>
      </c>
      <c r="BL49" s="43">
        <f t="shared" si="132"/>
        <v>12.75</v>
      </c>
      <c r="BM49" s="43">
        <f t="shared" si="132"/>
        <v>13.75</v>
      </c>
      <c r="BN49" s="43">
        <f t="shared" si="132"/>
        <v>8.5</v>
      </c>
      <c r="BO49" s="43">
        <f t="shared" si="132"/>
        <v>2</v>
      </c>
      <c r="BP49" s="48">
        <f t="shared" si="9"/>
        <v>-0.07236842105</v>
      </c>
      <c r="BQ49" s="68">
        <f t="shared" si="10"/>
        <v>0.1315789474</v>
      </c>
      <c r="BR49" s="68">
        <f t="shared" si="11"/>
        <v>0.2105263158</v>
      </c>
      <c r="BS49" s="68">
        <f t="shared" si="12"/>
        <v>0.07894736842</v>
      </c>
      <c r="BT49" s="68">
        <f t="shared" si="13"/>
        <v>0.02631578947</v>
      </c>
      <c r="BU49" s="68">
        <f t="shared" si="14"/>
        <v>0</v>
      </c>
      <c r="BV49" s="68">
        <f t="shared" si="15"/>
        <v>0.8684210526</v>
      </c>
      <c r="BW49" s="68">
        <f t="shared" ref="BW49:BX49" si="133">+BR49+BS49+BT49</f>
        <v>0.3157894737</v>
      </c>
      <c r="BX49" s="69">
        <f t="shared" si="133"/>
        <v>0.1052631579</v>
      </c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17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</row>
  </sheetData>
  <mergeCells count="7">
    <mergeCell ref="B10:M10"/>
    <mergeCell ref="N10:X10"/>
    <mergeCell ref="Y10:AI10"/>
    <mergeCell ref="AJ10:AT10"/>
    <mergeCell ref="AU10:BE10"/>
    <mergeCell ref="BF10:BO10"/>
    <mergeCell ref="BP10:BX1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2" width="8.71"/>
    <col customWidth="1" min="3" max="4" width="9.14"/>
    <col customWidth="1" min="5" max="6" width="9.43"/>
    <col customWidth="1" min="7" max="7" width="12.0"/>
    <col customWidth="1" min="8" max="8" width="9.43"/>
    <col customWidth="1" min="9" max="15" width="9.14"/>
    <col customWidth="1" min="16" max="17" width="9.43"/>
    <col customWidth="1" min="18" max="18" width="12.0"/>
    <col customWidth="1" min="19" max="19" width="9.43"/>
    <col customWidth="1" min="20" max="26" width="9.14"/>
    <col customWidth="1" min="27" max="28" width="9.43"/>
    <col customWidth="1" min="29" max="29" width="7.57"/>
    <col customWidth="1" min="30" max="30" width="9.43"/>
    <col customWidth="1" min="31" max="31" width="9.14"/>
    <col customWidth="1" min="32" max="32" width="7.29"/>
    <col customWidth="1" min="33" max="33" width="6.57"/>
    <col customWidth="1" min="34" max="34" width="6.29"/>
    <col customWidth="1" min="35" max="44" width="9.14"/>
    <col customWidth="1" min="45" max="45" width="11.57"/>
    <col customWidth="1" min="46" max="51" width="9.14"/>
    <col customWidth="1" min="52" max="52" width="10.43"/>
    <col customWidth="1" min="53" max="53" width="10.86"/>
    <col customWidth="1" min="54" max="54" width="12.86"/>
    <col customWidth="1" min="55" max="55" width="9.14"/>
    <col customWidth="1" min="56" max="57" width="8.71"/>
    <col customWidth="1" min="58" max="58" width="9.14"/>
    <col customWidth="1" min="59" max="59" width="9.43"/>
    <col customWidth="1" min="60" max="60" width="7.43"/>
    <col customWidth="1" min="61" max="61" width="8.14"/>
    <col customWidth="1" min="62" max="62" width="8.86"/>
    <col customWidth="1" min="63" max="63" width="10.43"/>
    <col customWidth="1" min="64" max="64" width="13.71"/>
  </cols>
  <sheetData>
    <row r="1" ht="15.0" customHeight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ht="15.0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ht="15.0" customHeight="1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ht="15.0" customHeight="1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ht="15.0" customHeight="1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ht="15.0" customHeight="1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</row>
    <row r="7" ht="15.0" customHeight="1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</row>
    <row r="8" ht="15.0" customHeight="1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</row>
    <row r="9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3"/>
      <c r="AT9" s="3"/>
      <c r="AU9" s="2"/>
      <c r="AV9" s="2"/>
      <c r="AW9" s="2"/>
      <c r="AX9" s="2"/>
      <c r="AY9" s="2"/>
      <c r="AZ9" s="2"/>
      <c r="BA9" s="2"/>
      <c r="BB9" s="2"/>
      <c r="BC9" s="2"/>
    </row>
    <row r="10">
      <c r="B10" s="4" t="s">
        <v>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1"/>
      <c r="N10" s="7" t="s">
        <v>3</v>
      </c>
      <c r="O10" s="5"/>
      <c r="P10" s="5"/>
      <c r="Q10" s="5"/>
      <c r="R10" s="5"/>
      <c r="S10" s="5"/>
      <c r="T10" s="5"/>
      <c r="U10" s="5"/>
      <c r="V10" s="5"/>
      <c r="W10" s="5"/>
      <c r="X10" s="6"/>
      <c r="Y10" s="7" t="s">
        <v>4</v>
      </c>
      <c r="Z10" s="5"/>
      <c r="AA10" s="5"/>
      <c r="AB10" s="5"/>
      <c r="AC10" s="5"/>
      <c r="AD10" s="5"/>
      <c r="AE10" s="5"/>
      <c r="AF10" s="5"/>
      <c r="AG10" s="5"/>
      <c r="AH10" s="5"/>
      <c r="AI10" s="6"/>
      <c r="AJ10" s="8" t="s">
        <v>5</v>
      </c>
      <c r="AK10" s="5"/>
      <c r="AL10" s="5"/>
      <c r="AM10" s="5"/>
      <c r="AN10" s="5"/>
      <c r="AO10" s="5"/>
      <c r="AP10" s="5"/>
      <c r="AQ10" s="5"/>
      <c r="AR10" s="5"/>
      <c r="AS10" s="51"/>
      <c r="AT10" s="13" t="s">
        <v>6</v>
      </c>
      <c r="AU10" s="14"/>
      <c r="AV10" s="14"/>
      <c r="AW10" s="14"/>
      <c r="AX10" s="14"/>
      <c r="AY10" s="14"/>
      <c r="AZ10" s="14"/>
      <c r="BA10" s="14"/>
      <c r="BB10" s="15"/>
    </row>
    <row r="11">
      <c r="B11" s="70"/>
      <c r="C11" s="2"/>
      <c r="D11" s="71" t="s">
        <v>7</v>
      </c>
      <c r="E11" s="72" t="s">
        <v>8</v>
      </c>
      <c r="F11" s="19" t="s">
        <v>9</v>
      </c>
      <c r="G11" s="72" t="s">
        <v>10</v>
      </c>
      <c r="H11" s="72" t="s">
        <v>11</v>
      </c>
      <c r="I11" s="72" t="s">
        <v>12</v>
      </c>
      <c r="J11" s="72" t="s">
        <v>13</v>
      </c>
      <c r="K11" s="72" t="s">
        <v>14</v>
      </c>
      <c r="L11" s="72" t="s">
        <v>15</v>
      </c>
      <c r="M11" s="73" t="s">
        <v>16</v>
      </c>
      <c r="N11" s="17"/>
      <c r="O11" s="18" t="s">
        <v>7</v>
      </c>
      <c r="P11" s="19" t="s">
        <v>8</v>
      </c>
      <c r="Q11" s="19" t="s">
        <v>9</v>
      </c>
      <c r="R11" s="19" t="s">
        <v>10</v>
      </c>
      <c r="S11" s="19" t="s">
        <v>11</v>
      </c>
      <c r="T11" s="19" t="s">
        <v>12</v>
      </c>
      <c r="U11" s="19" t="s">
        <v>13</v>
      </c>
      <c r="V11" s="19" t="s">
        <v>14</v>
      </c>
      <c r="W11" s="19" t="s">
        <v>15</v>
      </c>
      <c r="X11" s="20" t="s">
        <v>16</v>
      </c>
      <c r="Y11" s="17"/>
      <c r="Z11" s="18" t="s">
        <v>7</v>
      </c>
      <c r="AA11" s="19" t="s">
        <v>8</v>
      </c>
      <c r="AB11" s="19" t="s">
        <v>9</v>
      </c>
      <c r="AC11" s="19" t="s">
        <v>10</v>
      </c>
      <c r="AD11" s="19" t="s">
        <v>11</v>
      </c>
      <c r="AE11" s="19" t="s">
        <v>12</v>
      </c>
      <c r="AF11" s="19" t="s">
        <v>13</v>
      </c>
      <c r="AG11" s="19" t="s">
        <v>14</v>
      </c>
      <c r="AH11" s="19" t="s">
        <v>15</v>
      </c>
      <c r="AI11" s="20" t="s">
        <v>16</v>
      </c>
      <c r="AJ11" s="18" t="s">
        <v>7</v>
      </c>
      <c r="AK11" s="19" t="s">
        <v>8</v>
      </c>
      <c r="AL11" s="19" t="s">
        <v>9</v>
      </c>
      <c r="AM11" s="19" t="s">
        <v>10</v>
      </c>
      <c r="AN11" s="19" t="s">
        <v>11</v>
      </c>
      <c r="AO11" s="19" t="s">
        <v>12</v>
      </c>
      <c r="AP11" s="19" t="s">
        <v>13</v>
      </c>
      <c r="AQ11" s="19" t="s">
        <v>14</v>
      </c>
      <c r="AR11" s="19" t="s">
        <v>15</v>
      </c>
      <c r="AS11" s="59" t="s">
        <v>16</v>
      </c>
      <c r="AT11" s="21" t="s">
        <v>17</v>
      </c>
      <c r="AU11" s="18" t="s">
        <v>18</v>
      </c>
      <c r="AV11" s="18" t="s">
        <v>19</v>
      </c>
      <c r="AW11" s="18" t="s">
        <v>20</v>
      </c>
      <c r="AX11" s="18" t="s">
        <v>21</v>
      </c>
      <c r="AY11" s="18" t="s">
        <v>22</v>
      </c>
      <c r="AZ11" s="22" t="s">
        <v>23</v>
      </c>
      <c r="BA11" s="18" t="s">
        <v>24</v>
      </c>
      <c r="BB11" s="52" t="s">
        <v>25</v>
      </c>
    </row>
    <row r="12">
      <c r="A12" s="60"/>
      <c r="B12" s="25">
        <v>1.0</v>
      </c>
      <c r="C12" s="74">
        <v>0.0</v>
      </c>
      <c r="D12" s="27">
        <f t="shared" ref="D12:D49" si="3">AVERAGE($C$12:C12)</f>
        <v>0</v>
      </c>
      <c r="E12" s="24">
        <f>IF(AND(C12&gt;=1,C12&lt;=2),1,0)</f>
        <v>0</v>
      </c>
      <c r="F12" s="24">
        <f>IF(AND(C12&gt;=2,C12&lt;=3),1,0)</f>
        <v>0</v>
      </c>
      <c r="G12" s="24">
        <f>IF(AND(C12&gt;=3,C12&lt;=4),1,0)</f>
        <v>0</v>
      </c>
      <c r="H12" s="24">
        <f>IF(AND(C12&gt;=1,C12&lt;=3),1,0)</f>
        <v>0</v>
      </c>
      <c r="I12" s="24">
        <f>IF(AND(C12&gt;=2,C12&lt;=4),1,0)</f>
        <v>0</v>
      </c>
      <c r="J12" s="24">
        <f>IF((C12=0),1,0)</f>
        <v>1</v>
      </c>
      <c r="K12" s="24">
        <f>IF((C12=1),1,0)</f>
        <v>0</v>
      </c>
      <c r="L12" s="24">
        <f>IF((C12=2),1,0)</f>
        <v>0</v>
      </c>
      <c r="M12" s="28">
        <f>IF((C12=3),1,0)</f>
        <v>0</v>
      </c>
      <c r="N12" s="24">
        <v>1.0</v>
      </c>
      <c r="O12" s="27">
        <f t="shared" ref="O12:O49" si="4">AVERAGE($N$12:N12)</f>
        <v>1</v>
      </c>
      <c r="P12" s="24">
        <f>IF(AND(N12&gt;=1,N12&lt;=2),1,0)</f>
        <v>1</v>
      </c>
      <c r="Q12" s="24">
        <f>IF(AND(N12&gt;=2,N12&lt;=3),1,0)</f>
        <v>0</v>
      </c>
      <c r="R12" s="24">
        <f>IF(AND(N12&gt;=3,N12&lt;=4),1,0)</f>
        <v>0</v>
      </c>
      <c r="S12" s="24">
        <f>IF(AND(N12&gt;=1,N12&lt;=3),1,0)</f>
        <v>1</v>
      </c>
      <c r="T12" s="24">
        <f>IF(AND(N12&gt;=2,N12&lt;=4),1,0)</f>
        <v>0</v>
      </c>
      <c r="U12" s="24">
        <f>IF((N12=0),1,0)</f>
        <v>0</v>
      </c>
      <c r="V12" s="24">
        <f>IF((N12=1),1,0)</f>
        <v>1</v>
      </c>
      <c r="W12" s="24">
        <f>IF((N12=2),1,0)</f>
        <v>0</v>
      </c>
      <c r="X12" s="28">
        <f>IF((N12=3),1,0)</f>
        <v>0</v>
      </c>
      <c r="Y12" s="24">
        <v>0.0</v>
      </c>
      <c r="Z12" s="27">
        <f t="shared" ref="Z12:Z49" si="5">AVERAGE($Y$12:Y12)</f>
        <v>0</v>
      </c>
      <c r="AA12" s="24">
        <f>IF(AND(Y12&gt;=1,Y12&lt;=2),1,0)</f>
        <v>0</v>
      </c>
      <c r="AB12" s="24">
        <f>IF(AND(Y12&gt;=2,Y12&lt;=3),1,0)</f>
        <v>0</v>
      </c>
      <c r="AC12" s="24">
        <f>IF(AND(Y12&gt;=3,Y12&lt;=4),1,0)</f>
        <v>0</v>
      </c>
      <c r="AD12" s="24">
        <f>IF(AND(Y12&gt;=1,Y12&lt;=3),1,0)</f>
        <v>0</v>
      </c>
      <c r="AE12" s="24">
        <f>IF(AND(Y12&gt;=2,Y12&lt;=4),1,0)</f>
        <v>0</v>
      </c>
      <c r="AF12" s="24">
        <f>IF((Y12=0),1,0)</f>
        <v>1</v>
      </c>
      <c r="AG12" s="24">
        <f>IF((Y12=1),1,0)</f>
        <v>0</v>
      </c>
      <c r="AH12" s="24">
        <f>IF((Y12=2),1,0)</f>
        <v>0</v>
      </c>
      <c r="AI12" s="28">
        <f>IF((Y12=3),1,0)</f>
        <v>0</v>
      </c>
      <c r="AJ12" s="29">
        <f t="shared" ref="AJ12:AR12" si="1">+(O12+D12)/2</f>
        <v>0.5</v>
      </c>
      <c r="AK12" s="24">
        <f t="shared" si="1"/>
        <v>0.5</v>
      </c>
      <c r="AL12" s="24">
        <f t="shared" si="1"/>
        <v>0</v>
      </c>
      <c r="AM12" s="24">
        <f t="shared" si="1"/>
        <v>0</v>
      </c>
      <c r="AN12" s="24">
        <f t="shared" si="1"/>
        <v>0.5</v>
      </c>
      <c r="AO12" s="24">
        <f t="shared" si="1"/>
        <v>0</v>
      </c>
      <c r="AP12" s="24">
        <f t="shared" si="1"/>
        <v>0.5</v>
      </c>
      <c r="AQ12" s="24">
        <f t="shared" si="1"/>
        <v>0.5</v>
      </c>
      <c r="AR12" s="24">
        <f t="shared" si="1"/>
        <v>0</v>
      </c>
      <c r="AS12" s="61"/>
      <c r="AT12" s="30">
        <f t="shared" ref="AT12:AT49" si="7">+Z12-AJ12</f>
        <v>-0.5</v>
      </c>
      <c r="AU12" s="31">
        <f t="shared" ref="AU12:AU49" si="8">COUNTIF($Y$12:Y12,0)/B12</f>
        <v>1</v>
      </c>
      <c r="AV12" s="31">
        <f t="shared" ref="AV12:AV49" si="9">(COUNTIF($Y$12:Y12,1))/B12</f>
        <v>0</v>
      </c>
      <c r="AW12" s="31">
        <f t="shared" ref="AW12:AW49" si="10">(COUNTIF($Y$12:Y12,2))/B12</f>
        <v>0</v>
      </c>
      <c r="AX12" s="31">
        <f t="shared" ref="AX12:AX49" si="11">(COUNTIF($Y$12:Y12,3))/B12</f>
        <v>0</v>
      </c>
      <c r="AY12" s="31">
        <f t="shared" ref="AY12:AY49" si="12">(COUNTIF($Y$12:Y12,"&gt;=4"))/B12</f>
        <v>0</v>
      </c>
      <c r="AZ12" s="31">
        <f t="shared" ref="AZ12:AZ49" si="13">1-AU12</f>
        <v>0</v>
      </c>
      <c r="BA12" s="31">
        <f t="shared" ref="BA12:BB12" si="2">+AV12+AW12+AX12</f>
        <v>0</v>
      </c>
      <c r="BB12" s="32">
        <f t="shared" si="2"/>
        <v>0</v>
      </c>
      <c r="BC12" s="60"/>
      <c r="BD12" s="60"/>
      <c r="BE12" s="60"/>
      <c r="BF12" s="60"/>
      <c r="BG12" s="60"/>
      <c r="BH12" s="60"/>
      <c r="BI12" s="60"/>
      <c r="BJ12" s="60"/>
      <c r="BK12" s="60"/>
      <c r="BL12" s="60"/>
    </row>
    <row r="13">
      <c r="B13" s="33">
        <v>2.0</v>
      </c>
      <c r="C13" s="75">
        <v>1.0</v>
      </c>
      <c r="D13" s="3">
        <f t="shared" si="3"/>
        <v>0.5</v>
      </c>
      <c r="E13" s="2">
        <f t="shared" ref="E13:E49" si="15">IF(AND(C13&gt;=1,C13&lt;=2),(E12+1),E12)</f>
        <v>1</v>
      </c>
      <c r="F13" s="2">
        <f t="shared" ref="F13:F49" si="16">IF(AND(C13&gt;=2,C13&lt;=3),(F12+1),F12)</f>
        <v>0</v>
      </c>
      <c r="G13" s="2">
        <f t="shared" ref="G13:G49" si="17">IF(AND(C13&gt;=3,C13&lt;=4),(G12+1),G12)</f>
        <v>0</v>
      </c>
      <c r="H13" s="2">
        <f t="shared" ref="H13:H49" si="18">IF(AND(C13&gt;=1,C13&lt;=3),(H12+1),H12)</f>
        <v>1</v>
      </c>
      <c r="I13" s="2">
        <f t="shared" ref="I13:I49" si="19">IF(AND(C13&gt;=2,C13&lt;=4),(I12+1),I12)</f>
        <v>0</v>
      </c>
      <c r="J13" s="2">
        <f t="shared" ref="J13:J49" si="20">IF((C13=0),(J12+1),J12)</f>
        <v>1</v>
      </c>
      <c r="K13" s="2">
        <f t="shared" ref="K13:K49" si="21">IF((C13=1),(K12+1),K12)</f>
        <v>1</v>
      </c>
      <c r="L13" s="2">
        <f t="shared" ref="L13:L49" si="22">IF((C13=2),(L12+1),L12)</f>
        <v>0</v>
      </c>
      <c r="M13" s="34">
        <f t="shared" ref="M13:M49" si="23">IF((C13=3),(M12+1),M12)</f>
        <v>0</v>
      </c>
      <c r="N13" s="2">
        <v>0.0</v>
      </c>
      <c r="O13" s="3">
        <f t="shared" si="4"/>
        <v>0.5</v>
      </c>
      <c r="P13" s="2">
        <f t="shared" ref="P13:P49" si="24">IF(AND(N13&gt;=1,N13&lt;=2),(P12+1),P12)</f>
        <v>1</v>
      </c>
      <c r="Q13" s="2">
        <f t="shared" ref="Q13:Q49" si="25">IF(AND(N13&gt;=2,N13&lt;=3),(Q12+1),Q12)</f>
        <v>0</v>
      </c>
      <c r="R13" s="2">
        <f t="shared" ref="R13:R49" si="26">IF(AND(N13&gt;=3,N13&lt;=4),(R12+1),R12)</f>
        <v>0</v>
      </c>
      <c r="S13" s="2">
        <f t="shared" ref="S13:S49" si="27">IF(AND(N13&gt;=1,N13&lt;=3),(S12+1),S12)</f>
        <v>1</v>
      </c>
      <c r="T13" s="2">
        <f t="shared" ref="T13:T49" si="28">IF(AND(N13&gt;=2,N13&lt;=4),(T12+1),T12)</f>
        <v>0</v>
      </c>
      <c r="U13" s="2">
        <f t="shared" ref="U13:U49" si="29">IF((N13=0),(U12+1),U12)</f>
        <v>1</v>
      </c>
      <c r="V13" s="2">
        <f t="shared" ref="V13:V49" si="30">IF((N13=1),(V12+1),V12)</f>
        <v>1</v>
      </c>
      <c r="W13" s="2">
        <f t="shared" ref="W13:W49" si="31">IF((N13=2),(W12+1),W12)</f>
        <v>0</v>
      </c>
      <c r="X13" s="34">
        <f t="shared" ref="X13:X49" si="32">IF((N13=3),(X12+1),X12)</f>
        <v>0</v>
      </c>
      <c r="Y13" s="2">
        <v>1.0</v>
      </c>
      <c r="Z13" s="3">
        <f t="shared" si="5"/>
        <v>0.5</v>
      </c>
      <c r="AA13" s="2">
        <f t="shared" ref="AA13:AA49" si="33">IF(AND(Y13&gt;=1,Y13&lt;=2),(AA12+1),AA12)</f>
        <v>1</v>
      </c>
      <c r="AB13" s="2">
        <f t="shared" ref="AB13:AB49" si="34">IF(AND(Y13&gt;=2,Y13&lt;=3),(AB12+1),AB12)</f>
        <v>0</v>
      </c>
      <c r="AC13" s="2">
        <f t="shared" ref="AC13:AC49" si="35">IF(AND(Y13&gt;=3,Y13&lt;=4),(AC12+1),AC12)</f>
        <v>0</v>
      </c>
      <c r="AD13" s="2">
        <f t="shared" ref="AD13:AD49" si="36">IF(AND(Y13&gt;=1,Y13&lt;=3),(AD12+1),AD12)</f>
        <v>1</v>
      </c>
      <c r="AE13" s="2">
        <f t="shared" ref="AE13:AE49" si="37">IF(AND(Y13&gt;=2,Y13&lt;=4),(AE12+1),AE12)</f>
        <v>0</v>
      </c>
      <c r="AF13" s="2">
        <f t="shared" ref="AF13:AF49" si="38">IF((Y13=0),(AF12+1),AF12)</f>
        <v>1</v>
      </c>
      <c r="AG13" s="2">
        <f t="shared" ref="AG13:AG49" si="39">IF((Y13=1),(AG12+1),AG12)</f>
        <v>1</v>
      </c>
      <c r="AH13" s="2">
        <f t="shared" ref="AH13:AH49" si="40">IF((Y13=2),(AH12+1),AH12)</f>
        <v>0</v>
      </c>
      <c r="AI13" s="34">
        <f t="shared" ref="AI13:AI49" si="41">IF((Y13=3),(AI12+1),AI12)</f>
        <v>0</v>
      </c>
      <c r="AJ13" s="36">
        <f t="shared" ref="AJ13:AS13" si="6">+(O13+D13)/2</f>
        <v>0.5</v>
      </c>
      <c r="AK13" s="2">
        <f t="shared" si="6"/>
        <v>1</v>
      </c>
      <c r="AL13" s="2">
        <f t="shared" si="6"/>
        <v>0</v>
      </c>
      <c r="AM13" s="2">
        <f t="shared" si="6"/>
        <v>0</v>
      </c>
      <c r="AN13" s="2">
        <f t="shared" si="6"/>
        <v>1</v>
      </c>
      <c r="AO13" s="2">
        <f t="shared" si="6"/>
        <v>0</v>
      </c>
      <c r="AP13" s="2">
        <f t="shared" si="6"/>
        <v>1</v>
      </c>
      <c r="AQ13" s="2">
        <f t="shared" si="6"/>
        <v>1</v>
      </c>
      <c r="AR13" s="2">
        <f t="shared" si="6"/>
        <v>0</v>
      </c>
      <c r="AS13" s="62">
        <f t="shared" si="6"/>
        <v>0</v>
      </c>
      <c r="AT13" s="37">
        <f t="shared" si="7"/>
        <v>0</v>
      </c>
      <c r="AU13" s="38">
        <f t="shared" si="8"/>
        <v>0.5</v>
      </c>
      <c r="AV13" s="38">
        <f t="shared" si="9"/>
        <v>0.5</v>
      </c>
      <c r="AW13" s="38">
        <f t="shared" si="10"/>
        <v>0</v>
      </c>
      <c r="AX13" s="38">
        <f t="shared" si="11"/>
        <v>0</v>
      </c>
      <c r="AY13" s="38">
        <f t="shared" si="12"/>
        <v>0</v>
      </c>
      <c r="AZ13" s="38">
        <f t="shared" si="13"/>
        <v>0.5</v>
      </c>
      <c r="BA13" s="38">
        <f t="shared" ref="BA13:BB13" si="14">+AV13+AW13+AX13</f>
        <v>0.5</v>
      </c>
      <c r="BB13" s="39">
        <f t="shared" si="14"/>
        <v>0</v>
      </c>
    </row>
    <row r="14">
      <c r="A14" s="60"/>
      <c r="B14" s="40">
        <v>3.0</v>
      </c>
      <c r="C14" s="74">
        <v>2.0</v>
      </c>
      <c r="D14" s="27">
        <f t="shared" si="3"/>
        <v>1</v>
      </c>
      <c r="E14" s="24">
        <f t="shared" si="15"/>
        <v>2</v>
      </c>
      <c r="F14" s="2">
        <f t="shared" si="16"/>
        <v>1</v>
      </c>
      <c r="G14" s="24">
        <f t="shared" si="17"/>
        <v>0</v>
      </c>
      <c r="H14" s="24">
        <f t="shared" si="18"/>
        <v>2</v>
      </c>
      <c r="I14" s="24">
        <f t="shared" si="19"/>
        <v>1</v>
      </c>
      <c r="J14" s="24">
        <f t="shared" si="20"/>
        <v>1</v>
      </c>
      <c r="K14" s="24">
        <f t="shared" si="21"/>
        <v>1</v>
      </c>
      <c r="L14" s="24">
        <f t="shared" si="22"/>
        <v>1</v>
      </c>
      <c r="M14" s="28">
        <f t="shared" si="23"/>
        <v>0</v>
      </c>
      <c r="N14" s="24">
        <v>1.0</v>
      </c>
      <c r="O14" s="27">
        <f t="shared" si="4"/>
        <v>0.6666666667</v>
      </c>
      <c r="P14" s="24">
        <f t="shared" si="24"/>
        <v>2</v>
      </c>
      <c r="Q14" s="2">
        <f t="shared" si="25"/>
        <v>0</v>
      </c>
      <c r="R14" s="24">
        <f t="shared" si="26"/>
        <v>0</v>
      </c>
      <c r="S14" s="24">
        <f t="shared" si="27"/>
        <v>2</v>
      </c>
      <c r="T14" s="24">
        <f t="shared" si="28"/>
        <v>0</v>
      </c>
      <c r="U14" s="24">
        <f t="shared" si="29"/>
        <v>1</v>
      </c>
      <c r="V14" s="24">
        <f t="shared" si="30"/>
        <v>2</v>
      </c>
      <c r="W14" s="24">
        <f t="shared" si="31"/>
        <v>0</v>
      </c>
      <c r="X14" s="28">
        <f t="shared" si="32"/>
        <v>0</v>
      </c>
      <c r="Y14" s="24">
        <v>0.0</v>
      </c>
      <c r="Z14" s="27">
        <f t="shared" si="5"/>
        <v>0.3333333333</v>
      </c>
      <c r="AA14" s="24">
        <f t="shared" si="33"/>
        <v>1</v>
      </c>
      <c r="AB14" s="2">
        <f t="shared" si="34"/>
        <v>0</v>
      </c>
      <c r="AC14" s="24">
        <f t="shared" si="35"/>
        <v>0</v>
      </c>
      <c r="AD14" s="24">
        <f t="shared" si="36"/>
        <v>1</v>
      </c>
      <c r="AE14" s="24">
        <f t="shared" si="37"/>
        <v>0</v>
      </c>
      <c r="AF14" s="24">
        <f t="shared" si="38"/>
        <v>2</v>
      </c>
      <c r="AG14" s="24">
        <f t="shared" si="39"/>
        <v>1</v>
      </c>
      <c r="AH14" s="24">
        <f t="shared" si="40"/>
        <v>0</v>
      </c>
      <c r="AI14" s="28">
        <f t="shared" si="41"/>
        <v>0</v>
      </c>
      <c r="AJ14" s="29">
        <f t="shared" ref="AJ14:AS14" si="42">+(O14+D14)/2</f>
        <v>0.8333333333</v>
      </c>
      <c r="AK14" s="24">
        <f t="shared" si="42"/>
        <v>2</v>
      </c>
      <c r="AL14" s="2">
        <f t="shared" si="42"/>
        <v>0.5</v>
      </c>
      <c r="AM14" s="24">
        <f t="shared" si="42"/>
        <v>0</v>
      </c>
      <c r="AN14" s="24">
        <f t="shared" si="42"/>
        <v>2</v>
      </c>
      <c r="AO14" s="24">
        <f t="shared" si="42"/>
        <v>0.5</v>
      </c>
      <c r="AP14" s="24">
        <f t="shared" si="42"/>
        <v>1</v>
      </c>
      <c r="AQ14" s="24">
        <f t="shared" si="42"/>
        <v>1.5</v>
      </c>
      <c r="AR14" s="24">
        <f t="shared" si="42"/>
        <v>0.5</v>
      </c>
      <c r="AS14" s="61">
        <f t="shared" si="42"/>
        <v>0</v>
      </c>
      <c r="AT14" s="30">
        <f t="shared" si="7"/>
        <v>-0.5</v>
      </c>
      <c r="AU14" s="31">
        <f t="shared" si="8"/>
        <v>0.6666666667</v>
      </c>
      <c r="AV14" s="31">
        <f t="shared" si="9"/>
        <v>0.3333333333</v>
      </c>
      <c r="AW14" s="31">
        <f t="shared" si="10"/>
        <v>0</v>
      </c>
      <c r="AX14" s="31">
        <f t="shared" si="11"/>
        <v>0</v>
      </c>
      <c r="AY14" s="31">
        <f t="shared" si="12"/>
        <v>0</v>
      </c>
      <c r="AZ14" s="31">
        <f t="shared" si="13"/>
        <v>0.3333333333</v>
      </c>
      <c r="BA14" s="31">
        <f t="shared" ref="BA14:BB14" si="43">+AV14+AW14+AX14</f>
        <v>0.3333333333</v>
      </c>
      <c r="BB14" s="32">
        <f t="shared" si="43"/>
        <v>0</v>
      </c>
      <c r="BC14" s="60"/>
      <c r="BD14" s="60"/>
      <c r="BE14" s="60"/>
      <c r="BF14" s="60"/>
      <c r="BG14" s="60"/>
      <c r="BH14" s="60"/>
      <c r="BI14" s="60"/>
      <c r="BJ14" s="60"/>
      <c r="BK14" s="60"/>
      <c r="BL14" s="60"/>
    </row>
    <row r="15">
      <c r="B15" s="33">
        <v>4.0</v>
      </c>
      <c r="C15" s="75">
        <v>0.0</v>
      </c>
      <c r="D15" s="3">
        <f t="shared" si="3"/>
        <v>0.75</v>
      </c>
      <c r="E15" s="2">
        <f t="shared" si="15"/>
        <v>2</v>
      </c>
      <c r="F15" s="2">
        <f t="shared" si="16"/>
        <v>1</v>
      </c>
      <c r="G15" s="2">
        <f t="shared" si="17"/>
        <v>0</v>
      </c>
      <c r="H15" s="2">
        <f t="shared" si="18"/>
        <v>2</v>
      </c>
      <c r="I15" s="2">
        <f t="shared" si="19"/>
        <v>1</v>
      </c>
      <c r="J15" s="2">
        <f t="shared" si="20"/>
        <v>2</v>
      </c>
      <c r="K15" s="2">
        <f t="shared" si="21"/>
        <v>1</v>
      </c>
      <c r="L15" s="2">
        <f t="shared" si="22"/>
        <v>1</v>
      </c>
      <c r="M15" s="34">
        <f t="shared" si="23"/>
        <v>0</v>
      </c>
      <c r="N15" s="2">
        <v>2.0</v>
      </c>
      <c r="O15" s="3">
        <f t="shared" si="4"/>
        <v>1</v>
      </c>
      <c r="P15" s="2">
        <f t="shared" si="24"/>
        <v>3</v>
      </c>
      <c r="Q15" s="2">
        <f t="shared" si="25"/>
        <v>1</v>
      </c>
      <c r="R15" s="2">
        <f t="shared" si="26"/>
        <v>0</v>
      </c>
      <c r="S15" s="2">
        <f t="shared" si="27"/>
        <v>3</v>
      </c>
      <c r="T15" s="2">
        <f t="shared" si="28"/>
        <v>1</v>
      </c>
      <c r="U15" s="2">
        <f t="shared" si="29"/>
        <v>1</v>
      </c>
      <c r="V15" s="2">
        <f t="shared" si="30"/>
        <v>2</v>
      </c>
      <c r="W15" s="2">
        <f t="shared" si="31"/>
        <v>1</v>
      </c>
      <c r="X15" s="34">
        <f t="shared" si="32"/>
        <v>0</v>
      </c>
      <c r="Y15" s="2">
        <v>2.0</v>
      </c>
      <c r="Z15" s="3">
        <f t="shared" si="5"/>
        <v>0.75</v>
      </c>
      <c r="AA15" s="2">
        <f t="shared" si="33"/>
        <v>2</v>
      </c>
      <c r="AB15" s="2">
        <f t="shared" si="34"/>
        <v>1</v>
      </c>
      <c r="AC15" s="2">
        <f t="shared" si="35"/>
        <v>0</v>
      </c>
      <c r="AD15" s="2">
        <f t="shared" si="36"/>
        <v>2</v>
      </c>
      <c r="AE15" s="2">
        <f t="shared" si="37"/>
        <v>1</v>
      </c>
      <c r="AF15" s="2">
        <f t="shared" si="38"/>
        <v>2</v>
      </c>
      <c r="AG15" s="2">
        <f t="shared" si="39"/>
        <v>1</v>
      </c>
      <c r="AH15" s="2">
        <f t="shared" si="40"/>
        <v>1</v>
      </c>
      <c r="AI15" s="34">
        <f t="shared" si="41"/>
        <v>0</v>
      </c>
      <c r="AJ15" s="36">
        <f t="shared" ref="AJ15:AS15" si="44">+(O15+D15)/2</f>
        <v>0.875</v>
      </c>
      <c r="AK15" s="2">
        <f t="shared" si="44"/>
        <v>2.5</v>
      </c>
      <c r="AL15" s="2">
        <f t="shared" si="44"/>
        <v>1</v>
      </c>
      <c r="AM15" s="2">
        <f t="shared" si="44"/>
        <v>0</v>
      </c>
      <c r="AN15" s="2">
        <f t="shared" si="44"/>
        <v>2.5</v>
      </c>
      <c r="AO15" s="2">
        <f t="shared" si="44"/>
        <v>1</v>
      </c>
      <c r="AP15" s="2">
        <f t="shared" si="44"/>
        <v>1.5</v>
      </c>
      <c r="AQ15" s="2">
        <f t="shared" si="44"/>
        <v>1.5</v>
      </c>
      <c r="AR15" s="2">
        <f t="shared" si="44"/>
        <v>1</v>
      </c>
      <c r="AS15" s="62">
        <f t="shared" si="44"/>
        <v>0</v>
      </c>
      <c r="AT15" s="37">
        <f t="shared" si="7"/>
        <v>-0.125</v>
      </c>
      <c r="AU15" s="38">
        <f t="shared" si="8"/>
        <v>0.5</v>
      </c>
      <c r="AV15" s="38">
        <f t="shared" si="9"/>
        <v>0.25</v>
      </c>
      <c r="AW15" s="38">
        <f t="shared" si="10"/>
        <v>0.25</v>
      </c>
      <c r="AX15" s="38">
        <f t="shared" si="11"/>
        <v>0</v>
      </c>
      <c r="AY15" s="38">
        <f t="shared" si="12"/>
        <v>0</v>
      </c>
      <c r="AZ15" s="38">
        <f t="shared" si="13"/>
        <v>0.5</v>
      </c>
      <c r="BA15" s="38">
        <f t="shared" ref="BA15:BB15" si="45">+AV15+AW15+AX15</f>
        <v>0.5</v>
      </c>
      <c r="BB15" s="39">
        <f t="shared" si="45"/>
        <v>0.25</v>
      </c>
    </row>
    <row r="16">
      <c r="A16" s="60"/>
      <c r="B16" s="40">
        <v>5.0</v>
      </c>
      <c r="C16" s="74">
        <v>0.0</v>
      </c>
      <c r="D16" s="27">
        <f t="shared" si="3"/>
        <v>0.6</v>
      </c>
      <c r="E16" s="24">
        <f t="shared" si="15"/>
        <v>2</v>
      </c>
      <c r="F16" s="2">
        <f t="shared" si="16"/>
        <v>1</v>
      </c>
      <c r="G16" s="24">
        <f t="shared" si="17"/>
        <v>0</v>
      </c>
      <c r="H16" s="24">
        <f t="shared" si="18"/>
        <v>2</v>
      </c>
      <c r="I16" s="24">
        <f t="shared" si="19"/>
        <v>1</v>
      </c>
      <c r="J16" s="24">
        <f t="shared" si="20"/>
        <v>3</v>
      </c>
      <c r="K16" s="24">
        <f t="shared" si="21"/>
        <v>1</v>
      </c>
      <c r="L16" s="24">
        <f t="shared" si="22"/>
        <v>1</v>
      </c>
      <c r="M16" s="28">
        <f t="shared" si="23"/>
        <v>0</v>
      </c>
      <c r="N16" s="24">
        <v>2.0</v>
      </c>
      <c r="O16" s="27">
        <f t="shared" si="4"/>
        <v>1.2</v>
      </c>
      <c r="P16" s="24">
        <f t="shared" si="24"/>
        <v>4</v>
      </c>
      <c r="Q16" s="2">
        <f t="shared" si="25"/>
        <v>2</v>
      </c>
      <c r="R16" s="24">
        <f t="shared" si="26"/>
        <v>0</v>
      </c>
      <c r="S16" s="24">
        <f t="shared" si="27"/>
        <v>4</v>
      </c>
      <c r="T16" s="24">
        <f t="shared" si="28"/>
        <v>2</v>
      </c>
      <c r="U16" s="24">
        <f t="shared" si="29"/>
        <v>1</v>
      </c>
      <c r="V16" s="24">
        <f t="shared" si="30"/>
        <v>2</v>
      </c>
      <c r="W16" s="24">
        <f t="shared" si="31"/>
        <v>2</v>
      </c>
      <c r="X16" s="28">
        <f t="shared" si="32"/>
        <v>0</v>
      </c>
      <c r="Y16" s="24">
        <v>2.0</v>
      </c>
      <c r="Z16" s="27">
        <f t="shared" si="5"/>
        <v>1</v>
      </c>
      <c r="AA16" s="24">
        <f t="shared" si="33"/>
        <v>3</v>
      </c>
      <c r="AB16" s="2">
        <f t="shared" si="34"/>
        <v>2</v>
      </c>
      <c r="AC16" s="24">
        <f t="shared" si="35"/>
        <v>0</v>
      </c>
      <c r="AD16" s="24">
        <f t="shared" si="36"/>
        <v>3</v>
      </c>
      <c r="AE16" s="24">
        <f t="shared" si="37"/>
        <v>2</v>
      </c>
      <c r="AF16" s="24">
        <f t="shared" si="38"/>
        <v>2</v>
      </c>
      <c r="AG16" s="24">
        <f t="shared" si="39"/>
        <v>1</v>
      </c>
      <c r="AH16" s="24">
        <f t="shared" si="40"/>
        <v>2</v>
      </c>
      <c r="AI16" s="28">
        <f t="shared" si="41"/>
        <v>0</v>
      </c>
      <c r="AJ16" s="29">
        <f t="shared" ref="AJ16:AS16" si="46">+(O16+D16)/2</f>
        <v>0.9</v>
      </c>
      <c r="AK16" s="24">
        <f t="shared" si="46"/>
        <v>3</v>
      </c>
      <c r="AL16" s="2">
        <f t="shared" si="46"/>
        <v>1.5</v>
      </c>
      <c r="AM16" s="24">
        <f t="shared" si="46"/>
        <v>0</v>
      </c>
      <c r="AN16" s="24">
        <f t="shared" si="46"/>
        <v>3</v>
      </c>
      <c r="AO16" s="24">
        <f t="shared" si="46"/>
        <v>1.5</v>
      </c>
      <c r="AP16" s="24">
        <f t="shared" si="46"/>
        <v>2</v>
      </c>
      <c r="AQ16" s="24">
        <f t="shared" si="46"/>
        <v>1.5</v>
      </c>
      <c r="AR16" s="24">
        <f t="shared" si="46"/>
        <v>1.5</v>
      </c>
      <c r="AS16" s="61">
        <f t="shared" si="46"/>
        <v>0</v>
      </c>
      <c r="AT16" s="30">
        <f t="shared" si="7"/>
        <v>0.1</v>
      </c>
      <c r="AU16" s="31">
        <f t="shared" si="8"/>
        <v>0.4</v>
      </c>
      <c r="AV16" s="31">
        <f t="shared" si="9"/>
        <v>0.2</v>
      </c>
      <c r="AW16" s="31">
        <f t="shared" si="10"/>
        <v>0.4</v>
      </c>
      <c r="AX16" s="31">
        <f t="shared" si="11"/>
        <v>0</v>
      </c>
      <c r="AY16" s="31">
        <f t="shared" si="12"/>
        <v>0</v>
      </c>
      <c r="AZ16" s="31">
        <f t="shared" si="13"/>
        <v>0.6</v>
      </c>
      <c r="BA16" s="31">
        <f t="shared" ref="BA16:BB16" si="47">+AV16+AW16+AX16</f>
        <v>0.6</v>
      </c>
      <c r="BB16" s="32">
        <f t="shared" si="47"/>
        <v>0.4</v>
      </c>
      <c r="BC16" s="60"/>
      <c r="BD16" s="60"/>
      <c r="BE16" s="60"/>
      <c r="BF16" s="60"/>
      <c r="BG16" s="60"/>
      <c r="BH16" s="60"/>
      <c r="BI16" s="60"/>
      <c r="BJ16" s="60"/>
      <c r="BK16" s="60"/>
      <c r="BL16" s="60"/>
    </row>
    <row r="17">
      <c r="B17" s="33">
        <v>6.0</v>
      </c>
      <c r="C17" s="75">
        <v>0.0</v>
      </c>
      <c r="D17" s="3">
        <f t="shared" si="3"/>
        <v>0.5</v>
      </c>
      <c r="E17" s="2">
        <f t="shared" si="15"/>
        <v>2</v>
      </c>
      <c r="F17" s="2">
        <f t="shared" si="16"/>
        <v>1</v>
      </c>
      <c r="G17" s="2">
        <f t="shared" si="17"/>
        <v>0</v>
      </c>
      <c r="H17" s="2">
        <f t="shared" si="18"/>
        <v>2</v>
      </c>
      <c r="I17" s="2">
        <f t="shared" si="19"/>
        <v>1</v>
      </c>
      <c r="J17" s="2">
        <f t="shared" si="20"/>
        <v>4</v>
      </c>
      <c r="K17" s="2">
        <f t="shared" si="21"/>
        <v>1</v>
      </c>
      <c r="L17" s="2">
        <f t="shared" si="22"/>
        <v>1</v>
      </c>
      <c r="M17" s="34">
        <f t="shared" si="23"/>
        <v>0</v>
      </c>
      <c r="N17" s="2">
        <v>1.0</v>
      </c>
      <c r="O17" s="3">
        <f t="shared" si="4"/>
        <v>1.166666667</v>
      </c>
      <c r="P17" s="2">
        <f t="shared" si="24"/>
        <v>5</v>
      </c>
      <c r="Q17" s="2">
        <f t="shared" si="25"/>
        <v>2</v>
      </c>
      <c r="R17" s="2">
        <f t="shared" si="26"/>
        <v>0</v>
      </c>
      <c r="S17" s="2">
        <f t="shared" si="27"/>
        <v>5</v>
      </c>
      <c r="T17" s="2">
        <f t="shared" si="28"/>
        <v>2</v>
      </c>
      <c r="U17" s="2">
        <f t="shared" si="29"/>
        <v>1</v>
      </c>
      <c r="V17" s="2">
        <f t="shared" si="30"/>
        <v>3</v>
      </c>
      <c r="W17" s="2">
        <f t="shared" si="31"/>
        <v>2</v>
      </c>
      <c r="X17" s="34">
        <f t="shared" si="32"/>
        <v>0</v>
      </c>
      <c r="Y17" s="2">
        <v>4.0</v>
      </c>
      <c r="Z17" s="3">
        <f t="shared" si="5"/>
        <v>1.5</v>
      </c>
      <c r="AA17" s="2">
        <f t="shared" si="33"/>
        <v>3</v>
      </c>
      <c r="AB17" s="2">
        <f t="shared" si="34"/>
        <v>2</v>
      </c>
      <c r="AC17" s="2">
        <f t="shared" si="35"/>
        <v>1</v>
      </c>
      <c r="AD17" s="2">
        <f t="shared" si="36"/>
        <v>3</v>
      </c>
      <c r="AE17" s="2">
        <f t="shared" si="37"/>
        <v>3</v>
      </c>
      <c r="AF17" s="2">
        <f t="shared" si="38"/>
        <v>2</v>
      </c>
      <c r="AG17" s="2">
        <f t="shared" si="39"/>
        <v>1</v>
      </c>
      <c r="AH17" s="2">
        <f t="shared" si="40"/>
        <v>2</v>
      </c>
      <c r="AI17" s="34">
        <f t="shared" si="41"/>
        <v>0</v>
      </c>
      <c r="AJ17" s="36">
        <f t="shared" ref="AJ17:AS17" si="48">+(O17+D17)/2</f>
        <v>0.8333333333</v>
      </c>
      <c r="AK17" s="2">
        <f t="shared" si="48"/>
        <v>3.5</v>
      </c>
      <c r="AL17" s="2">
        <f t="shared" si="48"/>
        <v>1.5</v>
      </c>
      <c r="AM17" s="2">
        <f t="shared" si="48"/>
        <v>0</v>
      </c>
      <c r="AN17" s="2">
        <f t="shared" si="48"/>
        <v>3.5</v>
      </c>
      <c r="AO17" s="2">
        <f t="shared" si="48"/>
        <v>1.5</v>
      </c>
      <c r="AP17" s="2">
        <f t="shared" si="48"/>
        <v>2.5</v>
      </c>
      <c r="AQ17" s="2">
        <f t="shared" si="48"/>
        <v>2</v>
      </c>
      <c r="AR17" s="2">
        <f t="shared" si="48"/>
        <v>1.5</v>
      </c>
      <c r="AS17" s="62">
        <f t="shared" si="48"/>
        <v>0</v>
      </c>
      <c r="AT17" s="37">
        <f t="shared" si="7"/>
        <v>0.6666666667</v>
      </c>
      <c r="AU17" s="38">
        <f t="shared" si="8"/>
        <v>0.3333333333</v>
      </c>
      <c r="AV17" s="38">
        <f t="shared" si="9"/>
        <v>0.1666666667</v>
      </c>
      <c r="AW17" s="38">
        <f t="shared" si="10"/>
        <v>0.3333333333</v>
      </c>
      <c r="AX17" s="38">
        <f t="shared" si="11"/>
        <v>0</v>
      </c>
      <c r="AY17" s="38">
        <f t="shared" si="12"/>
        <v>0.1666666667</v>
      </c>
      <c r="AZ17" s="38">
        <f t="shared" si="13"/>
        <v>0.6666666667</v>
      </c>
      <c r="BA17" s="38">
        <f t="shared" ref="BA17:BB17" si="49">+AV17+AW17+AX17</f>
        <v>0.5</v>
      </c>
      <c r="BB17" s="39">
        <f t="shared" si="49"/>
        <v>0.5</v>
      </c>
    </row>
    <row r="18">
      <c r="A18" s="60"/>
      <c r="B18" s="40">
        <v>7.0</v>
      </c>
      <c r="C18" s="74">
        <v>3.0</v>
      </c>
      <c r="D18" s="27">
        <f t="shared" si="3"/>
        <v>0.8571428571</v>
      </c>
      <c r="E18" s="24">
        <f t="shared" si="15"/>
        <v>2</v>
      </c>
      <c r="F18" s="2">
        <f t="shared" si="16"/>
        <v>2</v>
      </c>
      <c r="G18" s="24">
        <f t="shared" si="17"/>
        <v>1</v>
      </c>
      <c r="H18" s="24">
        <f t="shared" si="18"/>
        <v>3</v>
      </c>
      <c r="I18" s="24">
        <f t="shared" si="19"/>
        <v>2</v>
      </c>
      <c r="J18" s="24">
        <f t="shared" si="20"/>
        <v>4</v>
      </c>
      <c r="K18" s="24">
        <f t="shared" si="21"/>
        <v>1</v>
      </c>
      <c r="L18" s="24">
        <f t="shared" si="22"/>
        <v>1</v>
      </c>
      <c r="M18" s="28">
        <f t="shared" si="23"/>
        <v>1</v>
      </c>
      <c r="N18" s="24">
        <v>0.0</v>
      </c>
      <c r="O18" s="27">
        <f t="shared" si="4"/>
        <v>1</v>
      </c>
      <c r="P18" s="24">
        <f t="shared" si="24"/>
        <v>5</v>
      </c>
      <c r="Q18" s="2">
        <f t="shared" si="25"/>
        <v>2</v>
      </c>
      <c r="R18" s="24">
        <f t="shared" si="26"/>
        <v>0</v>
      </c>
      <c r="S18" s="24">
        <f t="shared" si="27"/>
        <v>5</v>
      </c>
      <c r="T18" s="24">
        <f t="shared" si="28"/>
        <v>2</v>
      </c>
      <c r="U18" s="24">
        <f t="shared" si="29"/>
        <v>2</v>
      </c>
      <c r="V18" s="24">
        <f t="shared" si="30"/>
        <v>3</v>
      </c>
      <c r="W18" s="24">
        <f t="shared" si="31"/>
        <v>2</v>
      </c>
      <c r="X18" s="28">
        <f t="shared" si="32"/>
        <v>0</v>
      </c>
      <c r="Y18" s="24">
        <v>2.0</v>
      </c>
      <c r="Z18" s="27">
        <f t="shared" si="5"/>
        <v>1.571428571</v>
      </c>
      <c r="AA18" s="24">
        <f t="shared" si="33"/>
        <v>4</v>
      </c>
      <c r="AB18" s="2">
        <f t="shared" si="34"/>
        <v>3</v>
      </c>
      <c r="AC18" s="24">
        <f t="shared" si="35"/>
        <v>1</v>
      </c>
      <c r="AD18" s="24">
        <f t="shared" si="36"/>
        <v>4</v>
      </c>
      <c r="AE18" s="24">
        <f t="shared" si="37"/>
        <v>4</v>
      </c>
      <c r="AF18" s="24">
        <f t="shared" si="38"/>
        <v>2</v>
      </c>
      <c r="AG18" s="24">
        <f t="shared" si="39"/>
        <v>1</v>
      </c>
      <c r="AH18" s="24">
        <f t="shared" si="40"/>
        <v>3</v>
      </c>
      <c r="AI18" s="28">
        <f t="shared" si="41"/>
        <v>0</v>
      </c>
      <c r="AJ18" s="29">
        <f t="shared" ref="AJ18:AS18" si="50">+(O18+D18)/2</f>
        <v>0.9285714286</v>
      </c>
      <c r="AK18" s="24">
        <f t="shared" si="50"/>
        <v>3.5</v>
      </c>
      <c r="AL18" s="2">
        <f t="shared" si="50"/>
        <v>2</v>
      </c>
      <c r="AM18" s="24">
        <f t="shared" si="50"/>
        <v>0.5</v>
      </c>
      <c r="AN18" s="24">
        <f t="shared" si="50"/>
        <v>4</v>
      </c>
      <c r="AO18" s="24">
        <f t="shared" si="50"/>
        <v>2</v>
      </c>
      <c r="AP18" s="24">
        <f t="shared" si="50"/>
        <v>3</v>
      </c>
      <c r="AQ18" s="24">
        <f t="shared" si="50"/>
        <v>2</v>
      </c>
      <c r="AR18" s="24">
        <f t="shared" si="50"/>
        <v>1.5</v>
      </c>
      <c r="AS18" s="61">
        <f t="shared" si="50"/>
        <v>0.5</v>
      </c>
      <c r="AT18" s="30">
        <f t="shared" si="7"/>
        <v>0.6428571429</v>
      </c>
      <c r="AU18" s="31">
        <f t="shared" si="8"/>
        <v>0.2857142857</v>
      </c>
      <c r="AV18" s="31">
        <f t="shared" si="9"/>
        <v>0.1428571429</v>
      </c>
      <c r="AW18" s="31">
        <f t="shared" si="10"/>
        <v>0.4285714286</v>
      </c>
      <c r="AX18" s="31">
        <f t="shared" si="11"/>
        <v>0</v>
      </c>
      <c r="AY18" s="31">
        <f t="shared" si="12"/>
        <v>0.1428571429</v>
      </c>
      <c r="AZ18" s="31">
        <f t="shared" si="13"/>
        <v>0.7142857143</v>
      </c>
      <c r="BA18" s="31">
        <f t="shared" ref="BA18:BB18" si="51">+AV18+AW18+AX18</f>
        <v>0.5714285714</v>
      </c>
      <c r="BB18" s="32">
        <f t="shared" si="51"/>
        <v>0.5714285714</v>
      </c>
      <c r="BC18" s="60"/>
      <c r="BD18" s="60"/>
      <c r="BE18" s="60"/>
      <c r="BF18" s="60"/>
      <c r="BG18" s="60"/>
      <c r="BH18" s="60"/>
      <c r="BI18" s="60"/>
      <c r="BJ18" s="60"/>
      <c r="BK18" s="60"/>
      <c r="BL18" s="60"/>
    </row>
    <row r="19">
      <c r="B19" s="33">
        <v>8.0</v>
      </c>
      <c r="C19" s="75">
        <v>2.0</v>
      </c>
      <c r="D19" s="3">
        <f t="shared" si="3"/>
        <v>1</v>
      </c>
      <c r="E19" s="2">
        <f t="shared" si="15"/>
        <v>3</v>
      </c>
      <c r="F19" s="2">
        <f t="shared" si="16"/>
        <v>3</v>
      </c>
      <c r="G19" s="2">
        <f t="shared" si="17"/>
        <v>1</v>
      </c>
      <c r="H19" s="2">
        <f t="shared" si="18"/>
        <v>4</v>
      </c>
      <c r="I19" s="2">
        <f t="shared" si="19"/>
        <v>3</v>
      </c>
      <c r="J19" s="2">
        <f t="shared" si="20"/>
        <v>4</v>
      </c>
      <c r="K19" s="2">
        <f t="shared" si="21"/>
        <v>1</v>
      </c>
      <c r="L19" s="2">
        <f t="shared" si="22"/>
        <v>2</v>
      </c>
      <c r="M19" s="34">
        <f t="shared" si="23"/>
        <v>1</v>
      </c>
      <c r="N19" s="2">
        <v>2.0</v>
      </c>
      <c r="O19" s="3">
        <f t="shared" si="4"/>
        <v>1.125</v>
      </c>
      <c r="P19" s="2">
        <f t="shared" si="24"/>
        <v>6</v>
      </c>
      <c r="Q19" s="2">
        <f t="shared" si="25"/>
        <v>3</v>
      </c>
      <c r="R19" s="2">
        <f t="shared" si="26"/>
        <v>0</v>
      </c>
      <c r="S19" s="2">
        <f t="shared" si="27"/>
        <v>6</v>
      </c>
      <c r="T19" s="2">
        <f t="shared" si="28"/>
        <v>3</v>
      </c>
      <c r="U19" s="2">
        <f t="shared" si="29"/>
        <v>2</v>
      </c>
      <c r="V19" s="2">
        <f t="shared" si="30"/>
        <v>3</v>
      </c>
      <c r="W19" s="2">
        <f t="shared" si="31"/>
        <v>3</v>
      </c>
      <c r="X19" s="34">
        <f t="shared" si="32"/>
        <v>0</v>
      </c>
      <c r="Y19" s="2">
        <v>2.0</v>
      </c>
      <c r="Z19" s="3">
        <f t="shared" si="5"/>
        <v>1.625</v>
      </c>
      <c r="AA19" s="2">
        <f t="shared" si="33"/>
        <v>5</v>
      </c>
      <c r="AB19" s="2">
        <f t="shared" si="34"/>
        <v>4</v>
      </c>
      <c r="AC19" s="2">
        <f t="shared" si="35"/>
        <v>1</v>
      </c>
      <c r="AD19" s="2">
        <f t="shared" si="36"/>
        <v>5</v>
      </c>
      <c r="AE19" s="2">
        <f t="shared" si="37"/>
        <v>5</v>
      </c>
      <c r="AF19" s="2">
        <f t="shared" si="38"/>
        <v>2</v>
      </c>
      <c r="AG19" s="2">
        <f t="shared" si="39"/>
        <v>1</v>
      </c>
      <c r="AH19" s="2">
        <f t="shared" si="40"/>
        <v>4</v>
      </c>
      <c r="AI19" s="34">
        <f t="shared" si="41"/>
        <v>0</v>
      </c>
      <c r="AJ19" s="36">
        <f t="shared" ref="AJ19:AS19" si="52">+(O19+D19)/2</f>
        <v>1.0625</v>
      </c>
      <c r="AK19" s="2">
        <f t="shared" si="52"/>
        <v>4.5</v>
      </c>
      <c r="AL19" s="2">
        <f t="shared" si="52"/>
        <v>3</v>
      </c>
      <c r="AM19" s="2">
        <f t="shared" si="52"/>
        <v>0.5</v>
      </c>
      <c r="AN19" s="2">
        <f t="shared" si="52"/>
        <v>5</v>
      </c>
      <c r="AO19" s="2">
        <f t="shared" si="52"/>
        <v>3</v>
      </c>
      <c r="AP19" s="2">
        <f t="shared" si="52"/>
        <v>3</v>
      </c>
      <c r="AQ19" s="2">
        <f t="shared" si="52"/>
        <v>2</v>
      </c>
      <c r="AR19" s="2">
        <f t="shared" si="52"/>
        <v>2.5</v>
      </c>
      <c r="AS19" s="62">
        <f t="shared" si="52"/>
        <v>0.5</v>
      </c>
      <c r="AT19" s="37">
        <f t="shared" si="7"/>
        <v>0.5625</v>
      </c>
      <c r="AU19" s="38">
        <f t="shared" si="8"/>
        <v>0.25</v>
      </c>
      <c r="AV19" s="38">
        <f t="shared" si="9"/>
        <v>0.125</v>
      </c>
      <c r="AW19" s="38">
        <f t="shared" si="10"/>
        <v>0.5</v>
      </c>
      <c r="AX19" s="38">
        <f t="shared" si="11"/>
        <v>0</v>
      </c>
      <c r="AY19" s="38">
        <f t="shared" si="12"/>
        <v>0.125</v>
      </c>
      <c r="AZ19" s="38">
        <f t="shared" si="13"/>
        <v>0.75</v>
      </c>
      <c r="BA19" s="38">
        <f t="shared" ref="BA19:BB19" si="53">+AV19+AW19+AX19</f>
        <v>0.625</v>
      </c>
      <c r="BB19" s="39">
        <f t="shared" si="53"/>
        <v>0.625</v>
      </c>
    </row>
    <row r="20">
      <c r="A20" s="60"/>
      <c r="B20" s="40">
        <v>9.0</v>
      </c>
      <c r="C20" s="74">
        <v>2.0</v>
      </c>
      <c r="D20" s="27">
        <f t="shared" si="3"/>
        <v>1.111111111</v>
      </c>
      <c r="E20" s="24">
        <f t="shared" si="15"/>
        <v>4</v>
      </c>
      <c r="F20" s="2">
        <f t="shared" si="16"/>
        <v>4</v>
      </c>
      <c r="G20" s="24">
        <f t="shared" si="17"/>
        <v>1</v>
      </c>
      <c r="H20" s="24">
        <f t="shared" si="18"/>
        <v>5</v>
      </c>
      <c r="I20" s="24">
        <f t="shared" si="19"/>
        <v>4</v>
      </c>
      <c r="J20" s="24">
        <f t="shared" si="20"/>
        <v>4</v>
      </c>
      <c r="K20" s="24">
        <f t="shared" si="21"/>
        <v>1</v>
      </c>
      <c r="L20" s="24">
        <f t="shared" si="22"/>
        <v>3</v>
      </c>
      <c r="M20" s="28">
        <f t="shared" si="23"/>
        <v>1</v>
      </c>
      <c r="N20" s="24">
        <v>2.0</v>
      </c>
      <c r="O20" s="27">
        <f t="shared" si="4"/>
        <v>1.222222222</v>
      </c>
      <c r="P20" s="24">
        <f t="shared" si="24"/>
        <v>7</v>
      </c>
      <c r="Q20" s="2">
        <f t="shared" si="25"/>
        <v>4</v>
      </c>
      <c r="R20" s="24">
        <f t="shared" si="26"/>
        <v>0</v>
      </c>
      <c r="S20" s="24">
        <f t="shared" si="27"/>
        <v>7</v>
      </c>
      <c r="T20" s="24">
        <f t="shared" si="28"/>
        <v>4</v>
      </c>
      <c r="U20" s="24">
        <f t="shared" si="29"/>
        <v>2</v>
      </c>
      <c r="V20" s="24">
        <f t="shared" si="30"/>
        <v>3</v>
      </c>
      <c r="W20" s="24">
        <f t="shared" si="31"/>
        <v>4</v>
      </c>
      <c r="X20" s="28">
        <f t="shared" si="32"/>
        <v>0</v>
      </c>
      <c r="Y20" s="24">
        <v>0.0</v>
      </c>
      <c r="Z20" s="27">
        <f t="shared" si="5"/>
        <v>1.444444444</v>
      </c>
      <c r="AA20" s="24">
        <f t="shared" si="33"/>
        <v>5</v>
      </c>
      <c r="AB20" s="2">
        <f t="shared" si="34"/>
        <v>4</v>
      </c>
      <c r="AC20" s="24">
        <f t="shared" si="35"/>
        <v>1</v>
      </c>
      <c r="AD20" s="24">
        <f t="shared" si="36"/>
        <v>5</v>
      </c>
      <c r="AE20" s="24">
        <f t="shared" si="37"/>
        <v>5</v>
      </c>
      <c r="AF20" s="24">
        <f t="shared" si="38"/>
        <v>3</v>
      </c>
      <c r="AG20" s="24">
        <f t="shared" si="39"/>
        <v>1</v>
      </c>
      <c r="AH20" s="24">
        <f t="shared" si="40"/>
        <v>4</v>
      </c>
      <c r="AI20" s="28">
        <f t="shared" si="41"/>
        <v>0</v>
      </c>
      <c r="AJ20" s="29">
        <f t="shared" ref="AJ20:AS20" si="54">+(O20+D20)/2</f>
        <v>1.166666667</v>
      </c>
      <c r="AK20" s="24">
        <f t="shared" si="54"/>
        <v>5.5</v>
      </c>
      <c r="AL20" s="2">
        <f t="shared" si="54"/>
        <v>4</v>
      </c>
      <c r="AM20" s="24">
        <f t="shared" si="54"/>
        <v>0.5</v>
      </c>
      <c r="AN20" s="24">
        <f t="shared" si="54"/>
        <v>6</v>
      </c>
      <c r="AO20" s="24">
        <f t="shared" si="54"/>
        <v>4</v>
      </c>
      <c r="AP20" s="24">
        <f t="shared" si="54"/>
        <v>3</v>
      </c>
      <c r="AQ20" s="24">
        <f t="shared" si="54"/>
        <v>2</v>
      </c>
      <c r="AR20" s="24">
        <f t="shared" si="54"/>
        <v>3.5</v>
      </c>
      <c r="AS20" s="61">
        <f t="shared" si="54"/>
        <v>0.5</v>
      </c>
      <c r="AT20" s="30">
        <f t="shared" si="7"/>
        <v>0.2777777778</v>
      </c>
      <c r="AU20" s="31">
        <f t="shared" si="8"/>
        <v>0.3333333333</v>
      </c>
      <c r="AV20" s="31">
        <f t="shared" si="9"/>
        <v>0.1111111111</v>
      </c>
      <c r="AW20" s="31">
        <f t="shared" si="10"/>
        <v>0.4444444444</v>
      </c>
      <c r="AX20" s="31">
        <f t="shared" si="11"/>
        <v>0</v>
      </c>
      <c r="AY20" s="31">
        <f t="shared" si="12"/>
        <v>0.1111111111</v>
      </c>
      <c r="AZ20" s="31">
        <f t="shared" si="13"/>
        <v>0.6666666667</v>
      </c>
      <c r="BA20" s="31">
        <f t="shared" ref="BA20:BB20" si="55">+AV20+AW20+AX20</f>
        <v>0.5555555556</v>
      </c>
      <c r="BB20" s="32">
        <f t="shared" si="55"/>
        <v>0.5555555556</v>
      </c>
      <c r="BC20" s="60"/>
      <c r="BD20" s="60"/>
      <c r="BE20" s="60"/>
      <c r="BF20" s="60"/>
      <c r="BG20" s="60"/>
      <c r="BH20" s="60"/>
      <c r="BI20" s="60"/>
      <c r="BJ20" s="60"/>
      <c r="BK20" s="60"/>
      <c r="BL20" s="60"/>
    </row>
    <row r="21">
      <c r="B21" s="42">
        <v>10.0</v>
      </c>
      <c r="C21" s="76">
        <v>1.0</v>
      </c>
      <c r="D21" s="3">
        <f t="shared" si="3"/>
        <v>1.1</v>
      </c>
      <c r="E21" s="43">
        <f t="shared" si="15"/>
        <v>5</v>
      </c>
      <c r="F21" s="2">
        <f t="shared" si="16"/>
        <v>4</v>
      </c>
      <c r="G21" s="43">
        <f t="shared" si="17"/>
        <v>1</v>
      </c>
      <c r="H21" s="43">
        <f t="shared" si="18"/>
        <v>6</v>
      </c>
      <c r="I21" s="43">
        <f t="shared" si="19"/>
        <v>4</v>
      </c>
      <c r="J21" s="43">
        <f t="shared" si="20"/>
        <v>4</v>
      </c>
      <c r="K21" s="43">
        <f t="shared" si="21"/>
        <v>2</v>
      </c>
      <c r="L21" s="43">
        <f t="shared" si="22"/>
        <v>3</v>
      </c>
      <c r="M21" s="44">
        <f t="shared" si="23"/>
        <v>1</v>
      </c>
      <c r="N21" s="43">
        <v>1.0</v>
      </c>
      <c r="O21" s="3">
        <f t="shared" si="4"/>
        <v>1.2</v>
      </c>
      <c r="P21" s="43">
        <f t="shared" si="24"/>
        <v>8</v>
      </c>
      <c r="Q21" s="2">
        <f t="shared" si="25"/>
        <v>4</v>
      </c>
      <c r="R21" s="43">
        <f t="shared" si="26"/>
        <v>0</v>
      </c>
      <c r="S21" s="43">
        <f t="shared" si="27"/>
        <v>8</v>
      </c>
      <c r="T21" s="43">
        <f t="shared" si="28"/>
        <v>4</v>
      </c>
      <c r="U21" s="43">
        <f t="shared" si="29"/>
        <v>2</v>
      </c>
      <c r="V21" s="43">
        <f t="shared" si="30"/>
        <v>4</v>
      </c>
      <c r="W21" s="43">
        <f t="shared" si="31"/>
        <v>4</v>
      </c>
      <c r="X21" s="44">
        <f t="shared" si="32"/>
        <v>0</v>
      </c>
      <c r="Y21" s="43">
        <v>3.0</v>
      </c>
      <c r="Z21" s="3">
        <f t="shared" si="5"/>
        <v>1.6</v>
      </c>
      <c r="AA21" s="43">
        <f t="shared" si="33"/>
        <v>5</v>
      </c>
      <c r="AB21" s="2">
        <f t="shared" si="34"/>
        <v>5</v>
      </c>
      <c r="AC21" s="43">
        <f t="shared" si="35"/>
        <v>2</v>
      </c>
      <c r="AD21" s="43">
        <f t="shared" si="36"/>
        <v>6</v>
      </c>
      <c r="AE21" s="43">
        <f t="shared" si="37"/>
        <v>6</v>
      </c>
      <c r="AF21" s="43">
        <f t="shared" si="38"/>
        <v>3</v>
      </c>
      <c r="AG21" s="43">
        <f t="shared" si="39"/>
        <v>1</v>
      </c>
      <c r="AH21" s="43">
        <f t="shared" si="40"/>
        <v>4</v>
      </c>
      <c r="AI21" s="44">
        <f t="shared" si="41"/>
        <v>1</v>
      </c>
      <c r="AJ21" s="46">
        <f t="shared" ref="AJ21:AS21" si="56">+(O21+D21)/2</f>
        <v>1.15</v>
      </c>
      <c r="AK21" s="43">
        <f t="shared" si="56"/>
        <v>6.5</v>
      </c>
      <c r="AL21" s="2">
        <f t="shared" si="56"/>
        <v>4</v>
      </c>
      <c r="AM21" s="43">
        <f t="shared" si="56"/>
        <v>0.5</v>
      </c>
      <c r="AN21" s="43">
        <f t="shared" si="56"/>
        <v>7</v>
      </c>
      <c r="AO21" s="43">
        <f t="shared" si="56"/>
        <v>4</v>
      </c>
      <c r="AP21" s="43">
        <f t="shared" si="56"/>
        <v>3</v>
      </c>
      <c r="AQ21" s="43">
        <f t="shared" si="56"/>
        <v>3</v>
      </c>
      <c r="AR21" s="43">
        <f t="shared" si="56"/>
        <v>3.5</v>
      </c>
      <c r="AS21" s="63">
        <f t="shared" si="56"/>
        <v>0.5</v>
      </c>
      <c r="AT21" s="37">
        <f t="shared" si="7"/>
        <v>0.45</v>
      </c>
      <c r="AU21" s="38">
        <f t="shared" si="8"/>
        <v>0.3</v>
      </c>
      <c r="AV21" s="38">
        <f t="shared" si="9"/>
        <v>0.1</v>
      </c>
      <c r="AW21" s="38">
        <f t="shared" si="10"/>
        <v>0.4</v>
      </c>
      <c r="AX21" s="38">
        <f t="shared" si="11"/>
        <v>0.1</v>
      </c>
      <c r="AY21" s="38">
        <f t="shared" si="12"/>
        <v>0.1</v>
      </c>
      <c r="AZ21" s="38">
        <f t="shared" si="13"/>
        <v>0.7</v>
      </c>
      <c r="BA21" s="38">
        <f t="shared" ref="BA21:BB21" si="57">+AV21+AW21+AX21</f>
        <v>0.6</v>
      </c>
      <c r="BB21" s="39">
        <f t="shared" si="57"/>
        <v>0.6</v>
      </c>
    </row>
    <row r="22">
      <c r="A22" s="60"/>
      <c r="B22" s="40">
        <v>11.0</v>
      </c>
      <c r="C22" s="74">
        <v>1.0</v>
      </c>
      <c r="D22" s="27">
        <f t="shared" si="3"/>
        <v>1.090909091</v>
      </c>
      <c r="E22" s="24">
        <f t="shared" si="15"/>
        <v>6</v>
      </c>
      <c r="F22" s="2">
        <f t="shared" si="16"/>
        <v>4</v>
      </c>
      <c r="G22" s="24">
        <f t="shared" si="17"/>
        <v>1</v>
      </c>
      <c r="H22" s="24">
        <f t="shared" si="18"/>
        <v>7</v>
      </c>
      <c r="I22" s="24">
        <f t="shared" si="19"/>
        <v>4</v>
      </c>
      <c r="J22" s="24">
        <f t="shared" si="20"/>
        <v>4</v>
      </c>
      <c r="K22" s="24">
        <f t="shared" si="21"/>
        <v>3</v>
      </c>
      <c r="L22" s="24">
        <f t="shared" si="22"/>
        <v>3</v>
      </c>
      <c r="M22" s="28">
        <f t="shared" si="23"/>
        <v>1</v>
      </c>
      <c r="N22" s="24">
        <v>3.0</v>
      </c>
      <c r="O22" s="27">
        <f t="shared" si="4"/>
        <v>1.363636364</v>
      </c>
      <c r="P22" s="24">
        <f t="shared" si="24"/>
        <v>8</v>
      </c>
      <c r="Q22" s="2">
        <f t="shared" si="25"/>
        <v>5</v>
      </c>
      <c r="R22" s="24">
        <f t="shared" si="26"/>
        <v>1</v>
      </c>
      <c r="S22" s="24">
        <f t="shared" si="27"/>
        <v>9</v>
      </c>
      <c r="T22" s="24">
        <f t="shared" si="28"/>
        <v>5</v>
      </c>
      <c r="U22" s="24">
        <f t="shared" si="29"/>
        <v>2</v>
      </c>
      <c r="V22" s="24">
        <f t="shared" si="30"/>
        <v>4</v>
      </c>
      <c r="W22" s="24">
        <f t="shared" si="31"/>
        <v>4</v>
      </c>
      <c r="X22" s="28">
        <f t="shared" si="32"/>
        <v>1</v>
      </c>
      <c r="Y22" s="24">
        <v>2.0</v>
      </c>
      <c r="Z22" s="27">
        <f t="shared" si="5"/>
        <v>1.636363636</v>
      </c>
      <c r="AA22" s="24">
        <f t="shared" si="33"/>
        <v>6</v>
      </c>
      <c r="AB22" s="2">
        <f t="shared" si="34"/>
        <v>6</v>
      </c>
      <c r="AC22" s="24">
        <f t="shared" si="35"/>
        <v>2</v>
      </c>
      <c r="AD22" s="24">
        <f t="shared" si="36"/>
        <v>7</v>
      </c>
      <c r="AE22" s="24">
        <f t="shared" si="37"/>
        <v>7</v>
      </c>
      <c r="AF22" s="24">
        <f t="shared" si="38"/>
        <v>3</v>
      </c>
      <c r="AG22" s="24">
        <f t="shared" si="39"/>
        <v>1</v>
      </c>
      <c r="AH22" s="24">
        <f t="shared" si="40"/>
        <v>5</v>
      </c>
      <c r="AI22" s="28">
        <f t="shared" si="41"/>
        <v>1</v>
      </c>
      <c r="AJ22" s="29">
        <f t="shared" ref="AJ22:AS22" si="58">+(O22+D22)/2</f>
        <v>1.227272727</v>
      </c>
      <c r="AK22" s="24">
        <f t="shared" si="58"/>
        <v>7</v>
      </c>
      <c r="AL22" s="2">
        <f t="shared" si="58"/>
        <v>4.5</v>
      </c>
      <c r="AM22" s="24">
        <f t="shared" si="58"/>
        <v>1</v>
      </c>
      <c r="AN22" s="24">
        <f t="shared" si="58"/>
        <v>8</v>
      </c>
      <c r="AO22" s="24">
        <f t="shared" si="58"/>
        <v>4.5</v>
      </c>
      <c r="AP22" s="24">
        <f t="shared" si="58"/>
        <v>3</v>
      </c>
      <c r="AQ22" s="24">
        <f t="shared" si="58"/>
        <v>3.5</v>
      </c>
      <c r="AR22" s="24">
        <f t="shared" si="58"/>
        <v>3.5</v>
      </c>
      <c r="AS22" s="61">
        <f t="shared" si="58"/>
        <v>1</v>
      </c>
      <c r="AT22" s="30">
        <f t="shared" si="7"/>
        <v>0.4090909091</v>
      </c>
      <c r="AU22" s="31">
        <f t="shared" si="8"/>
        <v>0.2727272727</v>
      </c>
      <c r="AV22" s="31">
        <f t="shared" si="9"/>
        <v>0.09090909091</v>
      </c>
      <c r="AW22" s="31">
        <f t="shared" si="10"/>
        <v>0.4545454545</v>
      </c>
      <c r="AX22" s="31">
        <f t="shared" si="11"/>
        <v>0.09090909091</v>
      </c>
      <c r="AY22" s="31">
        <f t="shared" si="12"/>
        <v>0.09090909091</v>
      </c>
      <c r="AZ22" s="31">
        <f t="shared" si="13"/>
        <v>0.7272727273</v>
      </c>
      <c r="BA22" s="31">
        <f t="shared" ref="BA22:BB22" si="59">+AV22+AW22+AX22</f>
        <v>0.6363636364</v>
      </c>
      <c r="BB22" s="32">
        <f t="shared" si="59"/>
        <v>0.6363636364</v>
      </c>
      <c r="BC22" s="60"/>
      <c r="BD22" s="60"/>
      <c r="BE22" s="60"/>
      <c r="BF22" s="60"/>
      <c r="BG22" s="60"/>
      <c r="BH22" s="60"/>
      <c r="BI22" s="60"/>
      <c r="BJ22" s="60"/>
      <c r="BK22" s="60"/>
      <c r="BL22" s="60"/>
    </row>
    <row r="23">
      <c r="B23" s="33">
        <v>12.0</v>
      </c>
      <c r="C23" s="75">
        <v>1.0</v>
      </c>
      <c r="D23" s="3">
        <f t="shared" si="3"/>
        <v>1.083333333</v>
      </c>
      <c r="E23" s="2">
        <f t="shared" si="15"/>
        <v>7</v>
      </c>
      <c r="F23" s="2">
        <f t="shared" si="16"/>
        <v>4</v>
      </c>
      <c r="G23" s="2">
        <f t="shared" si="17"/>
        <v>1</v>
      </c>
      <c r="H23" s="2">
        <f t="shared" si="18"/>
        <v>8</v>
      </c>
      <c r="I23" s="2">
        <f t="shared" si="19"/>
        <v>4</v>
      </c>
      <c r="J23" s="2">
        <f t="shared" si="20"/>
        <v>4</v>
      </c>
      <c r="K23" s="2">
        <f t="shared" si="21"/>
        <v>4</v>
      </c>
      <c r="L23" s="2">
        <f t="shared" si="22"/>
        <v>3</v>
      </c>
      <c r="M23" s="34">
        <f t="shared" si="23"/>
        <v>1</v>
      </c>
      <c r="N23" s="2">
        <v>0.0</v>
      </c>
      <c r="O23" s="3">
        <f t="shared" si="4"/>
        <v>1.25</v>
      </c>
      <c r="P23" s="2">
        <f t="shared" si="24"/>
        <v>8</v>
      </c>
      <c r="Q23" s="2">
        <f t="shared" si="25"/>
        <v>5</v>
      </c>
      <c r="R23" s="2">
        <f t="shared" si="26"/>
        <v>1</v>
      </c>
      <c r="S23" s="2">
        <f t="shared" si="27"/>
        <v>9</v>
      </c>
      <c r="T23" s="2">
        <f t="shared" si="28"/>
        <v>5</v>
      </c>
      <c r="U23" s="2">
        <f t="shared" si="29"/>
        <v>3</v>
      </c>
      <c r="V23" s="2">
        <f t="shared" si="30"/>
        <v>4</v>
      </c>
      <c r="W23" s="2">
        <f t="shared" si="31"/>
        <v>4</v>
      </c>
      <c r="X23" s="34">
        <f t="shared" si="32"/>
        <v>1</v>
      </c>
      <c r="Y23" s="2">
        <v>3.0</v>
      </c>
      <c r="Z23" s="3">
        <f t="shared" si="5"/>
        <v>1.75</v>
      </c>
      <c r="AA23" s="2">
        <f t="shared" si="33"/>
        <v>6</v>
      </c>
      <c r="AB23" s="2">
        <f t="shared" si="34"/>
        <v>7</v>
      </c>
      <c r="AC23" s="2">
        <f t="shared" si="35"/>
        <v>3</v>
      </c>
      <c r="AD23" s="2">
        <f t="shared" si="36"/>
        <v>8</v>
      </c>
      <c r="AE23" s="2">
        <f t="shared" si="37"/>
        <v>8</v>
      </c>
      <c r="AF23" s="2">
        <f t="shared" si="38"/>
        <v>3</v>
      </c>
      <c r="AG23" s="2">
        <f t="shared" si="39"/>
        <v>1</v>
      </c>
      <c r="AH23" s="2">
        <f t="shared" si="40"/>
        <v>5</v>
      </c>
      <c r="AI23" s="34">
        <f t="shared" si="41"/>
        <v>2</v>
      </c>
      <c r="AJ23" s="36">
        <f t="shared" ref="AJ23:AS23" si="60">+(O23+D23)/2</f>
        <v>1.166666667</v>
      </c>
      <c r="AK23" s="2">
        <f t="shared" si="60"/>
        <v>7.5</v>
      </c>
      <c r="AL23" s="2">
        <f t="shared" si="60"/>
        <v>4.5</v>
      </c>
      <c r="AM23" s="2">
        <f t="shared" si="60"/>
        <v>1</v>
      </c>
      <c r="AN23" s="2">
        <f t="shared" si="60"/>
        <v>8.5</v>
      </c>
      <c r="AO23" s="2">
        <f t="shared" si="60"/>
        <v>4.5</v>
      </c>
      <c r="AP23" s="2">
        <f t="shared" si="60"/>
        <v>3.5</v>
      </c>
      <c r="AQ23" s="2">
        <f t="shared" si="60"/>
        <v>4</v>
      </c>
      <c r="AR23" s="2">
        <f t="shared" si="60"/>
        <v>3.5</v>
      </c>
      <c r="AS23" s="62">
        <f t="shared" si="60"/>
        <v>1</v>
      </c>
      <c r="AT23" s="37">
        <f t="shared" si="7"/>
        <v>0.5833333333</v>
      </c>
      <c r="AU23" s="38">
        <f t="shared" si="8"/>
        <v>0.25</v>
      </c>
      <c r="AV23" s="38">
        <f t="shared" si="9"/>
        <v>0.08333333333</v>
      </c>
      <c r="AW23" s="38">
        <f t="shared" si="10"/>
        <v>0.4166666667</v>
      </c>
      <c r="AX23" s="38">
        <f t="shared" si="11"/>
        <v>0.1666666667</v>
      </c>
      <c r="AY23" s="38">
        <f t="shared" si="12"/>
        <v>0.08333333333</v>
      </c>
      <c r="AZ23" s="38">
        <f t="shared" si="13"/>
        <v>0.75</v>
      </c>
      <c r="BA23" s="38">
        <f t="shared" ref="BA23:BB23" si="61">+AV23+AW23+AX23</f>
        <v>0.6666666667</v>
      </c>
      <c r="BB23" s="39">
        <f t="shared" si="61"/>
        <v>0.6666666667</v>
      </c>
    </row>
    <row r="24">
      <c r="A24" s="60"/>
      <c r="B24" s="40">
        <v>13.0</v>
      </c>
      <c r="C24" s="74">
        <v>2.0</v>
      </c>
      <c r="D24" s="27">
        <f t="shared" si="3"/>
        <v>1.153846154</v>
      </c>
      <c r="E24" s="24">
        <f t="shared" si="15"/>
        <v>8</v>
      </c>
      <c r="F24" s="2">
        <f t="shared" si="16"/>
        <v>5</v>
      </c>
      <c r="G24" s="24">
        <f t="shared" si="17"/>
        <v>1</v>
      </c>
      <c r="H24" s="24">
        <f t="shared" si="18"/>
        <v>9</v>
      </c>
      <c r="I24" s="24">
        <f t="shared" si="19"/>
        <v>5</v>
      </c>
      <c r="J24" s="24">
        <f t="shared" si="20"/>
        <v>4</v>
      </c>
      <c r="K24" s="24">
        <f t="shared" si="21"/>
        <v>4</v>
      </c>
      <c r="L24" s="24">
        <f t="shared" si="22"/>
        <v>4</v>
      </c>
      <c r="M24" s="28">
        <f t="shared" si="23"/>
        <v>1</v>
      </c>
      <c r="N24" s="24">
        <v>3.0</v>
      </c>
      <c r="O24" s="27">
        <f t="shared" si="4"/>
        <v>1.384615385</v>
      </c>
      <c r="P24" s="24">
        <f t="shared" si="24"/>
        <v>8</v>
      </c>
      <c r="Q24" s="2">
        <f t="shared" si="25"/>
        <v>6</v>
      </c>
      <c r="R24" s="24">
        <f t="shared" si="26"/>
        <v>2</v>
      </c>
      <c r="S24" s="24">
        <f t="shared" si="27"/>
        <v>10</v>
      </c>
      <c r="T24" s="24">
        <f t="shared" si="28"/>
        <v>6</v>
      </c>
      <c r="U24" s="24">
        <f t="shared" si="29"/>
        <v>3</v>
      </c>
      <c r="V24" s="24">
        <f t="shared" si="30"/>
        <v>4</v>
      </c>
      <c r="W24" s="24">
        <f t="shared" si="31"/>
        <v>4</v>
      </c>
      <c r="X24" s="28">
        <f t="shared" si="32"/>
        <v>2</v>
      </c>
      <c r="Y24" s="24">
        <v>1.0</v>
      </c>
      <c r="Z24" s="27">
        <f t="shared" si="5"/>
        <v>1.692307692</v>
      </c>
      <c r="AA24" s="24">
        <f t="shared" si="33"/>
        <v>7</v>
      </c>
      <c r="AB24" s="2">
        <f t="shared" si="34"/>
        <v>7</v>
      </c>
      <c r="AC24" s="24">
        <f t="shared" si="35"/>
        <v>3</v>
      </c>
      <c r="AD24" s="24">
        <f t="shared" si="36"/>
        <v>9</v>
      </c>
      <c r="AE24" s="24">
        <f t="shared" si="37"/>
        <v>8</v>
      </c>
      <c r="AF24" s="24">
        <f t="shared" si="38"/>
        <v>3</v>
      </c>
      <c r="AG24" s="24">
        <f t="shared" si="39"/>
        <v>2</v>
      </c>
      <c r="AH24" s="24">
        <f t="shared" si="40"/>
        <v>5</v>
      </c>
      <c r="AI24" s="28">
        <f t="shared" si="41"/>
        <v>2</v>
      </c>
      <c r="AJ24" s="29">
        <f t="shared" ref="AJ24:AS24" si="62">+(O24+D24)/2</f>
        <v>1.269230769</v>
      </c>
      <c r="AK24" s="24">
        <f t="shared" si="62"/>
        <v>8</v>
      </c>
      <c r="AL24" s="2">
        <f t="shared" si="62"/>
        <v>5.5</v>
      </c>
      <c r="AM24" s="24">
        <f t="shared" si="62"/>
        <v>1.5</v>
      </c>
      <c r="AN24" s="24">
        <f t="shared" si="62"/>
        <v>9.5</v>
      </c>
      <c r="AO24" s="24">
        <f t="shared" si="62"/>
        <v>5.5</v>
      </c>
      <c r="AP24" s="24">
        <f t="shared" si="62"/>
        <v>3.5</v>
      </c>
      <c r="AQ24" s="24">
        <f t="shared" si="62"/>
        <v>4</v>
      </c>
      <c r="AR24" s="24">
        <f t="shared" si="62"/>
        <v>4</v>
      </c>
      <c r="AS24" s="61">
        <f t="shared" si="62"/>
        <v>1.5</v>
      </c>
      <c r="AT24" s="30">
        <f t="shared" si="7"/>
        <v>0.4230769231</v>
      </c>
      <c r="AU24" s="31">
        <f t="shared" si="8"/>
        <v>0.2307692308</v>
      </c>
      <c r="AV24" s="31">
        <f t="shared" si="9"/>
        <v>0.1538461538</v>
      </c>
      <c r="AW24" s="31">
        <f t="shared" si="10"/>
        <v>0.3846153846</v>
      </c>
      <c r="AX24" s="31">
        <f t="shared" si="11"/>
        <v>0.1538461538</v>
      </c>
      <c r="AY24" s="31">
        <f t="shared" si="12"/>
        <v>0.07692307692</v>
      </c>
      <c r="AZ24" s="31">
        <f t="shared" si="13"/>
        <v>0.7692307692</v>
      </c>
      <c r="BA24" s="31">
        <f t="shared" ref="BA24:BB24" si="63">+AV24+AW24+AX24</f>
        <v>0.6923076923</v>
      </c>
      <c r="BB24" s="32">
        <f t="shared" si="63"/>
        <v>0.6153846154</v>
      </c>
      <c r="BC24" s="60"/>
      <c r="BD24" s="60"/>
      <c r="BE24" s="60"/>
      <c r="BF24" s="60"/>
      <c r="BG24" s="60"/>
      <c r="BH24" s="60"/>
      <c r="BI24" s="60"/>
      <c r="BJ24" s="60"/>
      <c r="BK24" s="60"/>
      <c r="BL24" s="60"/>
    </row>
    <row r="25">
      <c r="B25" s="33">
        <v>14.0</v>
      </c>
      <c r="C25" s="75">
        <v>1.0</v>
      </c>
      <c r="D25" s="3">
        <f t="shared" si="3"/>
        <v>1.142857143</v>
      </c>
      <c r="E25" s="2">
        <f t="shared" si="15"/>
        <v>9</v>
      </c>
      <c r="F25" s="2">
        <f t="shared" si="16"/>
        <v>5</v>
      </c>
      <c r="G25" s="2">
        <f t="shared" si="17"/>
        <v>1</v>
      </c>
      <c r="H25" s="2">
        <f t="shared" si="18"/>
        <v>10</v>
      </c>
      <c r="I25" s="2">
        <f t="shared" si="19"/>
        <v>5</v>
      </c>
      <c r="J25" s="2">
        <f t="shared" si="20"/>
        <v>4</v>
      </c>
      <c r="K25" s="2">
        <f t="shared" si="21"/>
        <v>5</v>
      </c>
      <c r="L25" s="2">
        <f t="shared" si="22"/>
        <v>4</v>
      </c>
      <c r="M25" s="34">
        <f t="shared" si="23"/>
        <v>1</v>
      </c>
      <c r="N25" s="2">
        <v>2.0</v>
      </c>
      <c r="O25" s="3">
        <f t="shared" si="4"/>
        <v>1.428571429</v>
      </c>
      <c r="P25" s="2">
        <f t="shared" si="24"/>
        <v>9</v>
      </c>
      <c r="Q25" s="2">
        <f t="shared" si="25"/>
        <v>7</v>
      </c>
      <c r="R25" s="2">
        <f t="shared" si="26"/>
        <v>2</v>
      </c>
      <c r="S25" s="2">
        <f t="shared" si="27"/>
        <v>11</v>
      </c>
      <c r="T25" s="2">
        <f t="shared" si="28"/>
        <v>7</v>
      </c>
      <c r="U25" s="2">
        <f t="shared" si="29"/>
        <v>3</v>
      </c>
      <c r="V25" s="2">
        <f t="shared" si="30"/>
        <v>4</v>
      </c>
      <c r="W25" s="2">
        <f t="shared" si="31"/>
        <v>5</v>
      </c>
      <c r="X25" s="34">
        <f t="shared" si="32"/>
        <v>2</v>
      </c>
      <c r="Y25" s="2">
        <v>1.0</v>
      </c>
      <c r="Z25" s="3">
        <f t="shared" si="5"/>
        <v>1.642857143</v>
      </c>
      <c r="AA25" s="2">
        <f t="shared" si="33"/>
        <v>8</v>
      </c>
      <c r="AB25" s="2">
        <f t="shared" si="34"/>
        <v>7</v>
      </c>
      <c r="AC25" s="2">
        <f t="shared" si="35"/>
        <v>3</v>
      </c>
      <c r="AD25" s="2">
        <f t="shared" si="36"/>
        <v>10</v>
      </c>
      <c r="AE25" s="2">
        <f t="shared" si="37"/>
        <v>8</v>
      </c>
      <c r="AF25" s="2">
        <f t="shared" si="38"/>
        <v>3</v>
      </c>
      <c r="AG25" s="2">
        <f t="shared" si="39"/>
        <v>3</v>
      </c>
      <c r="AH25" s="2">
        <f t="shared" si="40"/>
        <v>5</v>
      </c>
      <c r="AI25" s="34">
        <f t="shared" si="41"/>
        <v>2</v>
      </c>
      <c r="AJ25" s="36">
        <f t="shared" ref="AJ25:AS25" si="64">+(O25+D25)/2</f>
        <v>1.285714286</v>
      </c>
      <c r="AK25" s="2">
        <f t="shared" si="64"/>
        <v>9</v>
      </c>
      <c r="AL25" s="2">
        <f t="shared" si="64"/>
        <v>6</v>
      </c>
      <c r="AM25" s="2">
        <f t="shared" si="64"/>
        <v>1.5</v>
      </c>
      <c r="AN25" s="2">
        <f t="shared" si="64"/>
        <v>10.5</v>
      </c>
      <c r="AO25" s="2">
        <f t="shared" si="64"/>
        <v>6</v>
      </c>
      <c r="AP25" s="2">
        <f t="shared" si="64"/>
        <v>3.5</v>
      </c>
      <c r="AQ25" s="2">
        <f t="shared" si="64"/>
        <v>4.5</v>
      </c>
      <c r="AR25" s="2">
        <f t="shared" si="64"/>
        <v>4.5</v>
      </c>
      <c r="AS25" s="62">
        <f t="shared" si="64"/>
        <v>1.5</v>
      </c>
      <c r="AT25" s="37">
        <f t="shared" si="7"/>
        <v>0.3571428571</v>
      </c>
      <c r="AU25" s="38">
        <f t="shared" si="8"/>
        <v>0.2142857143</v>
      </c>
      <c r="AV25" s="38">
        <f t="shared" si="9"/>
        <v>0.2142857143</v>
      </c>
      <c r="AW25" s="38">
        <f t="shared" si="10"/>
        <v>0.3571428571</v>
      </c>
      <c r="AX25" s="38">
        <f t="shared" si="11"/>
        <v>0.1428571429</v>
      </c>
      <c r="AY25" s="38">
        <f t="shared" si="12"/>
        <v>0.07142857143</v>
      </c>
      <c r="AZ25" s="38">
        <f t="shared" si="13"/>
        <v>0.7857142857</v>
      </c>
      <c r="BA25" s="38">
        <f t="shared" ref="BA25:BB25" si="65">+AV25+AW25+AX25</f>
        <v>0.7142857143</v>
      </c>
      <c r="BB25" s="39">
        <f t="shared" si="65"/>
        <v>0.5714285714</v>
      </c>
    </row>
    <row r="26">
      <c r="A26" s="60"/>
      <c r="B26" s="40">
        <v>15.0</v>
      </c>
      <c r="C26" s="74">
        <v>2.0</v>
      </c>
      <c r="D26" s="27">
        <f t="shared" si="3"/>
        <v>1.2</v>
      </c>
      <c r="E26" s="24">
        <f t="shared" si="15"/>
        <v>10</v>
      </c>
      <c r="F26" s="2">
        <f t="shared" si="16"/>
        <v>6</v>
      </c>
      <c r="G26" s="24">
        <f t="shared" si="17"/>
        <v>1</v>
      </c>
      <c r="H26" s="24">
        <f t="shared" si="18"/>
        <v>11</v>
      </c>
      <c r="I26" s="24">
        <f t="shared" si="19"/>
        <v>6</v>
      </c>
      <c r="J26" s="24">
        <f t="shared" si="20"/>
        <v>4</v>
      </c>
      <c r="K26" s="24">
        <f t="shared" si="21"/>
        <v>5</v>
      </c>
      <c r="L26" s="24">
        <f t="shared" si="22"/>
        <v>5</v>
      </c>
      <c r="M26" s="28">
        <f t="shared" si="23"/>
        <v>1</v>
      </c>
      <c r="N26" s="24">
        <v>1.0</v>
      </c>
      <c r="O26" s="27">
        <f t="shared" si="4"/>
        <v>1.4</v>
      </c>
      <c r="P26" s="24">
        <f t="shared" si="24"/>
        <v>10</v>
      </c>
      <c r="Q26" s="2">
        <f t="shared" si="25"/>
        <v>7</v>
      </c>
      <c r="R26" s="24">
        <f t="shared" si="26"/>
        <v>2</v>
      </c>
      <c r="S26" s="24">
        <f t="shared" si="27"/>
        <v>12</v>
      </c>
      <c r="T26" s="24">
        <f t="shared" si="28"/>
        <v>7</v>
      </c>
      <c r="U26" s="24">
        <f t="shared" si="29"/>
        <v>3</v>
      </c>
      <c r="V26" s="24">
        <f t="shared" si="30"/>
        <v>5</v>
      </c>
      <c r="W26" s="24">
        <f t="shared" si="31"/>
        <v>5</v>
      </c>
      <c r="X26" s="28">
        <f t="shared" si="32"/>
        <v>2</v>
      </c>
      <c r="Y26" s="24">
        <v>0.0</v>
      </c>
      <c r="Z26" s="27">
        <f t="shared" si="5"/>
        <v>1.533333333</v>
      </c>
      <c r="AA26" s="24">
        <f t="shared" si="33"/>
        <v>8</v>
      </c>
      <c r="AB26" s="2">
        <f t="shared" si="34"/>
        <v>7</v>
      </c>
      <c r="AC26" s="24">
        <f t="shared" si="35"/>
        <v>3</v>
      </c>
      <c r="AD26" s="24">
        <f t="shared" si="36"/>
        <v>10</v>
      </c>
      <c r="AE26" s="24">
        <f t="shared" si="37"/>
        <v>8</v>
      </c>
      <c r="AF26" s="24">
        <f t="shared" si="38"/>
        <v>4</v>
      </c>
      <c r="AG26" s="24">
        <f t="shared" si="39"/>
        <v>3</v>
      </c>
      <c r="AH26" s="24">
        <f t="shared" si="40"/>
        <v>5</v>
      </c>
      <c r="AI26" s="28">
        <f t="shared" si="41"/>
        <v>2</v>
      </c>
      <c r="AJ26" s="29">
        <f t="shared" ref="AJ26:AS26" si="66">+(O26+D26)/2</f>
        <v>1.3</v>
      </c>
      <c r="AK26" s="24">
        <f t="shared" si="66"/>
        <v>10</v>
      </c>
      <c r="AL26" s="2">
        <f t="shared" si="66"/>
        <v>6.5</v>
      </c>
      <c r="AM26" s="24">
        <f t="shared" si="66"/>
        <v>1.5</v>
      </c>
      <c r="AN26" s="24">
        <f t="shared" si="66"/>
        <v>11.5</v>
      </c>
      <c r="AO26" s="24">
        <f t="shared" si="66"/>
        <v>6.5</v>
      </c>
      <c r="AP26" s="24">
        <f t="shared" si="66"/>
        <v>3.5</v>
      </c>
      <c r="AQ26" s="24">
        <f t="shared" si="66"/>
        <v>5</v>
      </c>
      <c r="AR26" s="24">
        <f t="shared" si="66"/>
        <v>5</v>
      </c>
      <c r="AS26" s="61">
        <f t="shared" si="66"/>
        <v>1.5</v>
      </c>
      <c r="AT26" s="30">
        <f t="shared" si="7"/>
        <v>0.2333333333</v>
      </c>
      <c r="AU26" s="31">
        <f t="shared" si="8"/>
        <v>0.2666666667</v>
      </c>
      <c r="AV26" s="31">
        <f t="shared" si="9"/>
        <v>0.2</v>
      </c>
      <c r="AW26" s="31">
        <f t="shared" si="10"/>
        <v>0.3333333333</v>
      </c>
      <c r="AX26" s="31">
        <f t="shared" si="11"/>
        <v>0.1333333333</v>
      </c>
      <c r="AY26" s="31">
        <f t="shared" si="12"/>
        <v>0.06666666667</v>
      </c>
      <c r="AZ26" s="31">
        <f t="shared" si="13"/>
        <v>0.7333333333</v>
      </c>
      <c r="BA26" s="31">
        <f t="shared" ref="BA26:BB26" si="67">+AV26+AW26+AX26</f>
        <v>0.6666666667</v>
      </c>
      <c r="BB26" s="32">
        <f t="shared" si="67"/>
        <v>0.5333333333</v>
      </c>
      <c r="BC26" s="60"/>
      <c r="BD26" s="60"/>
      <c r="BE26" s="60"/>
      <c r="BF26" s="60"/>
      <c r="BG26" s="60"/>
      <c r="BH26" s="60"/>
      <c r="BI26" s="60"/>
      <c r="BJ26" s="60"/>
      <c r="BK26" s="60"/>
      <c r="BL26" s="60"/>
    </row>
    <row r="27" ht="15.75" customHeight="1">
      <c r="B27" s="33">
        <v>16.0</v>
      </c>
      <c r="C27" s="75">
        <v>2.0</v>
      </c>
      <c r="D27" s="3">
        <f t="shared" si="3"/>
        <v>1.25</v>
      </c>
      <c r="E27" s="2">
        <f t="shared" si="15"/>
        <v>11</v>
      </c>
      <c r="F27" s="2">
        <f t="shared" si="16"/>
        <v>7</v>
      </c>
      <c r="G27" s="2">
        <f t="shared" si="17"/>
        <v>1</v>
      </c>
      <c r="H27" s="2">
        <f t="shared" si="18"/>
        <v>12</v>
      </c>
      <c r="I27" s="2">
        <f t="shared" si="19"/>
        <v>7</v>
      </c>
      <c r="J27" s="2">
        <f t="shared" si="20"/>
        <v>4</v>
      </c>
      <c r="K27" s="2">
        <f t="shared" si="21"/>
        <v>5</v>
      </c>
      <c r="L27" s="2">
        <f t="shared" si="22"/>
        <v>6</v>
      </c>
      <c r="M27" s="34">
        <f t="shared" si="23"/>
        <v>1</v>
      </c>
      <c r="N27" s="2">
        <v>2.0</v>
      </c>
      <c r="O27" s="3">
        <f t="shared" si="4"/>
        <v>1.4375</v>
      </c>
      <c r="P27" s="2">
        <f t="shared" si="24"/>
        <v>11</v>
      </c>
      <c r="Q27" s="2">
        <f t="shared" si="25"/>
        <v>8</v>
      </c>
      <c r="R27" s="2">
        <f t="shared" si="26"/>
        <v>2</v>
      </c>
      <c r="S27" s="2">
        <f t="shared" si="27"/>
        <v>13</v>
      </c>
      <c r="T27" s="2">
        <f t="shared" si="28"/>
        <v>8</v>
      </c>
      <c r="U27" s="2">
        <f t="shared" si="29"/>
        <v>3</v>
      </c>
      <c r="V27" s="2">
        <f t="shared" si="30"/>
        <v>5</v>
      </c>
      <c r="W27" s="2">
        <f t="shared" si="31"/>
        <v>6</v>
      </c>
      <c r="X27" s="34">
        <f t="shared" si="32"/>
        <v>2</v>
      </c>
      <c r="Y27" s="47">
        <v>1.0</v>
      </c>
      <c r="Z27" s="3">
        <f t="shared" si="5"/>
        <v>1.5</v>
      </c>
      <c r="AA27" s="2">
        <f t="shared" si="33"/>
        <v>9</v>
      </c>
      <c r="AB27" s="2">
        <f t="shared" si="34"/>
        <v>7</v>
      </c>
      <c r="AC27" s="2">
        <f t="shared" si="35"/>
        <v>3</v>
      </c>
      <c r="AD27" s="2">
        <f t="shared" si="36"/>
        <v>11</v>
      </c>
      <c r="AE27" s="2">
        <f t="shared" si="37"/>
        <v>8</v>
      </c>
      <c r="AF27" s="2">
        <f t="shared" si="38"/>
        <v>4</v>
      </c>
      <c r="AG27" s="2">
        <f t="shared" si="39"/>
        <v>4</v>
      </c>
      <c r="AH27" s="2">
        <f t="shared" si="40"/>
        <v>5</v>
      </c>
      <c r="AI27" s="34">
        <f t="shared" si="41"/>
        <v>2</v>
      </c>
      <c r="AJ27" s="36">
        <f t="shared" ref="AJ27:AS27" si="68">+(O27+D27)/2</f>
        <v>1.34375</v>
      </c>
      <c r="AK27" s="2">
        <f t="shared" si="68"/>
        <v>11</v>
      </c>
      <c r="AL27" s="2">
        <f t="shared" si="68"/>
        <v>7.5</v>
      </c>
      <c r="AM27" s="2">
        <f t="shared" si="68"/>
        <v>1.5</v>
      </c>
      <c r="AN27" s="2">
        <f t="shared" si="68"/>
        <v>12.5</v>
      </c>
      <c r="AO27" s="2">
        <f t="shared" si="68"/>
        <v>7.5</v>
      </c>
      <c r="AP27" s="2">
        <f t="shared" si="68"/>
        <v>3.5</v>
      </c>
      <c r="AQ27" s="2">
        <f t="shared" si="68"/>
        <v>5</v>
      </c>
      <c r="AR27" s="2">
        <f t="shared" si="68"/>
        <v>6</v>
      </c>
      <c r="AS27" s="62">
        <f t="shared" si="68"/>
        <v>1.5</v>
      </c>
      <c r="AT27" s="37">
        <f t="shared" si="7"/>
        <v>0.15625</v>
      </c>
      <c r="AU27" s="38">
        <f t="shared" si="8"/>
        <v>0.25</v>
      </c>
      <c r="AV27" s="38">
        <f t="shared" si="9"/>
        <v>0.25</v>
      </c>
      <c r="AW27" s="38">
        <f t="shared" si="10"/>
        <v>0.3125</v>
      </c>
      <c r="AX27" s="38">
        <f t="shared" si="11"/>
        <v>0.125</v>
      </c>
      <c r="AY27" s="38">
        <f t="shared" si="12"/>
        <v>0.0625</v>
      </c>
      <c r="AZ27" s="38">
        <f t="shared" si="13"/>
        <v>0.75</v>
      </c>
      <c r="BA27" s="38">
        <f t="shared" ref="BA27:BB27" si="69">+AV27+AW27+AX27</f>
        <v>0.6875</v>
      </c>
      <c r="BB27" s="39">
        <f t="shared" si="69"/>
        <v>0.5</v>
      </c>
    </row>
    <row r="28" ht="15.75" customHeight="1">
      <c r="A28" s="60"/>
      <c r="B28" s="40">
        <v>17.0</v>
      </c>
      <c r="C28" s="74">
        <v>1.0</v>
      </c>
      <c r="D28" s="27">
        <f t="shared" si="3"/>
        <v>1.235294118</v>
      </c>
      <c r="E28" s="24">
        <f t="shared" si="15"/>
        <v>12</v>
      </c>
      <c r="F28" s="2">
        <f t="shared" si="16"/>
        <v>7</v>
      </c>
      <c r="G28" s="24">
        <f t="shared" si="17"/>
        <v>1</v>
      </c>
      <c r="H28" s="24">
        <f t="shared" si="18"/>
        <v>13</v>
      </c>
      <c r="I28" s="24">
        <f t="shared" si="19"/>
        <v>7</v>
      </c>
      <c r="J28" s="24">
        <f t="shared" si="20"/>
        <v>4</v>
      </c>
      <c r="K28" s="24">
        <f t="shared" si="21"/>
        <v>6</v>
      </c>
      <c r="L28" s="24">
        <f t="shared" si="22"/>
        <v>6</v>
      </c>
      <c r="M28" s="28">
        <f t="shared" si="23"/>
        <v>1</v>
      </c>
      <c r="N28" s="24">
        <v>2.0</v>
      </c>
      <c r="O28" s="27">
        <f t="shared" si="4"/>
        <v>1.470588235</v>
      </c>
      <c r="P28" s="24">
        <f t="shared" si="24"/>
        <v>12</v>
      </c>
      <c r="Q28" s="2">
        <f t="shared" si="25"/>
        <v>9</v>
      </c>
      <c r="R28" s="24">
        <f t="shared" si="26"/>
        <v>2</v>
      </c>
      <c r="S28" s="24">
        <f t="shared" si="27"/>
        <v>14</v>
      </c>
      <c r="T28" s="24">
        <f t="shared" si="28"/>
        <v>9</v>
      </c>
      <c r="U28" s="24">
        <f t="shared" si="29"/>
        <v>3</v>
      </c>
      <c r="V28" s="24">
        <f t="shared" si="30"/>
        <v>5</v>
      </c>
      <c r="W28" s="24">
        <f t="shared" si="31"/>
        <v>7</v>
      </c>
      <c r="X28" s="28">
        <f t="shared" si="32"/>
        <v>2</v>
      </c>
      <c r="Y28" s="41">
        <v>1.0</v>
      </c>
      <c r="Z28" s="27">
        <f t="shared" si="5"/>
        <v>1.470588235</v>
      </c>
      <c r="AA28" s="24">
        <f t="shared" si="33"/>
        <v>10</v>
      </c>
      <c r="AB28" s="2">
        <f t="shared" si="34"/>
        <v>7</v>
      </c>
      <c r="AC28" s="24">
        <f t="shared" si="35"/>
        <v>3</v>
      </c>
      <c r="AD28" s="24">
        <f t="shared" si="36"/>
        <v>12</v>
      </c>
      <c r="AE28" s="24">
        <f t="shared" si="37"/>
        <v>8</v>
      </c>
      <c r="AF28" s="24">
        <f t="shared" si="38"/>
        <v>4</v>
      </c>
      <c r="AG28" s="24">
        <f t="shared" si="39"/>
        <v>5</v>
      </c>
      <c r="AH28" s="24">
        <f t="shared" si="40"/>
        <v>5</v>
      </c>
      <c r="AI28" s="28">
        <f t="shared" si="41"/>
        <v>2</v>
      </c>
      <c r="AJ28" s="29">
        <f t="shared" ref="AJ28:AS28" si="70">+(O28+D28)/2</f>
        <v>1.352941176</v>
      </c>
      <c r="AK28" s="24">
        <f t="shared" si="70"/>
        <v>12</v>
      </c>
      <c r="AL28" s="2">
        <f t="shared" si="70"/>
        <v>8</v>
      </c>
      <c r="AM28" s="24">
        <f t="shared" si="70"/>
        <v>1.5</v>
      </c>
      <c r="AN28" s="24">
        <f t="shared" si="70"/>
        <v>13.5</v>
      </c>
      <c r="AO28" s="24">
        <f t="shared" si="70"/>
        <v>8</v>
      </c>
      <c r="AP28" s="24">
        <f t="shared" si="70"/>
        <v>3.5</v>
      </c>
      <c r="AQ28" s="24">
        <f t="shared" si="70"/>
        <v>5.5</v>
      </c>
      <c r="AR28" s="24">
        <f t="shared" si="70"/>
        <v>6.5</v>
      </c>
      <c r="AS28" s="61">
        <f t="shared" si="70"/>
        <v>1.5</v>
      </c>
      <c r="AT28" s="30">
        <f t="shared" si="7"/>
        <v>0.1176470588</v>
      </c>
      <c r="AU28" s="31">
        <f t="shared" si="8"/>
        <v>0.2352941176</v>
      </c>
      <c r="AV28" s="31">
        <f t="shared" si="9"/>
        <v>0.2941176471</v>
      </c>
      <c r="AW28" s="31">
        <f t="shared" si="10"/>
        <v>0.2941176471</v>
      </c>
      <c r="AX28" s="31">
        <f t="shared" si="11"/>
        <v>0.1176470588</v>
      </c>
      <c r="AY28" s="31">
        <f t="shared" si="12"/>
        <v>0.05882352941</v>
      </c>
      <c r="AZ28" s="31">
        <f t="shared" si="13"/>
        <v>0.7647058824</v>
      </c>
      <c r="BA28" s="31">
        <f t="shared" ref="BA28:BB28" si="71">+AV28+AW28+AX28</f>
        <v>0.7058823529</v>
      </c>
      <c r="BB28" s="32">
        <f t="shared" si="71"/>
        <v>0.4705882353</v>
      </c>
      <c r="BC28" s="60"/>
      <c r="BD28" s="60"/>
      <c r="BE28" s="60"/>
      <c r="BF28" s="60"/>
      <c r="BG28" s="60"/>
      <c r="BH28" s="60"/>
      <c r="BI28" s="60"/>
      <c r="BJ28" s="60"/>
      <c r="BK28" s="60"/>
      <c r="BL28" s="60"/>
    </row>
    <row r="29" ht="15.75" customHeight="1">
      <c r="B29" s="33">
        <v>18.0</v>
      </c>
      <c r="C29" s="75">
        <v>0.0</v>
      </c>
      <c r="D29" s="3">
        <f t="shared" si="3"/>
        <v>1.166666667</v>
      </c>
      <c r="E29" s="2">
        <f t="shared" si="15"/>
        <v>12</v>
      </c>
      <c r="F29" s="2">
        <f t="shared" si="16"/>
        <v>7</v>
      </c>
      <c r="G29" s="2">
        <f t="shared" si="17"/>
        <v>1</v>
      </c>
      <c r="H29" s="2">
        <f t="shared" si="18"/>
        <v>13</v>
      </c>
      <c r="I29" s="2">
        <f t="shared" si="19"/>
        <v>7</v>
      </c>
      <c r="J29" s="2">
        <f t="shared" si="20"/>
        <v>5</v>
      </c>
      <c r="K29" s="2">
        <f t="shared" si="21"/>
        <v>6</v>
      </c>
      <c r="L29" s="2">
        <f t="shared" si="22"/>
        <v>6</v>
      </c>
      <c r="M29" s="34">
        <f t="shared" si="23"/>
        <v>1</v>
      </c>
      <c r="N29" s="2">
        <v>2.0</v>
      </c>
      <c r="O29" s="3">
        <f t="shared" si="4"/>
        <v>1.5</v>
      </c>
      <c r="P29" s="2">
        <f t="shared" si="24"/>
        <v>13</v>
      </c>
      <c r="Q29" s="2">
        <f t="shared" si="25"/>
        <v>10</v>
      </c>
      <c r="R29" s="2">
        <f t="shared" si="26"/>
        <v>2</v>
      </c>
      <c r="S29" s="2">
        <f t="shared" si="27"/>
        <v>15</v>
      </c>
      <c r="T29" s="2">
        <f t="shared" si="28"/>
        <v>10</v>
      </c>
      <c r="U29" s="2">
        <f t="shared" si="29"/>
        <v>3</v>
      </c>
      <c r="V29" s="2">
        <f t="shared" si="30"/>
        <v>5</v>
      </c>
      <c r="W29" s="2">
        <f t="shared" si="31"/>
        <v>8</v>
      </c>
      <c r="X29" s="34">
        <f t="shared" si="32"/>
        <v>2</v>
      </c>
      <c r="Y29" s="2"/>
      <c r="Z29" s="3">
        <f t="shared" si="5"/>
        <v>1.470588235</v>
      </c>
      <c r="AA29" s="2">
        <f t="shared" si="33"/>
        <v>10</v>
      </c>
      <c r="AB29" s="2">
        <f t="shared" si="34"/>
        <v>7</v>
      </c>
      <c r="AC29" s="2">
        <f t="shared" si="35"/>
        <v>3</v>
      </c>
      <c r="AD29" s="2">
        <f t="shared" si="36"/>
        <v>12</v>
      </c>
      <c r="AE29" s="2">
        <f t="shared" si="37"/>
        <v>8</v>
      </c>
      <c r="AF29" s="2">
        <f t="shared" si="38"/>
        <v>5</v>
      </c>
      <c r="AG29" s="2">
        <f t="shared" si="39"/>
        <v>5</v>
      </c>
      <c r="AH29" s="2">
        <f t="shared" si="40"/>
        <v>5</v>
      </c>
      <c r="AI29" s="34">
        <f t="shared" si="41"/>
        <v>2</v>
      </c>
      <c r="AJ29" s="36">
        <f t="shared" ref="AJ29:AS29" si="72">+(O29+D29)/2</f>
        <v>1.333333333</v>
      </c>
      <c r="AK29" s="2">
        <f t="shared" si="72"/>
        <v>12.5</v>
      </c>
      <c r="AL29" s="2">
        <f t="shared" si="72"/>
        <v>8.5</v>
      </c>
      <c r="AM29" s="2">
        <f t="shared" si="72"/>
        <v>1.5</v>
      </c>
      <c r="AN29" s="2">
        <f t="shared" si="72"/>
        <v>14</v>
      </c>
      <c r="AO29" s="2">
        <f t="shared" si="72"/>
        <v>8.5</v>
      </c>
      <c r="AP29" s="2">
        <f t="shared" si="72"/>
        <v>4</v>
      </c>
      <c r="AQ29" s="2">
        <f t="shared" si="72"/>
        <v>5.5</v>
      </c>
      <c r="AR29" s="2">
        <f t="shared" si="72"/>
        <v>7</v>
      </c>
      <c r="AS29" s="62">
        <f t="shared" si="72"/>
        <v>1.5</v>
      </c>
      <c r="AT29" s="37">
        <f t="shared" si="7"/>
        <v>0.137254902</v>
      </c>
      <c r="AU29" s="38">
        <f t="shared" si="8"/>
        <v>0.2222222222</v>
      </c>
      <c r="AV29" s="38">
        <f t="shared" si="9"/>
        <v>0.2777777778</v>
      </c>
      <c r="AW29" s="38">
        <f t="shared" si="10"/>
        <v>0.2777777778</v>
      </c>
      <c r="AX29" s="38">
        <f t="shared" si="11"/>
        <v>0.1111111111</v>
      </c>
      <c r="AY29" s="38">
        <f t="shared" si="12"/>
        <v>0.05555555556</v>
      </c>
      <c r="AZ29" s="38">
        <f t="shared" si="13"/>
        <v>0.7777777778</v>
      </c>
      <c r="BA29" s="38">
        <f t="shared" ref="BA29:BB29" si="73">+AV29+AW29+AX29</f>
        <v>0.6666666667</v>
      </c>
      <c r="BB29" s="39">
        <f t="shared" si="73"/>
        <v>0.4444444444</v>
      </c>
    </row>
    <row r="30" ht="15.75" customHeight="1">
      <c r="A30" s="60"/>
      <c r="B30" s="40">
        <v>19.0</v>
      </c>
      <c r="C30" s="74">
        <v>1.0</v>
      </c>
      <c r="D30" s="27">
        <f t="shared" si="3"/>
        <v>1.157894737</v>
      </c>
      <c r="E30" s="24">
        <f t="shared" si="15"/>
        <v>13</v>
      </c>
      <c r="F30" s="2">
        <f t="shared" si="16"/>
        <v>7</v>
      </c>
      <c r="G30" s="24">
        <f t="shared" si="17"/>
        <v>1</v>
      </c>
      <c r="H30" s="24">
        <f t="shared" si="18"/>
        <v>14</v>
      </c>
      <c r="I30" s="24">
        <f t="shared" si="19"/>
        <v>7</v>
      </c>
      <c r="J30" s="24">
        <f t="shared" si="20"/>
        <v>5</v>
      </c>
      <c r="K30" s="24">
        <f t="shared" si="21"/>
        <v>7</v>
      </c>
      <c r="L30" s="24">
        <f t="shared" si="22"/>
        <v>6</v>
      </c>
      <c r="M30" s="28">
        <f t="shared" si="23"/>
        <v>1</v>
      </c>
      <c r="N30" s="24">
        <v>2.0</v>
      </c>
      <c r="O30" s="27">
        <f t="shared" si="4"/>
        <v>1.526315789</v>
      </c>
      <c r="P30" s="24">
        <f t="shared" si="24"/>
        <v>14</v>
      </c>
      <c r="Q30" s="2">
        <f t="shared" si="25"/>
        <v>11</v>
      </c>
      <c r="R30" s="24">
        <f t="shared" si="26"/>
        <v>2</v>
      </c>
      <c r="S30" s="24">
        <f t="shared" si="27"/>
        <v>16</v>
      </c>
      <c r="T30" s="24">
        <f t="shared" si="28"/>
        <v>11</v>
      </c>
      <c r="U30" s="24">
        <f t="shared" si="29"/>
        <v>3</v>
      </c>
      <c r="V30" s="24">
        <f t="shared" si="30"/>
        <v>5</v>
      </c>
      <c r="W30" s="24">
        <f t="shared" si="31"/>
        <v>9</v>
      </c>
      <c r="X30" s="28">
        <f t="shared" si="32"/>
        <v>2</v>
      </c>
      <c r="Y30" s="24"/>
      <c r="Z30" s="27">
        <f t="shared" si="5"/>
        <v>1.470588235</v>
      </c>
      <c r="AA30" s="24">
        <f t="shared" si="33"/>
        <v>10</v>
      </c>
      <c r="AB30" s="2">
        <f t="shared" si="34"/>
        <v>7</v>
      </c>
      <c r="AC30" s="24">
        <f t="shared" si="35"/>
        <v>3</v>
      </c>
      <c r="AD30" s="24">
        <f t="shared" si="36"/>
        <v>12</v>
      </c>
      <c r="AE30" s="24">
        <f t="shared" si="37"/>
        <v>8</v>
      </c>
      <c r="AF30" s="24">
        <f t="shared" si="38"/>
        <v>6</v>
      </c>
      <c r="AG30" s="24">
        <f t="shared" si="39"/>
        <v>5</v>
      </c>
      <c r="AH30" s="24">
        <f t="shared" si="40"/>
        <v>5</v>
      </c>
      <c r="AI30" s="28">
        <f t="shared" si="41"/>
        <v>2</v>
      </c>
      <c r="AJ30" s="29">
        <f t="shared" ref="AJ30:AS30" si="74">+(O30+D30)/2</f>
        <v>1.342105263</v>
      </c>
      <c r="AK30" s="24">
        <f t="shared" si="74"/>
        <v>13.5</v>
      </c>
      <c r="AL30" s="2">
        <f t="shared" si="74"/>
        <v>9</v>
      </c>
      <c r="AM30" s="24">
        <f t="shared" si="74"/>
        <v>1.5</v>
      </c>
      <c r="AN30" s="24">
        <f t="shared" si="74"/>
        <v>15</v>
      </c>
      <c r="AO30" s="24">
        <f t="shared" si="74"/>
        <v>9</v>
      </c>
      <c r="AP30" s="24">
        <f t="shared" si="74"/>
        <v>4</v>
      </c>
      <c r="AQ30" s="24">
        <f t="shared" si="74"/>
        <v>6</v>
      </c>
      <c r="AR30" s="24">
        <f t="shared" si="74"/>
        <v>7.5</v>
      </c>
      <c r="AS30" s="61">
        <f t="shared" si="74"/>
        <v>1.5</v>
      </c>
      <c r="AT30" s="30">
        <f t="shared" si="7"/>
        <v>0.1284829721</v>
      </c>
      <c r="AU30" s="31">
        <f t="shared" si="8"/>
        <v>0.2105263158</v>
      </c>
      <c r="AV30" s="31">
        <f t="shared" si="9"/>
        <v>0.2631578947</v>
      </c>
      <c r="AW30" s="31">
        <f t="shared" si="10"/>
        <v>0.2631578947</v>
      </c>
      <c r="AX30" s="31">
        <f t="shared" si="11"/>
        <v>0.1052631579</v>
      </c>
      <c r="AY30" s="31">
        <f t="shared" si="12"/>
        <v>0.05263157895</v>
      </c>
      <c r="AZ30" s="31">
        <f t="shared" si="13"/>
        <v>0.7894736842</v>
      </c>
      <c r="BA30" s="31">
        <f t="shared" ref="BA30:BB30" si="75">+AV30+AW30+AX30</f>
        <v>0.6315789474</v>
      </c>
      <c r="BB30" s="32">
        <f t="shared" si="75"/>
        <v>0.4210526316</v>
      </c>
      <c r="BC30" s="60"/>
      <c r="BD30" s="60"/>
      <c r="BE30" s="60"/>
      <c r="BF30" s="60"/>
      <c r="BG30" s="60"/>
      <c r="BH30" s="60"/>
      <c r="BI30" s="60"/>
      <c r="BJ30" s="60"/>
      <c r="BK30" s="60"/>
      <c r="BL30" s="60"/>
    </row>
    <row r="31" ht="15.75" customHeight="1">
      <c r="B31" s="33">
        <v>20.0</v>
      </c>
      <c r="C31" s="75">
        <v>1.0</v>
      </c>
      <c r="D31" s="3">
        <f t="shared" si="3"/>
        <v>1.15</v>
      </c>
      <c r="E31" s="2">
        <f t="shared" si="15"/>
        <v>14</v>
      </c>
      <c r="F31" s="2">
        <f t="shared" si="16"/>
        <v>7</v>
      </c>
      <c r="G31" s="2">
        <f t="shared" si="17"/>
        <v>1</v>
      </c>
      <c r="H31" s="2">
        <f t="shared" si="18"/>
        <v>15</v>
      </c>
      <c r="I31" s="2">
        <f t="shared" si="19"/>
        <v>7</v>
      </c>
      <c r="J31" s="2">
        <f t="shared" si="20"/>
        <v>5</v>
      </c>
      <c r="K31" s="2">
        <f t="shared" si="21"/>
        <v>8</v>
      </c>
      <c r="L31" s="2">
        <f t="shared" si="22"/>
        <v>6</v>
      </c>
      <c r="M31" s="34">
        <f t="shared" si="23"/>
        <v>1</v>
      </c>
      <c r="N31" s="2">
        <v>3.0</v>
      </c>
      <c r="O31" s="3">
        <f t="shared" si="4"/>
        <v>1.6</v>
      </c>
      <c r="P31" s="2">
        <f t="shared" si="24"/>
        <v>14</v>
      </c>
      <c r="Q31" s="2">
        <f t="shared" si="25"/>
        <v>12</v>
      </c>
      <c r="R31" s="2">
        <f t="shared" si="26"/>
        <v>3</v>
      </c>
      <c r="S31" s="2">
        <f t="shared" si="27"/>
        <v>17</v>
      </c>
      <c r="T31" s="2">
        <f t="shared" si="28"/>
        <v>12</v>
      </c>
      <c r="U31" s="2">
        <f t="shared" si="29"/>
        <v>3</v>
      </c>
      <c r="V31" s="2">
        <f t="shared" si="30"/>
        <v>5</v>
      </c>
      <c r="W31" s="2">
        <f t="shared" si="31"/>
        <v>9</v>
      </c>
      <c r="X31" s="34">
        <f t="shared" si="32"/>
        <v>3</v>
      </c>
      <c r="Y31" s="2"/>
      <c r="Z31" s="3">
        <f t="shared" si="5"/>
        <v>1.470588235</v>
      </c>
      <c r="AA31" s="2">
        <f t="shared" si="33"/>
        <v>10</v>
      </c>
      <c r="AB31" s="2">
        <f t="shared" si="34"/>
        <v>7</v>
      </c>
      <c r="AC31" s="2">
        <f t="shared" si="35"/>
        <v>3</v>
      </c>
      <c r="AD31" s="2">
        <f t="shared" si="36"/>
        <v>12</v>
      </c>
      <c r="AE31" s="2">
        <f t="shared" si="37"/>
        <v>8</v>
      </c>
      <c r="AF31" s="2">
        <f t="shared" si="38"/>
        <v>7</v>
      </c>
      <c r="AG31" s="2">
        <f t="shared" si="39"/>
        <v>5</v>
      </c>
      <c r="AH31" s="2">
        <f t="shared" si="40"/>
        <v>5</v>
      </c>
      <c r="AI31" s="34">
        <f t="shared" si="41"/>
        <v>2</v>
      </c>
      <c r="AJ31" s="36">
        <f t="shared" ref="AJ31:AS31" si="76">+(O31+D31)/2</f>
        <v>1.375</v>
      </c>
      <c r="AK31" s="2">
        <f t="shared" si="76"/>
        <v>14</v>
      </c>
      <c r="AL31" s="2">
        <f t="shared" si="76"/>
        <v>9.5</v>
      </c>
      <c r="AM31" s="2">
        <f t="shared" si="76"/>
        <v>2</v>
      </c>
      <c r="AN31" s="2">
        <f t="shared" si="76"/>
        <v>16</v>
      </c>
      <c r="AO31" s="2">
        <f t="shared" si="76"/>
        <v>9.5</v>
      </c>
      <c r="AP31" s="2">
        <f t="shared" si="76"/>
        <v>4</v>
      </c>
      <c r="AQ31" s="2">
        <f t="shared" si="76"/>
        <v>6.5</v>
      </c>
      <c r="AR31" s="2">
        <f t="shared" si="76"/>
        <v>7.5</v>
      </c>
      <c r="AS31" s="62">
        <f t="shared" si="76"/>
        <v>2</v>
      </c>
      <c r="AT31" s="37">
        <f t="shared" si="7"/>
        <v>0.09558823529</v>
      </c>
      <c r="AU31" s="38">
        <f t="shared" si="8"/>
        <v>0.2</v>
      </c>
      <c r="AV31" s="38">
        <f t="shared" si="9"/>
        <v>0.25</v>
      </c>
      <c r="AW31" s="38">
        <f t="shared" si="10"/>
        <v>0.25</v>
      </c>
      <c r="AX31" s="38">
        <f t="shared" si="11"/>
        <v>0.1</v>
      </c>
      <c r="AY31" s="38">
        <f t="shared" si="12"/>
        <v>0.05</v>
      </c>
      <c r="AZ31" s="38">
        <f t="shared" si="13"/>
        <v>0.8</v>
      </c>
      <c r="BA31" s="38">
        <f t="shared" ref="BA31:BB31" si="77">+AV31+AW31+AX31</f>
        <v>0.6</v>
      </c>
      <c r="BB31" s="39">
        <f t="shared" si="77"/>
        <v>0.4</v>
      </c>
    </row>
    <row r="32" ht="15.75" customHeight="1">
      <c r="A32" s="60"/>
      <c r="B32" s="40">
        <v>21.0</v>
      </c>
      <c r="C32" s="74">
        <v>2.0</v>
      </c>
      <c r="D32" s="27">
        <f t="shared" si="3"/>
        <v>1.19047619</v>
      </c>
      <c r="E32" s="24">
        <f t="shared" si="15"/>
        <v>15</v>
      </c>
      <c r="F32" s="2">
        <f t="shared" si="16"/>
        <v>8</v>
      </c>
      <c r="G32" s="24">
        <f t="shared" si="17"/>
        <v>1</v>
      </c>
      <c r="H32" s="24">
        <f t="shared" si="18"/>
        <v>16</v>
      </c>
      <c r="I32" s="24">
        <f t="shared" si="19"/>
        <v>8</v>
      </c>
      <c r="J32" s="24">
        <f t="shared" si="20"/>
        <v>5</v>
      </c>
      <c r="K32" s="24">
        <f t="shared" si="21"/>
        <v>8</v>
      </c>
      <c r="L32" s="24">
        <f t="shared" si="22"/>
        <v>7</v>
      </c>
      <c r="M32" s="28">
        <f t="shared" si="23"/>
        <v>1</v>
      </c>
      <c r="N32" s="24">
        <v>1.0</v>
      </c>
      <c r="O32" s="27">
        <f t="shared" si="4"/>
        <v>1.571428571</v>
      </c>
      <c r="P32" s="24">
        <f t="shared" si="24"/>
        <v>15</v>
      </c>
      <c r="Q32" s="2">
        <f t="shared" si="25"/>
        <v>12</v>
      </c>
      <c r="R32" s="24">
        <f t="shared" si="26"/>
        <v>3</v>
      </c>
      <c r="S32" s="24">
        <f t="shared" si="27"/>
        <v>18</v>
      </c>
      <c r="T32" s="24">
        <f t="shared" si="28"/>
        <v>12</v>
      </c>
      <c r="U32" s="24">
        <f t="shared" si="29"/>
        <v>3</v>
      </c>
      <c r="V32" s="24">
        <f t="shared" si="30"/>
        <v>6</v>
      </c>
      <c r="W32" s="24">
        <f t="shared" si="31"/>
        <v>9</v>
      </c>
      <c r="X32" s="28">
        <f t="shared" si="32"/>
        <v>3</v>
      </c>
      <c r="Y32" s="24"/>
      <c r="Z32" s="27">
        <f t="shared" si="5"/>
        <v>1.470588235</v>
      </c>
      <c r="AA32" s="24">
        <f t="shared" si="33"/>
        <v>10</v>
      </c>
      <c r="AB32" s="2">
        <f t="shared" si="34"/>
        <v>7</v>
      </c>
      <c r="AC32" s="24">
        <f t="shared" si="35"/>
        <v>3</v>
      </c>
      <c r="AD32" s="24">
        <f t="shared" si="36"/>
        <v>12</v>
      </c>
      <c r="AE32" s="24">
        <f t="shared" si="37"/>
        <v>8</v>
      </c>
      <c r="AF32" s="24">
        <f t="shared" si="38"/>
        <v>8</v>
      </c>
      <c r="AG32" s="24">
        <f t="shared" si="39"/>
        <v>5</v>
      </c>
      <c r="AH32" s="24">
        <f t="shared" si="40"/>
        <v>5</v>
      </c>
      <c r="AI32" s="28">
        <f t="shared" si="41"/>
        <v>2</v>
      </c>
      <c r="AJ32" s="29">
        <f t="shared" ref="AJ32:AS32" si="78">+(O32+D32)/2</f>
        <v>1.380952381</v>
      </c>
      <c r="AK32" s="24">
        <f t="shared" si="78"/>
        <v>15</v>
      </c>
      <c r="AL32" s="2">
        <f t="shared" si="78"/>
        <v>10</v>
      </c>
      <c r="AM32" s="24">
        <f t="shared" si="78"/>
        <v>2</v>
      </c>
      <c r="AN32" s="24">
        <f t="shared" si="78"/>
        <v>17</v>
      </c>
      <c r="AO32" s="24">
        <f t="shared" si="78"/>
        <v>10</v>
      </c>
      <c r="AP32" s="24">
        <f t="shared" si="78"/>
        <v>4</v>
      </c>
      <c r="AQ32" s="24">
        <f t="shared" si="78"/>
        <v>7</v>
      </c>
      <c r="AR32" s="24">
        <f t="shared" si="78"/>
        <v>8</v>
      </c>
      <c r="AS32" s="61">
        <f t="shared" si="78"/>
        <v>2</v>
      </c>
      <c r="AT32" s="30">
        <f t="shared" si="7"/>
        <v>0.08963585434</v>
      </c>
      <c r="AU32" s="31">
        <f t="shared" si="8"/>
        <v>0.1904761905</v>
      </c>
      <c r="AV32" s="31">
        <f t="shared" si="9"/>
        <v>0.2380952381</v>
      </c>
      <c r="AW32" s="31">
        <f t="shared" si="10"/>
        <v>0.2380952381</v>
      </c>
      <c r="AX32" s="31">
        <f t="shared" si="11"/>
        <v>0.09523809524</v>
      </c>
      <c r="AY32" s="31">
        <f t="shared" si="12"/>
        <v>0.04761904762</v>
      </c>
      <c r="AZ32" s="31">
        <f t="shared" si="13"/>
        <v>0.8095238095</v>
      </c>
      <c r="BA32" s="31">
        <f t="shared" ref="BA32:BB32" si="79">+AV32+AW32+AX32</f>
        <v>0.5714285714</v>
      </c>
      <c r="BB32" s="32">
        <f t="shared" si="79"/>
        <v>0.380952381</v>
      </c>
      <c r="BC32" s="60"/>
      <c r="BD32" s="60"/>
      <c r="BE32" s="60"/>
      <c r="BF32" s="60"/>
      <c r="BG32" s="60"/>
      <c r="BH32" s="60"/>
      <c r="BI32" s="60"/>
      <c r="BJ32" s="60"/>
      <c r="BK32" s="60"/>
      <c r="BL32" s="60"/>
    </row>
    <row r="33" ht="15.75" customHeight="1">
      <c r="B33" s="33">
        <v>22.0</v>
      </c>
      <c r="C33" s="75">
        <v>2.0</v>
      </c>
      <c r="D33" s="3">
        <f t="shared" si="3"/>
        <v>1.227272727</v>
      </c>
      <c r="E33" s="2">
        <f t="shared" si="15"/>
        <v>16</v>
      </c>
      <c r="F33" s="2">
        <f t="shared" si="16"/>
        <v>9</v>
      </c>
      <c r="G33" s="2">
        <f t="shared" si="17"/>
        <v>1</v>
      </c>
      <c r="H33" s="2">
        <f t="shared" si="18"/>
        <v>17</v>
      </c>
      <c r="I33" s="2">
        <f t="shared" si="19"/>
        <v>9</v>
      </c>
      <c r="J33" s="2">
        <f t="shared" si="20"/>
        <v>5</v>
      </c>
      <c r="K33" s="2">
        <f t="shared" si="21"/>
        <v>8</v>
      </c>
      <c r="L33" s="2">
        <f t="shared" si="22"/>
        <v>8</v>
      </c>
      <c r="M33" s="34">
        <f t="shared" si="23"/>
        <v>1</v>
      </c>
      <c r="N33" s="2">
        <v>2.0</v>
      </c>
      <c r="O33" s="3">
        <f t="shared" si="4"/>
        <v>1.590909091</v>
      </c>
      <c r="P33" s="2">
        <f t="shared" si="24"/>
        <v>16</v>
      </c>
      <c r="Q33" s="2">
        <f t="shared" si="25"/>
        <v>13</v>
      </c>
      <c r="R33" s="2">
        <f t="shared" si="26"/>
        <v>3</v>
      </c>
      <c r="S33" s="2">
        <f t="shared" si="27"/>
        <v>19</v>
      </c>
      <c r="T33" s="2">
        <f t="shared" si="28"/>
        <v>13</v>
      </c>
      <c r="U33" s="2">
        <f t="shared" si="29"/>
        <v>3</v>
      </c>
      <c r="V33" s="2">
        <f t="shared" si="30"/>
        <v>6</v>
      </c>
      <c r="W33" s="2">
        <f t="shared" si="31"/>
        <v>10</v>
      </c>
      <c r="X33" s="34">
        <f t="shared" si="32"/>
        <v>3</v>
      </c>
      <c r="Y33" s="2"/>
      <c r="Z33" s="3">
        <f t="shared" si="5"/>
        <v>1.470588235</v>
      </c>
      <c r="AA33" s="2">
        <f t="shared" si="33"/>
        <v>10</v>
      </c>
      <c r="AB33" s="2">
        <f t="shared" si="34"/>
        <v>7</v>
      </c>
      <c r="AC33" s="2">
        <f t="shared" si="35"/>
        <v>3</v>
      </c>
      <c r="AD33" s="2">
        <f t="shared" si="36"/>
        <v>12</v>
      </c>
      <c r="AE33" s="2">
        <f t="shared" si="37"/>
        <v>8</v>
      </c>
      <c r="AF33" s="2">
        <f t="shared" si="38"/>
        <v>9</v>
      </c>
      <c r="AG33" s="2">
        <f t="shared" si="39"/>
        <v>5</v>
      </c>
      <c r="AH33" s="2">
        <f t="shared" si="40"/>
        <v>5</v>
      </c>
      <c r="AI33" s="34">
        <f t="shared" si="41"/>
        <v>2</v>
      </c>
      <c r="AJ33" s="36">
        <f t="shared" ref="AJ33:AS33" si="80">+(O33+D33)/2</f>
        <v>1.409090909</v>
      </c>
      <c r="AK33" s="2">
        <f t="shared" si="80"/>
        <v>16</v>
      </c>
      <c r="AL33" s="2">
        <f t="shared" si="80"/>
        <v>11</v>
      </c>
      <c r="AM33" s="2">
        <f t="shared" si="80"/>
        <v>2</v>
      </c>
      <c r="AN33" s="2">
        <f t="shared" si="80"/>
        <v>18</v>
      </c>
      <c r="AO33" s="2">
        <f t="shared" si="80"/>
        <v>11</v>
      </c>
      <c r="AP33" s="2">
        <f t="shared" si="80"/>
        <v>4</v>
      </c>
      <c r="AQ33" s="2">
        <f t="shared" si="80"/>
        <v>7</v>
      </c>
      <c r="AR33" s="2">
        <f t="shared" si="80"/>
        <v>9</v>
      </c>
      <c r="AS33" s="62">
        <f t="shared" si="80"/>
        <v>2</v>
      </c>
      <c r="AT33" s="37">
        <f t="shared" si="7"/>
        <v>0.0614973262</v>
      </c>
      <c r="AU33" s="38">
        <f t="shared" si="8"/>
        <v>0.1818181818</v>
      </c>
      <c r="AV33" s="38">
        <f t="shared" si="9"/>
        <v>0.2272727273</v>
      </c>
      <c r="AW33" s="38">
        <f t="shared" si="10"/>
        <v>0.2272727273</v>
      </c>
      <c r="AX33" s="38">
        <f t="shared" si="11"/>
        <v>0.09090909091</v>
      </c>
      <c r="AY33" s="38">
        <f t="shared" si="12"/>
        <v>0.04545454545</v>
      </c>
      <c r="AZ33" s="38">
        <f t="shared" si="13"/>
        <v>0.8181818182</v>
      </c>
      <c r="BA33" s="38">
        <f t="shared" ref="BA33:BB33" si="81">+AV33+AW33+AX33</f>
        <v>0.5454545455</v>
      </c>
      <c r="BB33" s="39">
        <f t="shared" si="81"/>
        <v>0.3636363636</v>
      </c>
    </row>
    <row r="34" ht="15.75" customHeight="1">
      <c r="A34" s="60"/>
      <c r="B34" s="40">
        <v>23.0</v>
      </c>
      <c r="C34" s="74">
        <v>4.0</v>
      </c>
      <c r="D34" s="27">
        <f t="shared" si="3"/>
        <v>1.347826087</v>
      </c>
      <c r="E34" s="24">
        <f t="shared" si="15"/>
        <v>16</v>
      </c>
      <c r="F34" s="2">
        <f t="shared" si="16"/>
        <v>9</v>
      </c>
      <c r="G34" s="24">
        <f t="shared" si="17"/>
        <v>2</v>
      </c>
      <c r="H34" s="24">
        <f t="shared" si="18"/>
        <v>17</v>
      </c>
      <c r="I34" s="24">
        <f t="shared" si="19"/>
        <v>10</v>
      </c>
      <c r="J34" s="24">
        <f t="shared" si="20"/>
        <v>5</v>
      </c>
      <c r="K34" s="24">
        <f t="shared" si="21"/>
        <v>8</v>
      </c>
      <c r="L34" s="24">
        <f t="shared" si="22"/>
        <v>8</v>
      </c>
      <c r="M34" s="28">
        <f t="shared" si="23"/>
        <v>1</v>
      </c>
      <c r="N34" s="24">
        <v>0.0</v>
      </c>
      <c r="O34" s="27">
        <f t="shared" si="4"/>
        <v>1.52173913</v>
      </c>
      <c r="P34" s="24">
        <f t="shared" si="24"/>
        <v>16</v>
      </c>
      <c r="Q34" s="2">
        <f t="shared" si="25"/>
        <v>13</v>
      </c>
      <c r="R34" s="24">
        <f t="shared" si="26"/>
        <v>3</v>
      </c>
      <c r="S34" s="24">
        <f t="shared" si="27"/>
        <v>19</v>
      </c>
      <c r="T34" s="24">
        <f t="shared" si="28"/>
        <v>13</v>
      </c>
      <c r="U34" s="24">
        <f t="shared" si="29"/>
        <v>4</v>
      </c>
      <c r="V34" s="24">
        <f t="shared" si="30"/>
        <v>6</v>
      </c>
      <c r="W34" s="24">
        <f t="shared" si="31"/>
        <v>10</v>
      </c>
      <c r="X34" s="28">
        <f t="shared" si="32"/>
        <v>3</v>
      </c>
      <c r="Y34" s="24"/>
      <c r="Z34" s="27">
        <f t="shared" si="5"/>
        <v>1.470588235</v>
      </c>
      <c r="AA34" s="24">
        <f t="shared" si="33"/>
        <v>10</v>
      </c>
      <c r="AB34" s="2">
        <f t="shared" si="34"/>
        <v>7</v>
      </c>
      <c r="AC34" s="24">
        <f t="shared" si="35"/>
        <v>3</v>
      </c>
      <c r="AD34" s="24">
        <f t="shared" si="36"/>
        <v>12</v>
      </c>
      <c r="AE34" s="24">
        <f t="shared" si="37"/>
        <v>8</v>
      </c>
      <c r="AF34" s="24">
        <f t="shared" si="38"/>
        <v>10</v>
      </c>
      <c r="AG34" s="24">
        <f t="shared" si="39"/>
        <v>5</v>
      </c>
      <c r="AH34" s="24">
        <f t="shared" si="40"/>
        <v>5</v>
      </c>
      <c r="AI34" s="28">
        <f t="shared" si="41"/>
        <v>2</v>
      </c>
      <c r="AJ34" s="29">
        <f t="shared" ref="AJ34:AS34" si="82">+(O34+D34)/2</f>
        <v>1.434782609</v>
      </c>
      <c r="AK34" s="24">
        <f t="shared" si="82"/>
        <v>16</v>
      </c>
      <c r="AL34" s="2">
        <f t="shared" si="82"/>
        <v>11</v>
      </c>
      <c r="AM34" s="24">
        <f t="shared" si="82"/>
        <v>2.5</v>
      </c>
      <c r="AN34" s="24">
        <f t="shared" si="82"/>
        <v>18</v>
      </c>
      <c r="AO34" s="24">
        <f t="shared" si="82"/>
        <v>11.5</v>
      </c>
      <c r="AP34" s="24">
        <f t="shared" si="82"/>
        <v>4.5</v>
      </c>
      <c r="AQ34" s="24">
        <f t="shared" si="82"/>
        <v>7</v>
      </c>
      <c r="AR34" s="24">
        <f t="shared" si="82"/>
        <v>9</v>
      </c>
      <c r="AS34" s="61">
        <f t="shared" si="82"/>
        <v>2</v>
      </c>
      <c r="AT34" s="30">
        <f t="shared" si="7"/>
        <v>0.0358056266</v>
      </c>
      <c r="AU34" s="31">
        <f t="shared" si="8"/>
        <v>0.1739130435</v>
      </c>
      <c r="AV34" s="31">
        <f t="shared" si="9"/>
        <v>0.2173913043</v>
      </c>
      <c r="AW34" s="31">
        <f t="shared" si="10"/>
        <v>0.2173913043</v>
      </c>
      <c r="AX34" s="31">
        <f t="shared" si="11"/>
        <v>0.08695652174</v>
      </c>
      <c r="AY34" s="31">
        <f t="shared" si="12"/>
        <v>0.04347826087</v>
      </c>
      <c r="AZ34" s="31">
        <f t="shared" si="13"/>
        <v>0.8260869565</v>
      </c>
      <c r="BA34" s="31">
        <f t="shared" ref="BA34:BB34" si="83">+AV34+AW34+AX34</f>
        <v>0.5217391304</v>
      </c>
      <c r="BB34" s="32">
        <f t="shared" si="83"/>
        <v>0.347826087</v>
      </c>
      <c r="BC34" s="60"/>
      <c r="BD34" s="60"/>
      <c r="BE34" s="60"/>
      <c r="BF34" s="60"/>
      <c r="BG34" s="60"/>
      <c r="BH34" s="60"/>
      <c r="BI34" s="60"/>
      <c r="BJ34" s="60"/>
      <c r="BK34" s="60"/>
      <c r="BL34" s="60"/>
    </row>
    <row r="35" ht="15.75" customHeight="1">
      <c r="B35" s="33">
        <v>24.0</v>
      </c>
      <c r="C35" s="75">
        <v>4.0</v>
      </c>
      <c r="D35" s="3">
        <f t="shared" si="3"/>
        <v>1.458333333</v>
      </c>
      <c r="E35" s="2">
        <f t="shared" si="15"/>
        <v>16</v>
      </c>
      <c r="F35" s="2">
        <f t="shared" si="16"/>
        <v>9</v>
      </c>
      <c r="G35" s="2">
        <f t="shared" si="17"/>
        <v>3</v>
      </c>
      <c r="H35" s="2">
        <f t="shared" si="18"/>
        <v>17</v>
      </c>
      <c r="I35" s="2">
        <f t="shared" si="19"/>
        <v>11</v>
      </c>
      <c r="J35" s="2">
        <f t="shared" si="20"/>
        <v>5</v>
      </c>
      <c r="K35" s="2">
        <f t="shared" si="21"/>
        <v>8</v>
      </c>
      <c r="L35" s="2">
        <f t="shared" si="22"/>
        <v>8</v>
      </c>
      <c r="M35" s="34">
        <f t="shared" si="23"/>
        <v>1</v>
      </c>
      <c r="N35" s="2">
        <v>3.0</v>
      </c>
      <c r="O35" s="3">
        <f t="shared" si="4"/>
        <v>1.583333333</v>
      </c>
      <c r="P35" s="2">
        <f t="shared" si="24"/>
        <v>16</v>
      </c>
      <c r="Q35" s="2">
        <f t="shared" si="25"/>
        <v>14</v>
      </c>
      <c r="R35" s="2">
        <f t="shared" si="26"/>
        <v>4</v>
      </c>
      <c r="S35" s="2">
        <f t="shared" si="27"/>
        <v>20</v>
      </c>
      <c r="T35" s="2">
        <f t="shared" si="28"/>
        <v>14</v>
      </c>
      <c r="U35" s="2">
        <f t="shared" si="29"/>
        <v>4</v>
      </c>
      <c r="V35" s="2">
        <f t="shared" si="30"/>
        <v>6</v>
      </c>
      <c r="W35" s="2">
        <f t="shared" si="31"/>
        <v>10</v>
      </c>
      <c r="X35" s="34">
        <f t="shared" si="32"/>
        <v>4</v>
      </c>
      <c r="Y35" s="2"/>
      <c r="Z35" s="3">
        <f t="shared" si="5"/>
        <v>1.470588235</v>
      </c>
      <c r="AA35" s="2">
        <f t="shared" si="33"/>
        <v>10</v>
      </c>
      <c r="AB35" s="2">
        <f t="shared" si="34"/>
        <v>7</v>
      </c>
      <c r="AC35" s="2">
        <f t="shared" si="35"/>
        <v>3</v>
      </c>
      <c r="AD35" s="2">
        <f t="shared" si="36"/>
        <v>12</v>
      </c>
      <c r="AE35" s="2">
        <f t="shared" si="37"/>
        <v>8</v>
      </c>
      <c r="AF35" s="2">
        <f t="shared" si="38"/>
        <v>11</v>
      </c>
      <c r="AG35" s="2">
        <f t="shared" si="39"/>
        <v>5</v>
      </c>
      <c r="AH35" s="2">
        <f t="shared" si="40"/>
        <v>5</v>
      </c>
      <c r="AI35" s="34">
        <f t="shared" si="41"/>
        <v>2</v>
      </c>
      <c r="AJ35" s="36">
        <f t="shared" ref="AJ35:AS35" si="84">+(O35+D35)/2</f>
        <v>1.520833333</v>
      </c>
      <c r="AK35" s="2">
        <f t="shared" si="84"/>
        <v>16</v>
      </c>
      <c r="AL35" s="2">
        <f t="shared" si="84"/>
        <v>11.5</v>
      </c>
      <c r="AM35" s="2">
        <f t="shared" si="84"/>
        <v>3.5</v>
      </c>
      <c r="AN35" s="2">
        <f t="shared" si="84"/>
        <v>18.5</v>
      </c>
      <c r="AO35" s="2">
        <f t="shared" si="84"/>
        <v>12.5</v>
      </c>
      <c r="AP35" s="2">
        <f t="shared" si="84"/>
        <v>4.5</v>
      </c>
      <c r="AQ35" s="2">
        <f t="shared" si="84"/>
        <v>7</v>
      </c>
      <c r="AR35" s="2">
        <f t="shared" si="84"/>
        <v>9</v>
      </c>
      <c r="AS35" s="62">
        <f t="shared" si="84"/>
        <v>2.5</v>
      </c>
      <c r="AT35" s="37">
        <f t="shared" si="7"/>
        <v>-0.05024509804</v>
      </c>
      <c r="AU35" s="38">
        <f t="shared" si="8"/>
        <v>0.1666666667</v>
      </c>
      <c r="AV35" s="38">
        <f t="shared" si="9"/>
        <v>0.2083333333</v>
      </c>
      <c r="AW35" s="38">
        <f t="shared" si="10"/>
        <v>0.2083333333</v>
      </c>
      <c r="AX35" s="38">
        <f t="shared" si="11"/>
        <v>0.08333333333</v>
      </c>
      <c r="AY35" s="38">
        <f t="shared" si="12"/>
        <v>0.04166666667</v>
      </c>
      <c r="AZ35" s="38">
        <f t="shared" si="13"/>
        <v>0.8333333333</v>
      </c>
      <c r="BA35" s="38">
        <f t="shared" ref="BA35:BB35" si="85">+AV35+AW35+AX35</f>
        <v>0.5</v>
      </c>
      <c r="BB35" s="39">
        <f t="shared" si="85"/>
        <v>0.3333333333</v>
      </c>
    </row>
    <row r="36" ht="15.75" customHeight="1">
      <c r="A36" s="60"/>
      <c r="B36" s="40">
        <v>25.0</v>
      </c>
      <c r="C36" s="74">
        <v>2.0</v>
      </c>
      <c r="D36" s="27">
        <f t="shared" si="3"/>
        <v>1.48</v>
      </c>
      <c r="E36" s="24">
        <f t="shared" si="15"/>
        <v>17</v>
      </c>
      <c r="F36" s="2">
        <f t="shared" si="16"/>
        <v>10</v>
      </c>
      <c r="G36" s="24">
        <f t="shared" si="17"/>
        <v>3</v>
      </c>
      <c r="H36" s="24">
        <f t="shared" si="18"/>
        <v>18</v>
      </c>
      <c r="I36" s="24">
        <f t="shared" si="19"/>
        <v>12</v>
      </c>
      <c r="J36" s="24">
        <f t="shared" si="20"/>
        <v>5</v>
      </c>
      <c r="K36" s="24">
        <f t="shared" si="21"/>
        <v>8</v>
      </c>
      <c r="L36" s="24">
        <f t="shared" si="22"/>
        <v>9</v>
      </c>
      <c r="M36" s="28">
        <f t="shared" si="23"/>
        <v>1</v>
      </c>
      <c r="N36" s="24">
        <v>0.0</v>
      </c>
      <c r="O36" s="27">
        <f t="shared" si="4"/>
        <v>1.52</v>
      </c>
      <c r="P36" s="24">
        <f t="shared" si="24"/>
        <v>16</v>
      </c>
      <c r="Q36" s="2">
        <f t="shared" si="25"/>
        <v>14</v>
      </c>
      <c r="R36" s="24">
        <f t="shared" si="26"/>
        <v>4</v>
      </c>
      <c r="S36" s="24">
        <f t="shared" si="27"/>
        <v>20</v>
      </c>
      <c r="T36" s="24">
        <f t="shared" si="28"/>
        <v>14</v>
      </c>
      <c r="U36" s="24">
        <f t="shared" si="29"/>
        <v>5</v>
      </c>
      <c r="V36" s="24">
        <f t="shared" si="30"/>
        <v>6</v>
      </c>
      <c r="W36" s="24">
        <f t="shared" si="31"/>
        <v>10</v>
      </c>
      <c r="X36" s="28">
        <f t="shared" si="32"/>
        <v>4</v>
      </c>
      <c r="Y36" s="24"/>
      <c r="Z36" s="27">
        <f t="shared" si="5"/>
        <v>1.470588235</v>
      </c>
      <c r="AA36" s="24">
        <f t="shared" si="33"/>
        <v>10</v>
      </c>
      <c r="AB36" s="2">
        <f t="shared" si="34"/>
        <v>7</v>
      </c>
      <c r="AC36" s="24">
        <f t="shared" si="35"/>
        <v>3</v>
      </c>
      <c r="AD36" s="24">
        <f t="shared" si="36"/>
        <v>12</v>
      </c>
      <c r="AE36" s="24">
        <f t="shared" si="37"/>
        <v>8</v>
      </c>
      <c r="AF36" s="24">
        <f t="shared" si="38"/>
        <v>12</v>
      </c>
      <c r="AG36" s="24">
        <f t="shared" si="39"/>
        <v>5</v>
      </c>
      <c r="AH36" s="24">
        <f t="shared" si="40"/>
        <v>5</v>
      </c>
      <c r="AI36" s="28">
        <f t="shared" si="41"/>
        <v>2</v>
      </c>
      <c r="AJ36" s="29">
        <f t="shared" ref="AJ36:AS36" si="86">+(O36+D36)/2</f>
        <v>1.5</v>
      </c>
      <c r="AK36" s="24">
        <f t="shared" si="86"/>
        <v>16.5</v>
      </c>
      <c r="AL36" s="2">
        <f t="shared" si="86"/>
        <v>12</v>
      </c>
      <c r="AM36" s="24">
        <f t="shared" si="86"/>
        <v>3.5</v>
      </c>
      <c r="AN36" s="24">
        <f t="shared" si="86"/>
        <v>19</v>
      </c>
      <c r="AO36" s="24">
        <f t="shared" si="86"/>
        <v>13</v>
      </c>
      <c r="AP36" s="24">
        <f t="shared" si="86"/>
        <v>5</v>
      </c>
      <c r="AQ36" s="24">
        <f t="shared" si="86"/>
        <v>7</v>
      </c>
      <c r="AR36" s="24">
        <f t="shared" si="86"/>
        <v>9.5</v>
      </c>
      <c r="AS36" s="61">
        <f t="shared" si="86"/>
        <v>2.5</v>
      </c>
      <c r="AT36" s="30">
        <f t="shared" si="7"/>
        <v>-0.02941176471</v>
      </c>
      <c r="AU36" s="31">
        <f t="shared" si="8"/>
        <v>0.16</v>
      </c>
      <c r="AV36" s="31">
        <f t="shared" si="9"/>
        <v>0.2</v>
      </c>
      <c r="AW36" s="31">
        <f t="shared" si="10"/>
        <v>0.2</v>
      </c>
      <c r="AX36" s="31">
        <f t="shared" si="11"/>
        <v>0.08</v>
      </c>
      <c r="AY36" s="31">
        <f t="shared" si="12"/>
        <v>0.04</v>
      </c>
      <c r="AZ36" s="31">
        <f t="shared" si="13"/>
        <v>0.84</v>
      </c>
      <c r="BA36" s="31">
        <f t="shared" ref="BA36:BB36" si="87">+AV36+AW36+AX36</f>
        <v>0.48</v>
      </c>
      <c r="BB36" s="32">
        <f t="shared" si="87"/>
        <v>0.32</v>
      </c>
      <c r="BC36" s="60"/>
      <c r="BD36" s="60"/>
      <c r="BE36" s="60"/>
      <c r="BF36" s="60"/>
      <c r="BG36" s="60"/>
      <c r="BH36" s="60"/>
      <c r="BI36" s="60"/>
      <c r="BJ36" s="60"/>
      <c r="BK36" s="60"/>
      <c r="BL36" s="60"/>
    </row>
    <row r="37" ht="15.75" customHeight="1">
      <c r="B37" s="33">
        <v>26.0</v>
      </c>
      <c r="C37" s="75">
        <v>2.0</v>
      </c>
      <c r="D37" s="3">
        <f t="shared" si="3"/>
        <v>1.5</v>
      </c>
      <c r="E37" s="2">
        <f t="shared" si="15"/>
        <v>18</v>
      </c>
      <c r="F37" s="2">
        <f t="shared" si="16"/>
        <v>11</v>
      </c>
      <c r="G37" s="2">
        <f t="shared" si="17"/>
        <v>3</v>
      </c>
      <c r="H37" s="2">
        <f t="shared" si="18"/>
        <v>19</v>
      </c>
      <c r="I37" s="2">
        <f t="shared" si="19"/>
        <v>13</v>
      </c>
      <c r="J37" s="2">
        <f t="shared" si="20"/>
        <v>5</v>
      </c>
      <c r="K37" s="2">
        <f t="shared" si="21"/>
        <v>8</v>
      </c>
      <c r="L37" s="2">
        <f t="shared" si="22"/>
        <v>10</v>
      </c>
      <c r="M37" s="34">
        <f t="shared" si="23"/>
        <v>1</v>
      </c>
      <c r="N37" s="2">
        <v>2.0</v>
      </c>
      <c r="O37" s="3">
        <f t="shared" si="4"/>
        <v>1.538461538</v>
      </c>
      <c r="P37" s="2">
        <f t="shared" si="24"/>
        <v>17</v>
      </c>
      <c r="Q37" s="2">
        <f t="shared" si="25"/>
        <v>15</v>
      </c>
      <c r="R37" s="2">
        <f t="shared" si="26"/>
        <v>4</v>
      </c>
      <c r="S37" s="2">
        <f t="shared" si="27"/>
        <v>21</v>
      </c>
      <c r="T37" s="2">
        <f t="shared" si="28"/>
        <v>15</v>
      </c>
      <c r="U37" s="2">
        <f t="shared" si="29"/>
        <v>5</v>
      </c>
      <c r="V37" s="2">
        <f t="shared" si="30"/>
        <v>6</v>
      </c>
      <c r="W37" s="2">
        <f t="shared" si="31"/>
        <v>11</v>
      </c>
      <c r="X37" s="34">
        <f t="shared" si="32"/>
        <v>4</v>
      </c>
      <c r="Y37" s="2"/>
      <c r="Z37" s="3">
        <f t="shared" si="5"/>
        <v>1.470588235</v>
      </c>
      <c r="AA37" s="2">
        <f t="shared" si="33"/>
        <v>10</v>
      </c>
      <c r="AB37" s="2">
        <f t="shared" si="34"/>
        <v>7</v>
      </c>
      <c r="AC37" s="2">
        <f t="shared" si="35"/>
        <v>3</v>
      </c>
      <c r="AD37" s="2">
        <f t="shared" si="36"/>
        <v>12</v>
      </c>
      <c r="AE37" s="2">
        <f t="shared" si="37"/>
        <v>8</v>
      </c>
      <c r="AF37" s="2">
        <f t="shared" si="38"/>
        <v>13</v>
      </c>
      <c r="AG37" s="2">
        <f t="shared" si="39"/>
        <v>5</v>
      </c>
      <c r="AH37" s="2">
        <f t="shared" si="40"/>
        <v>5</v>
      </c>
      <c r="AI37" s="34">
        <f t="shared" si="41"/>
        <v>2</v>
      </c>
      <c r="AJ37" s="36">
        <f t="shared" ref="AJ37:AS37" si="88">+(O37+D37)/2</f>
        <v>1.519230769</v>
      </c>
      <c r="AK37" s="2">
        <f t="shared" si="88"/>
        <v>17.5</v>
      </c>
      <c r="AL37" s="2">
        <f t="shared" si="88"/>
        <v>13</v>
      </c>
      <c r="AM37" s="2">
        <f t="shared" si="88"/>
        <v>3.5</v>
      </c>
      <c r="AN37" s="2">
        <f t="shared" si="88"/>
        <v>20</v>
      </c>
      <c r="AO37" s="2">
        <f t="shared" si="88"/>
        <v>14</v>
      </c>
      <c r="AP37" s="2">
        <f t="shared" si="88"/>
        <v>5</v>
      </c>
      <c r="AQ37" s="2">
        <f t="shared" si="88"/>
        <v>7</v>
      </c>
      <c r="AR37" s="2">
        <f t="shared" si="88"/>
        <v>10.5</v>
      </c>
      <c r="AS37" s="62">
        <f t="shared" si="88"/>
        <v>2.5</v>
      </c>
      <c r="AT37" s="37">
        <f t="shared" si="7"/>
        <v>-0.04864253394</v>
      </c>
      <c r="AU37" s="38">
        <f t="shared" si="8"/>
        <v>0.1538461538</v>
      </c>
      <c r="AV37" s="38">
        <f t="shared" si="9"/>
        <v>0.1923076923</v>
      </c>
      <c r="AW37" s="38">
        <f t="shared" si="10"/>
        <v>0.1923076923</v>
      </c>
      <c r="AX37" s="38">
        <f t="shared" si="11"/>
        <v>0.07692307692</v>
      </c>
      <c r="AY37" s="38">
        <f t="shared" si="12"/>
        <v>0.03846153846</v>
      </c>
      <c r="AZ37" s="38">
        <f t="shared" si="13"/>
        <v>0.8461538462</v>
      </c>
      <c r="BA37" s="38">
        <f t="shared" ref="BA37:BB37" si="89">+AV37+AW37+AX37</f>
        <v>0.4615384615</v>
      </c>
      <c r="BB37" s="39">
        <f t="shared" si="89"/>
        <v>0.3076923077</v>
      </c>
    </row>
    <row r="38" ht="15.75" customHeight="1">
      <c r="A38" s="60"/>
      <c r="B38" s="40">
        <v>27.0</v>
      </c>
      <c r="C38" s="74">
        <v>2.0</v>
      </c>
      <c r="D38" s="27">
        <f t="shared" si="3"/>
        <v>1.518518519</v>
      </c>
      <c r="E38" s="24">
        <f t="shared" si="15"/>
        <v>19</v>
      </c>
      <c r="F38" s="2">
        <f t="shared" si="16"/>
        <v>12</v>
      </c>
      <c r="G38" s="24">
        <f t="shared" si="17"/>
        <v>3</v>
      </c>
      <c r="H38" s="24">
        <f t="shared" si="18"/>
        <v>20</v>
      </c>
      <c r="I38" s="24">
        <f t="shared" si="19"/>
        <v>14</v>
      </c>
      <c r="J38" s="24">
        <f t="shared" si="20"/>
        <v>5</v>
      </c>
      <c r="K38" s="24">
        <f t="shared" si="21"/>
        <v>8</v>
      </c>
      <c r="L38" s="24">
        <f t="shared" si="22"/>
        <v>11</v>
      </c>
      <c r="M38" s="28">
        <f t="shared" si="23"/>
        <v>1</v>
      </c>
      <c r="N38" s="24">
        <v>2.0</v>
      </c>
      <c r="O38" s="27">
        <f t="shared" si="4"/>
        <v>1.555555556</v>
      </c>
      <c r="P38" s="24">
        <f t="shared" si="24"/>
        <v>18</v>
      </c>
      <c r="Q38" s="2">
        <f t="shared" si="25"/>
        <v>16</v>
      </c>
      <c r="R38" s="24">
        <f t="shared" si="26"/>
        <v>4</v>
      </c>
      <c r="S38" s="24">
        <f t="shared" si="27"/>
        <v>22</v>
      </c>
      <c r="T38" s="24">
        <f t="shared" si="28"/>
        <v>16</v>
      </c>
      <c r="U38" s="24">
        <f t="shared" si="29"/>
        <v>5</v>
      </c>
      <c r="V38" s="24">
        <f t="shared" si="30"/>
        <v>6</v>
      </c>
      <c r="W38" s="24">
        <f t="shared" si="31"/>
        <v>12</v>
      </c>
      <c r="X38" s="28">
        <f t="shared" si="32"/>
        <v>4</v>
      </c>
      <c r="Y38" s="24"/>
      <c r="Z38" s="27">
        <f t="shared" si="5"/>
        <v>1.470588235</v>
      </c>
      <c r="AA38" s="24">
        <f t="shared" si="33"/>
        <v>10</v>
      </c>
      <c r="AB38" s="2">
        <f t="shared" si="34"/>
        <v>7</v>
      </c>
      <c r="AC38" s="24">
        <f t="shared" si="35"/>
        <v>3</v>
      </c>
      <c r="AD38" s="24">
        <f t="shared" si="36"/>
        <v>12</v>
      </c>
      <c r="AE38" s="24">
        <f t="shared" si="37"/>
        <v>8</v>
      </c>
      <c r="AF38" s="24">
        <f t="shared" si="38"/>
        <v>14</v>
      </c>
      <c r="AG38" s="24">
        <f t="shared" si="39"/>
        <v>5</v>
      </c>
      <c r="AH38" s="24">
        <f t="shared" si="40"/>
        <v>5</v>
      </c>
      <c r="AI38" s="28">
        <f t="shared" si="41"/>
        <v>2</v>
      </c>
      <c r="AJ38" s="29">
        <f t="shared" ref="AJ38:AS38" si="90">+(O38+D38)/2</f>
        <v>1.537037037</v>
      </c>
      <c r="AK38" s="24">
        <f t="shared" si="90"/>
        <v>18.5</v>
      </c>
      <c r="AL38" s="2">
        <f t="shared" si="90"/>
        <v>14</v>
      </c>
      <c r="AM38" s="24">
        <f t="shared" si="90"/>
        <v>3.5</v>
      </c>
      <c r="AN38" s="24">
        <f t="shared" si="90"/>
        <v>21</v>
      </c>
      <c r="AO38" s="24">
        <f t="shared" si="90"/>
        <v>15</v>
      </c>
      <c r="AP38" s="24">
        <f t="shared" si="90"/>
        <v>5</v>
      </c>
      <c r="AQ38" s="24">
        <f t="shared" si="90"/>
        <v>7</v>
      </c>
      <c r="AR38" s="24">
        <f t="shared" si="90"/>
        <v>11.5</v>
      </c>
      <c r="AS38" s="61">
        <f t="shared" si="90"/>
        <v>2.5</v>
      </c>
      <c r="AT38" s="30">
        <f t="shared" si="7"/>
        <v>-0.06644880174</v>
      </c>
      <c r="AU38" s="31">
        <f t="shared" si="8"/>
        <v>0.1481481481</v>
      </c>
      <c r="AV38" s="31">
        <f t="shared" si="9"/>
        <v>0.1851851852</v>
      </c>
      <c r="AW38" s="31">
        <f t="shared" si="10"/>
        <v>0.1851851852</v>
      </c>
      <c r="AX38" s="31">
        <f t="shared" si="11"/>
        <v>0.07407407407</v>
      </c>
      <c r="AY38" s="31">
        <f t="shared" si="12"/>
        <v>0.03703703704</v>
      </c>
      <c r="AZ38" s="31">
        <f t="shared" si="13"/>
        <v>0.8518518519</v>
      </c>
      <c r="BA38" s="31">
        <f t="shared" ref="BA38:BB38" si="91">+AV38+AW38+AX38</f>
        <v>0.4444444444</v>
      </c>
      <c r="BB38" s="32">
        <f t="shared" si="91"/>
        <v>0.2962962963</v>
      </c>
      <c r="BC38" s="60"/>
      <c r="BD38" s="60"/>
      <c r="BE38" s="60"/>
      <c r="BF38" s="60"/>
      <c r="BG38" s="60"/>
      <c r="BH38" s="60"/>
      <c r="BI38" s="60"/>
      <c r="BJ38" s="60"/>
      <c r="BK38" s="60"/>
      <c r="BL38" s="60"/>
    </row>
    <row r="39" ht="15.75" customHeight="1">
      <c r="B39" s="33">
        <v>28.0</v>
      </c>
      <c r="C39" s="75">
        <v>0.0</v>
      </c>
      <c r="D39" s="3">
        <f t="shared" si="3"/>
        <v>1.464285714</v>
      </c>
      <c r="E39" s="2">
        <f t="shared" si="15"/>
        <v>19</v>
      </c>
      <c r="F39" s="2">
        <f t="shared" si="16"/>
        <v>12</v>
      </c>
      <c r="G39" s="2">
        <f t="shared" si="17"/>
        <v>3</v>
      </c>
      <c r="H39" s="2">
        <f t="shared" si="18"/>
        <v>20</v>
      </c>
      <c r="I39" s="2">
        <f t="shared" si="19"/>
        <v>14</v>
      </c>
      <c r="J39" s="2">
        <f t="shared" si="20"/>
        <v>6</v>
      </c>
      <c r="K39" s="2">
        <f t="shared" si="21"/>
        <v>8</v>
      </c>
      <c r="L39" s="2">
        <f t="shared" si="22"/>
        <v>11</v>
      </c>
      <c r="M39" s="34">
        <f t="shared" si="23"/>
        <v>1</v>
      </c>
      <c r="N39" s="2">
        <v>2.0</v>
      </c>
      <c r="O39" s="3">
        <f t="shared" si="4"/>
        <v>1.571428571</v>
      </c>
      <c r="P39" s="2">
        <f t="shared" si="24"/>
        <v>19</v>
      </c>
      <c r="Q39" s="2">
        <f t="shared" si="25"/>
        <v>17</v>
      </c>
      <c r="R39" s="2">
        <f t="shared" si="26"/>
        <v>4</v>
      </c>
      <c r="S39" s="2">
        <f t="shared" si="27"/>
        <v>23</v>
      </c>
      <c r="T39" s="2">
        <f t="shared" si="28"/>
        <v>17</v>
      </c>
      <c r="U39" s="2">
        <f t="shared" si="29"/>
        <v>5</v>
      </c>
      <c r="V39" s="2">
        <f t="shared" si="30"/>
        <v>6</v>
      </c>
      <c r="W39" s="2">
        <f t="shared" si="31"/>
        <v>13</v>
      </c>
      <c r="X39" s="34">
        <f t="shared" si="32"/>
        <v>4</v>
      </c>
      <c r="Y39" s="2"/>
      <c r="Z39" s="3">
        <f t="shared" si="5"/>
        <v>1.470588235</v>
      </c>
      <c r="AA39" s="2">
        <f t="shared" si="33"/>
        <v>10</v>
      </c>
      <c r="AB39" s="2">
        <f t="shared" si="34"/>
        <v>7</v>
      </c>
      <c r="AC39" s="2">
        <f t="shared" si="35"/>
        <v>3</v>
      </c>
      <c r="AD39" s="2">
        <f t="shared" si="36"/>
        <v>12</v>
      </c>
      <c r="AE39" s="2">
        <f t="shared" si="37"/>
        <v>8</v>
      </c>
      <c r="AF39" s="2">
        <f t="shared" si="38"/>
        <v>15</v>
      </c>
      <c r="AG39" s="2">
        <f t="shared" si="39"/>
        <v>5</v>
      </c>
      <c r="AH39" s="2">
        <f t="shared" si="40"/>
        <v>5</v>
      </c>
      <c r="AI39" s="34">
        <f t="shared" si="41"/>
        <v>2</v>
      </c>
      <c r="AJ39" s="36">
        <f t="shared" ref="AJ39:AS39" si="92">+(O39+D39)/2</f>
        <v>1.517857143</v>
      </c>
      <c r="AK39" s="2">
        <f t="shared" si="92"/>
        <v>19</v>
      </c>
      <c r="AL39" s="2">
        <f t="shared" si="92"/>
        <v>14.5</v>
      </c>
      <c r="AM39" s="2">
        <f t="shared" si="92"/>
        <v>3.5</v>
      </c>
      <c r="AN39" s="2">
        <f t="shared" si="92"/>
        <v>21.5</v>
      </c>
      <c r="AO39" s="2">
        <f t="shared" si="92"/>
        <v>15.5</v>
      </c>
      <c r="AP39" s="2">
        <f t="shared" si="92"/>
        <v>5.5</v>
      </c>
      <c r="AQ39" s="2">
        <f t="shared" si="92"/>
        <v>7</v>
      </c>
      <c r="AR39" s="2">
        <f t="shared" si="92"/>
        <v>12</v>
      </c>
      <c r="AS39" s="62">
        <f t="shared" si="92"/>
        <v>2.5</v>
      </c>
      <c r="AT39" s="37">
        <f t="shared" si="7"/>
        <v>-0.04726890756</v>
      </c>
      <c r="AU39" s="38">
        <f t="shared" si="8"/>
        <v>0.1428571429</v>
      </c>
      <c r="AV39" s="38">
        <f t="shared" si="9"/>
        <v>0.1785714286</v>
      </c>
      <c r="AW39" s="38">
        <f t="shared" si="10"/>
        <v>0.1785714286</v>
      </c>
      <c r="AX39" s="38">
        <f t="shared" si="11"/>
        <v>0.07142857143</v>
      </c>
      <c r="AY39" s="38">
        <f t="shared" si="12"/>
        <v>0.03571428571</v>
      </c>
      <c r="AZ39" s="38">
        <f t="shared" si="13"/>
        <v>0.8571428571</v>
      </c>
      <c r="BA39" s="38">
        <f t="shared" ref="BA39:BB39" si="93">+AV39+AW39+AX39</f>
        <v>0.4285714286</v>
      </c>
      <c r="BB39" s="39">
        <f t="shared" si="93"/>
        <v>0.2857142857</v>
      </c>
    </row>
    <row r="40" ht="15.75" customHeight="1">
      <c r="A40" s="60"/>
      <c r="B40" s="40">
        <v>29.0</v>
      </c>
      <c r="C40" s="74">
        <v>1.0</v>
      </c>
      <c r="D40" s="27">
        <f t="shared" si="3"/>
        <v>1.448275862</v>
      </c>
      <c r="E40" s="24">
        <f t="shared" si="15"/>
        <v>20</v>
      </c>
      <c r="F40" s="2">
        <f t="shared" si="16"/>
        <v>12</v>
      </c>
      <c r="G40" s="24">
        <f t="shared" si="17"/>
        <v>3</v>
      </c>
      <c r="H40" s="24">
        <f t="shared" si="18"/>
        <v>21</v>
      </c>
      <c r="I40" s="24">
        <f t="shared" si="19"/>
        <v>14</v>
      </c>
      <c r="J40" s="24">
        <f t="shared" si="20"/>
        <v>6</v>
      </c>
      <c r="K40" s="24">
        <f t="shared" si="21"/>
        <v>9</v>
      </c>
      <c r="L40" s="24">
        <f t="shared" si="22"/>
        <v>11</v>
      </c>
      <c r="M40" s="28">
        <f t="shared" si="23"/>
        <v>1</v>
      </c>
      <c r="N40" s="24">
        <v>5.0</v>
      </c>
      <c r="O40" s="27">
        <f t="shared" si="4"/>
        <v>1.689655172</v>
      </c>
      <c r="P40" s="24">
        <f t="shared" si="24"/>
        <v>19</v>
      </c>
      <c r="Q40" s="2">
        <f t="shared" si="25"/>
        <v>17</v>
      </c>
      <c r="R40" s="24">
        <f t="shared" si="26"/>
        <v>4</v>
      </c>
      <c r="S40" s="24">
        <f t="shared" si="27"/>
        <v>23</v>
      </c>
      <c r="T40" s="24">
        <f t="shared" si="28"/>
        <v>17</v>
      </c>
      <c r="U40" s="24">
        <f t="shared" si="29"/>
        <v>5</v>
      </c>
      <c r="V40" s="24">
        <f t="shared" si="30"/>
        <v>6</v>
      </c>
      <c r="W40" s="24">
        <f t="shared" si="31"/>
        <v>13</v>
      </c>
      <c r="X40" s="28">
        <f t="shared" si="32"/>
        <v>4</v>
      </c>
      <c r="Y40" s="24"/>
      <c r="Z40" s="27">
        <f t="shared" si="5"/>
        <v>1.470588235</v>
      </c>
      <c r="AA40" s="24">
        <f t="shared" si="33"/>
        <v>10</v>
      </c>
      <c r="AB40" s="2">
        <f t="shared" si="34"/>
        <v>7</v>
      </c>
      <c r="AC40" s="24">
        <f t="shared" si="35"/>
        <v>3</v>
      </c>
      <c r="AD40" s="24">
        <f t="shared" si="36"/>
        <v>12</v>
      </c>
      <c r="AE40" s="24">
        <f t="shared" si="37"/>
        <v>8</v>
      </c>
      <c r="AF40" s="24">
        <f t="shared" si="38"/>
        <v>16</v>
      </c>
      <c r="AG40" s="24">
        <f t="shared" si="39"/>
        <v>5</v>
      </c>
      <c r="AH40" s="24">
        <f t="shared" si="40"/>
        <v>5</v>
      </c>
      <c r="AI40" s="28">
        <f t="shared" si="41"/>
        <v>2</v>
      </c>
      <c r="AJ40" s="29">
        <f t="shared" ref="AJ40:AS40" si="94">+(O40+D40)/2</f>
        <v>1.568965517</v>
      </c>
      <c r="AK40" s="24">
        <f t="shared" si="94"/>
        <v>19.5</v>
      </c>
      <c r="AL40" s="2">
        <f t="shared" si="94"/>
        <v>14.5</v>
      </c>
      <c r="AM40" s="24">
        <f t="shared" si="94"/>
        <v>3.5</v>
      </c>
      <c r="AN40" s="24">
        <f t="shared" si="94"/>
        <v>22</v>
      </c>
      <c r="AO40" s="24">
        <f t="shared" si="94"/>
        <v>15.5</v>
      </c>
      <c r="AP40" s="24">
        <f t="shared" si="94"/>
        <v>5.5</v>
      </c>
      <c r="AQ40" s="24">
        <f t="shared" si="94"/>
        <v>7.5</v>
      </c>
      <c r="AR40" s="24">
        <f t="shared" si="94"/>
        <v>12</v>
      </c>
      <c r="AS40" s="61">
        <f t="shared" si="94"/>
        <v>2.5</v>
      </c>
      <c r="AT40" s="30">
        <f t="shared" si="7"/>
        <v>-0.09837728195</v>
      </c>
      <c r="AU40" s="31">
        <f t="shared" si="8"/>
        <v>0.1379310345</v>
      </c>
      <c r="AV40" s="31">
        <f t="shared" si="9"/>
        <v>0.1724137931</v>
      </c>
      <c r="AW40" s="31">
        <f t="shared" si="10"/>
        <v>0.1724137931</v>
      </c>
      <c r="AX40" s="31">
        <f t="shared" si="11"/>
        <v>0.06896551724</v>
      </c>
      <c r="AY40" s="31">
        <f t="shared" si="12"/>
        <v>0.03448275862</v>
      </c>
      <c r="AZ40" s="31">
        <f t="shared" si="13"/>
        <v>0.8620689655</v>
      </c>
      <c r="BA40" s="31">
        <f t="shared" ref="BA40:BB40" si="95">+AV40+AW40+AX40</f>
        <v>0.4137931034</v>
      </c>
      <c r="BB40" s="32">
        <f t="shared" si="95"/>
        <v>0.275862069</v>
      </c>
      <c r="BC40" s="60"/>
      <c r="BD40" s="60"/>
      <c r="BE40" s="60"/>
      <c r="BF40" s="60"/>
      <c r="BG40" s="60"/>
      <c r="BH40" s="60"/>
      <c r="BI40" s="60"/>
      <c r="BJ40" s="60"/>
      <c r="BK40" s="60"/>
      <c r="BL40" s="60"/>
    </row>
    <row r="41" ht="15.75" customHeight="1">
      <c r="B41" s="42">
        <v>30.0</v>
      </c>
      <c r="C41" s="76">
        <v>3.0</v>
      </c>
      <c r="D41" s="3">
        <f t="shared" si="3"/>
        <v>1.5</v>
      </c>
      <c r="E41" s="43">
        <f t="shared" si="15"/>
        <v>20</v>
      </c>
      <c r="F41" s="2">
        <f t="shared" si="16"/>
        <v>13</v>
      </c>
      <c r="G41" s="43">
        <f t="shared" si="17"/>
        <v>4</v>
      </c>
      <c r="H41" s="43">
        <f t="shared" si="18"/>
        <v>22</v>
      </c>
      <c r="I41" s="43">
        <f t="shared" si="19"/>
        <v>15</v>
      </c>
      <c r="J41" s="43">
        <f t="shared" si="20"/>
        <v>6</v>
      </c>
      <c r="K41" s="43">
        <f t="shared" si="21"/>
        <v>9</v>
      </c>
      <c r="L41" s="43">
        <f t="shared" si="22"/>
        <v>11</v>
      </c>
      <c r="M41" s="44">
        <f t="shared" si="23"/>
        <v>2</v>
      </c>
      <c r="N41" s="43">
        <v>1.0</v>
      </c>
      <c r="O41" s="3">
        <f t="shared" si="4"/>
        <v>1.666666667</v>
      </c>
      <c r="P41" s="43">
        <f t="shared" si="24"/>
        <v>20</v>
      </c>
      <c r="Q41" s="2">
        <f t="shared" si="25"/>
        <v>17</v>
      </c>
      <c r="R41" s="43">
        <f t="shared" si="26"/>
        <v>4</v>
      </c>
      <c r="S41" s="43">
        <f t="shared" si="27"/>
        <v>24</v>
      </c>
      <c r="T41" s="43">
        <f t="shared" si="28"/>
        <v>17</v>
      </c>
      <c r="U41" s="43">
        <f t="shared" si="29"/>
        <v>5</v>
      </c>
      <c r="V41" s="43">
        <f t="shared" si="30"/>
        <v>7</v>
      </c>
      <c r="W41" s="43">
        <f t="shared" si="31"/>
        <v>13</v>
      </c>
      <c r="X41" s="44">
        <f t="shared" si="32"/>
        <v>4</v>
      </c>
      <c r="Y41" s="43"/>
      <c r="Z41" s="3">
        <f t="shared" si="5"/>
        <v>1.470588235</v>
      </c>
      <c r="AA41" s="43">
        <f t="shared" si="33"/>
        <v>10</v>
      </c>
      <c r="AB41" s="2">
        <f t="shared" si="34"/>
        <v>7</v>
      </c>
      <c r="AC41" s="43">
        <f t="shared" si="35"/>
        <v>3</v>
      </c>
      <c r="AD41" s="43">
        <f t="shared" si="36"/>
        <v>12</v>
      </c>
      <c r="AE41" s="43">
        <f t="shared" si="37"/>
        <v>8</v>
      </c>
      <c r="AF41" s="43">
        <f t="shared" si="38"/>
        <v>17</v>
      </c>
      <c r="AG41" s="43">
        <f t="shared" si="39"/>
        <v>5</v>
      </c>
      <c r="AH41" s="43">
        <f t="shared" si="40"/>
        <v>5</v>
      </c>
      <c r="AI41" s="44">
        <f t="shared" si="41"/>
        <v>2</v>
      </c>
      <c r="AJ41" s="46">
        <f t="shared" ref="AJ41:AS41" si="96">+(O41+D41)/2</f>
        <v>1.583333333</v>
      </c>
      <c r="AK41" s="43">
        <f t="shared" si="96"/>
        <v>20</v>
      </c>
      <c r="AL41" s="2">
        <f t="shared" si="96"/>
        <v>15</v>
      </c>
      <c r="AM41" s="43">
        <f t="shared" si="96"/>
        <v>4</v>
      </c>
      <c r="AN41" s="43">
        <f t="shared" si="96"/>
        <v>23</v>
      </c>
      <c r="AO41" s="43">
        <f t="shared" si="96"/>
        <v>16</v>
      </c>
      <c r="AP41" s="43">
        <f t="shared" si="96"/>
        <v>5.5</v>
      </c>
      <c r="AQ41" s="43">
        <f t="shared" si="96"/>
        <v>8</v>
      </c>
      <c r="AR41" s="43">
        <f t="shared" si="96"/>
        <v>12</v>
      </c>
      <c r="AS41" s="63">
        <f t="shared" si="96"/>
        <v>3</v>
      </c>
      <c r="AT41" s="37">
        <f t="shared" si="7"/>
        <v>-0.112745098</v>
      </c>
      <c r="AU41" s="38">
        <f t="shared" si="8"/>
        <v>0.1333333333</v>
      </c>
      <c r="AV41" s="38">
        <f t="shared" si="9"/>
        <v>0.1666666667</v>
      </c>
      <c r="AW41" s="38">
        <f t="shared" si="10"/>
        <v>0.1666666667</v>
      </c>
      <c r="AX41" s="38">
        <f t="shared" si="11"/>
        <v>0.06666666667</v>
      </c>
      <c r="AY41" s="38">
        <f t="shared" si="12"/>
        <v>0.03333333333</v>
      </c>
      <c r="AZ41" s="38">
        <f t="shared" si="13"/>
        <v>0.8666666667</v>
      </c>
      <c r="BA41" s="38">
        <f t="shared" ref="BA41:BB41" si="97">+AV41+AW41+AX41</f>
        <v>0.4</v>
      </c>
      <c r="BB41" s="39">
        <f t="shared" si="97"/>
        <v>0.2666666667</v>
      </c>
    </row>
    <row r="42" ht="15.75" customHeight="1">
      <c r="A42" s="60"/>
      <c r="B42" s="40">
        <v>31.0</v>
      </c>
      <c r="C42" s="74">
        <v>0.0</v>
      </c>
      <c r="D42" s="27">
        <f t="shared" si="3"/>
        <v>1.451612903</v>
      </c>
      <c r="E42" s="24">
        <f t="shared" si="15"/>
        <v>20</v>
      </c>
      <c r="F42" s="2">
        <f t="shared" si="16"/>
        <v>13</v>
      </c>
      <c r="G42" s="24">
        <f t="shared" si="17"/>
        <v>4</v>
      </c>
      <c r="H42" s="24">
        <f t="shared" si="18"/>
        <v>22</v>
      </c>
      <c r="I42" s="24">
        <f t="shared" si="19"/>
        <v>15</v>
      </c>
      <c r="J42" s="24">
        <f t="shared" si="20"/>
        <v>7</v>
      </c>
      <c r="K42" s="24">
        <f t="shared" si="21"/>
        <v>9</v>
      </c>
      <c r="L42" s="24">
        <f t="shared" si="22"/>
        <v>11</v>
      </c>
      <c r="M42" s="28">
        <f t="shared" si="23"/>
        <v>2</v>
      </c>
      <c r="N42" s="24">
        <v>1.0</v>
      </c>
      <c r="O42" s="27">
        <f t="shared" si="4"/>
        <v>1.64516129</v>
      </c>
      <c r="P42" s="24">
        <f t="shared" si="24"/>
        <v>21</v>
      </c>
      <c r="Q42" s="2">
        <f t="shared" si="25"/>
        <v>17</v>
      </c>
      <c r="R42" s="24">
        <f t="shared" si="26"/>
        <v>4</v>
      </c>
      <c r="S42" s="24">
        <f t="shared" si="27"/>
        <v>25</v>
      </c>
      <c r="T42" s="24">
        <f t="shared" si="28"/>
        <v>17</v>
      </c>
      <c r="U42" s="24">
        <f t="shared" si="29"/>
        <v>5</v>
      </c>
      <c r="V42" s="24">
        <f t="shared" si="30"/>
        <v>8</v>
      </c>
      <c r="W42" s="24">
        <f t="shared" si="31"/>
        <v>13</v>
      </c>
      <c r="X42" s="28">
        <f t="shared" si="32"/>
        <v>4</v>
      </c>
      <c r="Y42" s="24"/>
      <c r="Z42" s="27">
        <f t="shared" si="5"/>
        <v>1.470588235</v>
      </c>
      <c r="AA42" s="24">
        <f t="shared" si="33"/>
        <v>10</v>
      </c>
      <c r="AB42" s="2">
        <f t="shared" si="34"/>
        <v>7</v>
      </c>
      <c r="AC42" s="24">
        <f t="shared" si="35"/>
        <v>3</v>
      </c>
      <c r="AD42" s="24">
        <f t="shared" si="36"/>
        <v>12</v>
      </c>
      <c r="AE42" s="24">
        <f t="shared" si="37"/>
        <v>8</v>
      </c>
      <c r="AF42" s="24">
        <f t="shared" si="38"/>
        <v>18</v>
      </c>
      <c r="AG42" s="24">
        <f t="shared" si="39"/>
        <v>5</v>
      </c>
      <c r="AH42" s="24">
        <f t="shared" si="40"/>
        <v>5</v>
      </c>
      <c r="AI42" s="28">
        <f t="shared" si="41"/>
        <v>2</v>
      </c>
      <c r="AJ42" s="29">
        <f t="shared" ref="AJ42:AS42" si="98">+(O42+D42)/2</f>
        <v>1.548387097</v>
      </c>
      <c r="AK42" s="24">
        <f t="shared" si="98"/>
        <v>20.5</v>
      </c>
      <c r="AL42" s="2">
        <f t="shared" si="98"/>
        <v>15</v>
      </c>
      <c r="AM42" s="24">
        <f t="shared" si="98"/>
        <v>4</v>
      </c>
      <c r="AN42" s="24">
        <f t="shared" si="98"/>
        <v>23.5</v>
      </c>
      <c r="AO42" s="24">
        <f t="shared" si="98"/>
        <v>16</v>
      </c>
      <c r="AP42" s="24">
        <f t="shared" si="98"/>
        <v>6</v>
      </c>
      <c r="AQ42" s="24">
        <f t="shared" si="98"/>
        <v>8.5</v>
      </c>
      <c r="AR42" s="24">
        <f t="shared" si="98"/>
        <v>12</v>
      </c>
      <c r="AS42" s="61">
        <f t="shared" si="98"/>
        <v>3</v>
      </c>
      <c r="AT42" s="30">
        <f t="shared" si="7"/>
        <v>-0.07779886148</v>
      </c>
      <c r="AU42" s="31">
        <f t="shared" si="8"/>
        <v>0.1290322581</v>
      </c>
      <c r="AV42" s="31">
        <f t="shared" si="9"/>
        <v>0.1612903226</v>
      </c>
      <c r="AW42" s="31">
        <f t="shared" si="10"/>
        <v>0.1612903226</v>
      </c>
      <c r="AX42" s="31">
        <f t="shared" si="11"/>
        <v>0.06451612903</v>
      </c>
      <c r="AY42" s="31">
        <f t="shared" si="12"/>
        <v>0.03225806452</v>
      </c>
      <c r="AZ42" s="31">
        <f t="shared" si="13"/>
        <v>0.8709677419</v>
      </c>
      <c r="BA42" s="31">
        <f t="shared" ref="BA42:BB42" si="99">+AV42+AW42+AX42</f>
        <v>0.3870967742</v>
      </c>
      <c r="BB42" s="32">
        <f t="shared" si="99"/>
        <v>0.2580645161</v>
      </c>
      <c r="BC42" s="60"/>
      <c r="BD42" s="60"/>
      <c r="BE42" s="60"/>
      <c r="BF42" s="60"/>
      <c r="BG42" s="60"/>
      <c r="BH42" s="60"/>
      <c r="BI42" s="60"/>
      <c r="BJ42" s="60"/>
      <c r="BK42" s="60"/>
      <c r="BL42" s="60"/>
    </row>
    <row r="43" ht="15.75" customHeight="1">
      <c r="B43" s="33">
        <v>32.0</v>
      </c>
      <c r="C43" s="75">
        <v>0.0</v>
      </c>
      <c r="D43" s="3">
        <f t="shared" si="3"/>
        <v>1.40625</v>
      </c>
      <c r="E43" s="2">
        <f t="shared" si="15"/>
        <v>20</v>
      </c>
      <c r="F43" s="2">
        <f t="shared" si="16"/>
        <v>13</v>
      </c>
      <c r="G43" s="2">
        <f t="shared" si="17"/>
        <v>4</v>
      </c>
      <c r="H43" s="2">
        <f t="shared" si="18"/>
        <v>22</v>
      </c>
      <c r="I43" s="2">
        <f t="shared" si="19"/>
        <v>15</v>
      </c>
      <c r="J43" s="2">
        <f t="shared" si="20"/>
        <v>8</v>
      </c>
      <c r="K43" s="2">
        <f t="shared" si="21"/>
        <v>9</v>
      </c>
      <c r="L43" s="2">
        <f t="shared" si="22"/>
        <v>11</v>
      </c>
      <c r="M43" s="34">
        <f t="shared" si="23"/>
        <v>2</v>
      </c>
      <c r="N43" s="2">
        <v>0.0</v>
      </c>
      <c r="O43" s="3">
        <f t="shared" si="4"/>
        <v>1.59375</v>
      </c>
      <c r="P43" s="2">
        <f t="shared" si="24"/>
        <v>21</v>
      </c>
      <c r="Q43" s="2">
        <f t="shared" si="25"/>
        <v>17</v>
      </c>
      <c r="R43" s="2">
        <f t="shared" si="26"/>
        <v>4</v>
      </c>
      <c r="S43" s="2">
        <f t="shared" si="27"/>
        <v>25</v>
      </c>
      <c r="T43" s="2">
        <f t="shared" si="28"/>
        <v>17</v>
      </c>
      <c r="U43" s="2">
        <f t="shared" si="29"/>
        <v>6</v>
      </c>
      <c r="V43" s="2">
        <f t="shared" si="30"/>
        <v>8</v>
      </c>
      <c r="W43" s="2">
        <f t="shared" si="31"/>
        <v>13</v>
      </c>
      <c r="X43" s="34">
        <f t="shared" si="32"/>
        <v>4</v>
      </c>
      <c r="Y43" s="2"/>
      <c r="Z43" s="3">
        <f t="shared" si="5"/>
        <v>1.470588235</v>
      </c>
      <c r="AA43" s="2">
        <f t="shared" si="33"/>
        <v>10</v>
      </c>
      <c r="AB43" s="2">
        <f t="shared" si="34"/>
        <v>7</v>
      </c>
      <c r="AC43" s="2">
        <f t="shared" si="35"/>
        <v>3</v>
      </c>
      <c r="AD43" s="2">
        <f t="shared" si="36"/>
        <v>12</v>
      </c>
      <c r="AE43" s="2">
        <f t="shared" si="37"/>
        <v>8</v>
      </c>
      <c r="AF43" s="2">
        <f t="shared" si="38"/>
        <v>19</v>
      </c>
      <c r="AG43" s="2">
        <f t="shared" si="39"/>
        <v>5</v>
      </c>
      <c r="AH43" s="2">
        <f t="shared" si="40"/>
        <v>5</v>
      </c>
      <c r="AI43" s="34">
        <f t="shared" si="41"/>
        <v>2</v>
      </c>
      <c r="AJ43" s="36">
        <f t="shared" ref="AJ43:AS43" si="100">+(O43+D43)/2</f>
        <v>1.5</v>
      </c>
      <c r="AK43" s="2">
        <f t="shared" si="100"/>
        <v>20.5</v>
      </c>
      <c r="AL43" s="2">
        <f t="shared" si="100"/>
        <v>15</v>
      </c>
      <c r="AM43" s="2">
        <f t="shared" si="100"/>
        <v>4</v>
      </c>
      <c r="AN43" s="2">
        <f t="shared" si="100"/>
        <v>23.5</v>
      </c>
      <c r="AO43" s="2">
        <f t="shared" si="100"/>
        <v>16</v>
      </c>
      <c r="AP43" s="2">
        <f t="shared" si="100"/>
        <v>7</v>
      </c>
      <c r="AQ43" s="2">
        <f t="shared" si="100"/>
        <v>8.5</v>
      </c>
      <c r="AR43" s="2">
        <f t="shared" si="100"/>
        <v>12</v>
      </c>
      <c r="AS43" s="62">
        <f t="shared" si="100"/>
        <v>3</v>
      </c>
      <c r="AT43" s="37">
        <f t="shared" si="7"/>
        <v>-0.02941176471</v>
      </c>
      <c r="AU43" s="38">
        <f t="shared" si="8"/>
        <v>0.125</v>
      </c>
      <c r="AV43" s="38">
        <f t="shared" si="9"/>
        <v>0.15625</v>
      </c>
      <c r="AW43" s="38">
        <f t="shared" si="10"/>
        <v>0.15625</v>
      </c>
      <c r="AX43" s="38">
        <f t="shared" si="11"/>
        <v>0.0625</v>
      </c>
      <c r="AY43" s="38">
        <f t="shared" si="12"/>
        <v>0.03125</v>
      </c>
      <c r="AZ43" s="38">
        <f t="shared" si="13"/>
        <v>0.875</v>
      </c>
      <c r="BA43" s="38">
        <f t="shared" ref="BA43:BB43" si="101">+AV43+AW43+AX43</f>
        <v>0.375</v>
      </c>
      <c r="BB43" s="39">
        <f t="shared" si="101"/>
        <v>0.25</v>
      </c>
    </row>
    <row r="44" ht="15.75" customHeight="1">
      <c r="A44" s="60"/>
      <c r="B44" s="40">
        <v>33.0</v>
      </c>
      <c r="C44" s="74">
        <v>3.0</v>
      </c>
      <c r="D44" s="27">
        <f t="shared" si="3"/>
        <v>1.454545455</v>
      </c>
      <c r="E44" s="24">
        <f t="shared" si="15"/>
        <v>20</v>
      </c>
      <c r="F44" s="2">
        <f t="shared" si="16"/>
        <v>14</v>
      </c>
      <c r="G44" s="24">
        <f t="shared" si="17"/>
        <v>5</v>
      </c>
      <c r="H44" s="24">
        <f t="shared" si="18"/>
        <v>23</v>
      </c>
      <c r="I44" s="24">
        <f t="shared" si="19"/>
        <v>16</v>
      </c>
      <c r="J44" s="24">
        <f t="shared" si="20"/>
        <v>8</v>
      </c>
      <c r="K44" s="24">
        <f t="shared" si="21"/>
        <v>9</v>
      </c>
      <c r="L44" s="24">
        <f t="shared" si="22"/>
        <v>11</v>
      </c>
      <c r="M44" s="28">
        <f t="shared" si="23"/>
        <v>3</v>
      </c>
      <c r="N44" s="24">
        <v>1.0</v>
      </c>
      <c r="O44" s="27">
        <f t="shared" si="4"/>
        <v>1.575757576</v>
      </c>
      <c r="P44" s="24">
        <f t="shared" si="24"/>
        <v>22</v>
      </c>
      <c r="Q44" s="2">
        <f t="shared" si="25"/>
        <v>17</v>
      </c>
      <c r="R44" s="24">
        <f t="shared" si="26"/>
        <v>4</v>
      </c>
      <c r="S44" s="24">
        <f t="shared" si="27"/>
        <v>26</v>
      </c>
      <c r="T44" s="24">
        <f t="shared" si="28"/>
        <v>17</v>
      </c>
      <c r="U44" s="24">
        <f t="shared" si="29"/>
        <v>6</v>
      </c>
      <c r="V44" s="24">
        <f t="shared" si="30"/>
        <v>9</v>
      </c>
      <c r="W44" s="24">
        <f t="shared" si="31"/>
        <v>13</v>
      </c>
      <c r="X44" s="28">
        <f t="shared" si="32"/>
        <v>4</v>
      </c>
      <c r="Y44" s="24"/>
      <c r="Z44" s="27">
        <f t="shared" si="5"/>
        <v>1.470588235</v>
      </c>
      <c r="AA44" s="24">
        <f t="shared" si="33"/>
        <v>10</v>
      </c>
      <c r="AB44" s="2">
        <f t="shared" si="34"/>
        <v>7</v>
      </c>
      <c r="AC44" s="24">
        <f t="shared" si="35"/>
        <v>3</v>
      </c>
      <c r="AD44" s="24">
        <f t="shared" si="36"/>
        <v>12</v>
      </c>
      <c r="AE44" s="24">
        <f t="shared" si="37"/>
        <v>8</v>
      </c>
      <c r="AF44" s="24">
        <f t="shared" si="38"/>
        <v>20</v>
      </c>
      <c r="AG44" s="24">
        <f t="shared" si="39"/>
        <v>5</v>
      </c>
      <c r="AH44" s="24">
        <f t="shared" si="40"/>
        <v>5</v>
      </c>
      <c r="AI44" s="28">
        <f t="shared" si="41"/>
        <v>2</v>
      </c>
      <c r="AJ44" s="29">
        <f t="shared" ref="AJ44:AS44" si="102">+(O44+D44)/2</f>
        <v>1.515151515</v>
      </c>
      <c r="AK44" s="24">
        <f t="shared" si="102"/>
        <v>21</v>
      </c>
      <c r="AL44" s="2">
        <f t="shared" si="102"/>
        <v>15.5</v>
      </c>
      <c r="AM44" s="24">
        <f t="shared" si="102"/>
        <v>4.5</v>
      </c>
      <c r="AN44" s="24">
        <f t="shared" si="102"/>
        <v>24.5</v>
      </c>
      <c r="AO44" s="24">
        <f t="shared" si="102"/>
        <v>16.5</v>
      </c>
      <c r="AP44" s="24">
        <f t="shared" si="102"/>
        <v>7</v>
      </c>
      <c r="AQ44" s="24">
        <f t="shared" si="102"/>
        <v>9</v>
      </c>
      <c r="AR44" s="24">
        <f t="shared" si="102"/>
        <v>12</v>
      </c>
      <c r="AS44" s="61">
        <f t="shared" si="102"/>
        <v>3.5</v>
      </c>
      <c r="AT44" s="30">
        <f t="shared" si="7"/>
        <v>-0.04456327986</v>
      </c>
      <c r="AU44" s="31">
        <f t="shared" si="8"/>
        <v>0.1212121212</v>
      </c>
      <c r="AV44" s="31">
        <f t="shared" si="9"/>
        <v>0.1515151515</v>
      </c>
      <c r="AW44" s="31">
        <f t="shared" si="10"/>
        <v>0.1515151515</v>
      </c>
      <c r="AX44" s="31">
        <f t="shared" si="11"/>
        <v>0.06060606061</v>
      </c>
      <c r="AY44" s="31">
        <f t="shared" si="12"/>
        <v>0.0303030303</v>
      </c>
      <c r="AZ44" s="31">
        <f t="shared" si="13"/>
        <v>0.8787878788</v>
      </c>
      <c r="BA44" s="31">
        <f t="shared" ref="BA44:BB44" si="103">+AV44+AW44+AX44</f>
        <v>0.3636363636</v>
      </c>
      <c r="BB44" s="32">
        <f t="shared" si="103"/>
        <v>0.2424242424</v>
      </c>
      <c r="BC44" s="60"/>
      <c r="BD44" s="60"/>
      <c r="BE44" s="60"/>
      <c r="BF44" s="60"/>
      <c r="BG44" s="60"/>
      <c r="BH44" s="60"/>
      <c r="BI44" s="60"/>
      <c r="BJ44" s="60"/>
      <c r="BK44" s="60"/>
      <c r="BL44" s="60"/>
    </row>
    <row r="45" ht="15.75" customHeight="1">
      <c r="B45" s="33">
        <v>34.0</v>
      </c>
      <c r="C45" s="75">
        <v>1.0</v>
      </c>
      <c r="D45" s="3">
        <f t="shared" si="3"/>
        <v>1.441176471</v>
      </c>
      <c r="E45" s="2">
        <f t="shared" si="15"/>
        <v>21</v>
      </c>
      <c r="F45" s="2">
        <f t="shared" si="16"/>
        <v>14</v>
      </c>
      <c r="G45" s="2">
        <f t="shared" si="17"/>
        <v>5</v>
      </c>
      <c r="H45" s="2">
        <f t="shared" si="18"/>
        <v>24</v>
      </c>
      <c r="I45" s="2">
        <f t="shared" si="19"/>
        <v>16</v>
      </c>
      <c r="J45" s="2">
        <f t="shared" si="20"/>
        <v>8</v>
      </c>
      <c r="K45" s="2">
        <f t="shared" si="21"/>
        <v>10</v>
      </c>
      <c r="L45" s="2">
        <f t="shared" si="22"/>
        <v>11</v>
      </c>
      <c r="M45" s="34">
        <f t="shared" si="23"/>
        <v>3</v>
      </c>
      <c r="N45" s="2">
        <v>0.0</v>
      </c>
      <c r="O45" s="3">
        <f t="shared" si="4"/>
        <v>1.529411765</v>
      </c>
      <c r="P45" s="2">
        <f t="shared" si="24"/>
        <v>22</v>
      </c>
      <c r="Q45" s="2">
        <f t="shared" si="25"/>
        <v>17</v>
      </c>
      <c r="R45" s="2">
        <f t="shared" si="26"/>
        <v>4</v>
      </c>
      <c r="S45" s="2">
        <f t="shared" si="27"/>
        <v>26</v>
      </c>
      <c r="T45" s="2">
        <f t="shared" si="28"/>
        <v>17</v>
      </c>
      <c r="U45" s="2">
        <f t="shared" si="29"/>
        <v>7</v>
      </c>
      <c r="V45" s="2">
        <f t="shared" si="30"/>
        <v>9</v>
      </c>
      <c r="W45" s="2">
        <f t="shared" si="31"/>
        <v>13</v>
      </c>
      <c r="X45" s="34">
        <f t="shared" si="32"/>
        <v>4</v>
      </c>
      <c r="Y45" s="2"/>
      <c r="Z45" s="3">
        <f t="shared" si="5"/>
        <v>1.470588235</v>
      </c>
      <c r="AA45" s="2">
        <f t="shared" si="33"/>
        <v>10</v>
      </c>
      <c r="AB45" s="2">
        <f t="shared" si="34"/>
        <v>7</v>
      </c>
      <c r="AC45" s="2">
        <f t="shared" si="35"/>
        <v>3</v>
      </c>
      <c r="AD45" s="2">
        <f t="shared" si="36"/>
        <v>12</v>
      </c>
      <c r="AE45" s="2">
        <f t="shared" si="37"/>
        <v>8</v>
      </c>
      <c r="AF45" s="2">
        <f t="shared" si="38"/>
        <v>21</v>
      </c>
      <c r="AG45" s="2">
        <f t="shared" si="39"/>
        <v>5</v>
      </c>
      <c r="AH45" s="2">
        <f t="shared" si="40"/>
        <v>5</v>
      </c>
      <c r="AI45" s="34">
        <f t="shared" si="41"/>
        <v>2</v>
      </c>
      <c r="AJ45" s="36">
        <f t="shared" ref="AJ45:AS45" si="104">+(O45+D45)/2</f>
        <v>1.485294118</v>
      </c>
      <c r="AK45" s="2">
        <f t="shared" si="104"/>
        <v>21.5</v>
      </c>
      <c r="AL45" s="2">
        <f t="shared" si="104"/>
        <v>15.5</v>
      </c>
      <c r="AM45" s="2">
        <f t="shared" si="104"/>
        <v>4.5</v>
      </c>
      <c r="AN45" s="2">
        <f t="shared" si="104"/>
        <v>25</v>
      </c>
      <c r="AO45" s="2">
        <f t="shared" si="104"/>
        <v>16.5</v>
      </c>
      <c r="AP45" s="2">
        <f t="shared" si="104"/>
        <v>7.5</v>
      </c>
      <c r="AQ45" s="2">
        <f t="shared" si="104"/>
        <v>9.5</v>
      </c>
      <c r="AR45" s="2">
        <f t="shared" si="104"/>
        <v>12</v>
      </c>
      <c r="AS45" s="62">
        <f t="shared" si="104"/>
        <v>3.5</v>
      </c>
      <c r="AT45" s="37">
        <f t="shared" si="7"/>
        <v>-0.01470588235</v>
      </c>
      <c r="AU45" s="38">
        <f t="shared" si="8"/>
        <v>0.1176470588</v>
      </c>
      <c r="AV45" s="38">
        <f t="shared" si="9"/>
        <v>0.1470588235</v>
      </c>
      <c r="AW45" s="38">
        <f t="shared" si="10"/>
        <v>0.1470588235</v>
      </c>
      <c r="AX45" s="38">
        <f t="shared" si="11"/>
        <v>0.05882352941</v>
      </c>
      <c r="AY45" s="38">
        <f t="shared" si="12"/>
        <v>0.02941176471</v>
      </c>
      <c r="AZ45" s="38">
        <f t="shared" si="13"/>
        <v>0.8823529412</v>
      </c>
      <c r="BA45" s="38">
        <f t="shared" ref="BA45:BB45" si="105">+AV45+AW45+AX45</f>
        <v>0.3529411765</v>
      </c>
      <c r="BB45" s="39">
        <f t="shared" si="105"/>
        <v>0.2352941176</v>
      </c>
    </row>
    <row r="46" ht="15.75" customHeight="1">
      <c r="A46" s="60"/>
      <c r="B46" s="40">
        <v>35.0</v>
      </c>
      <c r="C46" s="74">
        <v>0.0</v>
      </c>
      <c r="D46" s="27">
        <f t="shared" si="3"/>
        <v>1.4</v>
      </c>
      <c r="E46" s="24">
        <f t="shared" si="15"/>
        <v>21</v>
      </c>
      <c r="F46" s="2">
        <f t="shared" si="16"/>
        <v>14</v>
      </c>
      <c r="G46" s="24">
        <f t="shared" si="17"/>
        <v>5</v>
      </c>
      <c r="H46" s="24">
        <f t="shared" si="18"/>
        <v>24</v>
      </c>
      <c r="I46" s="24">
        <f t="shared" si="19"/>
        <v>16</v>
      </c>
      <c r="J46" s="24">
        <f t="shared" si="20"/>
        <v>9</v>
      </c>
      <c r="K46" s="24">
        <f t="shared" si="21"/>
        <v>10</v>
      </c>
      <c r="L46" s="24">
        <f t="shared" si="22"/>
        <v>11</v>
      </c>
      <c r="M46" s="28">
        <f t="shared" si="23"/>
        <v>3</v>
      </c>
      <c r="N46" s="24">
        <v>1.0</v>
      </c>
      <c r="O46" s="27">
        <f t="shared" si="4"/>
        <v>1.514285714</v>
      </c>
      <c r="P46" s="24">
        <f t="shared" si="24"/>
        <v>23</v>
      </c>
      <c r="Q46" s="2">
        <f t="shared" si="25"/>
        <v>17</v>
      </c>
      <c r="R46" s="24">
        <f t="shared" si="26"/>
        <v>4</v>
      </c>
      <c r="S46" s="24">
        <f t="shared" si="27"/>
        <v>27</v>
      </c>
      <c r="T46" s="24">
        <f t="shared" si="28"/>
        <v>17</v>
      </c>
      <c r="U46" s="24">
        <f t="shared" si="29"/>
        <v>7</v>
      </c>
      <c r="V46" s="24">
        <f t="shared" si="30"/>
        <v>10</v>
      </c>
      <c r="W46" s="24">
        <f t="shared" si="31"/>
        <v>13</v>
      </c>
      <c r="X46" s="28">
        <f t="shared" si="32"/>
        <v>4</v>
      </c>
      <c r="Y46" s="24"/>
      <c r="Z46" s="27">
        <f t="shared" si="5"/>
        <v>1.470588235</v>
      </c>
      <c r="AA46" s="24">
        <f t="shared" si="33"/>
        <v>10</v>
      </c>
      <c r="AB46" s="2">
        <f t="shared" si="34"/>
        <v>7</v>
      </c>
      <c r="AC46" s="24">
        <f t="shared" si="35"/>
        <v>3</v>
      </c>
      <c r="AD46" s="24">
        <f t="shared" si="36"/>
        <v>12</v>
      </c>
      <c r="AE46" s="24">
        <f t="shared" si="37"/>
        <v>8</v>
      </c>
      <c r="AF46" s="24">
        <f t="shared" si="38"/>
        <v>22</v>
      </c>
      <c r="AG46" s="24">
        <f t="shared" si="39"/>
        <v>5</v>
      </c>
      <c r="AH46" s="24">
        <f t="shared" si="40"/>
        <v>5</v>
      </c>
      <c r="AI46" s="28">
        <f t="shared" si="41"/>
        <v>2</v>
      </c>
      <c r="AJ46" s="29">
        <f t="shared" ref="AJ46:AS46" si="106">+(O46+D46)/2</f>
        <v>1.457142857</v>
      </c>
      <c r="AK46" s="24">
        <f t="shared" si="106"/>
        <v>22</v>
      </c>
      <c r="AL46" s="2">
        <f t="shared" si="106"/>
        <v>15.5</v>
      </c>
      <c r="AM46" s="24">
        <f t="shared" si="106"/>
        <v>4.5</v>
      </c>
      <c r="AN46" s="24">
        <f t="shared" si="106"/>
        <v>25.5</v>
      </c>
      <c r="AO46" s="24">
        <f t="shared" si="106"/>
        <v>16.5</v>
      </c>
      <c r="AP46" s="24">
        <f t="shared" si="106"/>
        <v>8</v>
      </c>
      <c r="AQ46" s="24">
        <f t="shared" si="106"/>
        <v>10</v>
      </c>
      <c r="AR46" s="24">
        <f t="shared" si="106"/>
        <v>12</v>
      </c>
      <c r="AS46" s="61">
        <f t="shared" si="106"/>
        <v>3.5</v>
      </c>
      <c r="AT46" s="30">
        <f t="shared" si="7"/>
        <v>0.01344537815</v>
      </c>
      <c r="AU46" s="31">
        <f t="shared" si="8"/>
        <v>0.1142857143</v>
      </c>
      <c r="AV46" s="31">
        <f t="shared" si="9"/>
        <v>0.1428571429</v>
      </c>
      <c r="AW46" s="31">
        <f t="shared" si="10"/>
        <v>0.1428571429</v>
      </c>
      <c r="AX46" s="31">
        <f t="shared" si="11"/>
        <v>0.05714285714</v>
      </c>
      <c r="AY46" s="31">
        <f t="shared" si="12"/>
        <v>0.02857142857</v>
      </c>
      <c r="AZ46" s="31">
        <f t="shared" si="13"/>
        <v>0.8857142857</v>
      </c>
      <c r="BA46" s="31">
        <f t="shared" ref="BA46:BB46" si="107">+AV46+AW46+AX46</f>
        <v>0.3428571429</v>
      </c>
      <c r="BB46" s="32">
        <f t="shared" si="107"/>
        <v>0.2285714286</v>
      </c>
      <c r="BC46" s="60"/>
      <c r="BD46" s="60"/>
      <c r="BE46" s="60"/>
      <c r="BF46" s="60"/>
      <c r="BG46" s="60"/>
      <c r="BH46" s="60"/>
      <c r="BI46" s="60"/>
      <c r="BJ46" s="60"/>
      <c r="BK46" s="60"/>
      <c r="BL46" s="60"/>
    </row>
    <row r="47" ht="15.75" customHeight="1">
      <c r="B47" s="33">
        <v>36.0</v>
      </c>
      <c r="C47" s="75">
        <v>2.0</v>
      </c>
      <c r="D47" s="3">
        <f t="shared" si="3"/>
        <v>1.416666667</v>
      </c>
      <c r="E47" s="2">
        <f t="shared" si="15"/>
        <v>22</v>
      </c>
      <c r="F47" s="2">
        <f t="shared" si="16"/>
        <v>15</v>
      </c>
      <c r="G47" s="2">
        <f t="shared" si="17"/>
        <v>5</v>
      </c>
      <c r="H47" s="2">
        <f t="shared" si="18"/>
        <v>25</v>
      </c>
      <c r="I47" s="2">
        <f t="shared" si="19"/>
        <v>17</v>
      </c>
      <c r="J47" s="2">
        <f t="shared" si="20"/>
        <v>9</v>
      </c>
      <c r="K47" s="2">
        <f t="shared" si="21"/>
        <v>10</v>
      </c>
      <c r="L47" s="2">
        <f t="shared" si="22"/>
        <v>12</v>
      </c>
      <c r="M47" s="34">
        <f t="shared" si="23"/>
        <v>3</v>
      </c>
      <c r="N47" s="2">
        <v>1.0</v>
      </c>
      <c r="O47" s="3">
        <f t="shared" si="4"/>
        <v>1.5</v>
      </c>
      <c r="P47" s="2">
        <f t="shared" si="24"/>
        <v>24</v>
      </c>
      <c r="Q47" s="2">
        <f t="shared" si="25"/>
        <v>17</v>
      </c>
      <c r="R47" s="2">
        <f t="shared" si="26"/>
        <v>4</v>
      </c>
      <c r="S47" s="2">
        <f t="shared" si="27"/>
        <v>28</v>
      </c>
      <c r="T47" s="2">
        <f t="shared" si="28"/>
        <v>17</v>
      </c>
      <c r="U47" s="2">
        <f t="shared" si="29"/>
        <v>7</v>
      </c>
      <c r="V47" s="2">
        <f t="shared" si="30"/>
        <v>11</v>
      </c>
      <c r="W47" s="2">
        <f t="shared" si="31"/>
        <v>13</v>
      </c>
      <c r="X47" s="34">
        <f t="shared" si="32"/>
        <v>4</v>
      </c>
      <c r="Y47" s="2"/>
      <c r="Z47" s="3">
        <f t="shared" si="5"/>
        <v>1.470588235</v>
      </c>
      <c r="AA47" s="2">
        <f t="shared" si="33"/>
        <v>10</v>
      </c>
      <c r="AB47" s="2">
        <f t="shared" si="34"/>
        <v>7</v>
      </c>
      <c r="AC47" s="2">
        <f t="shared" si="35"/>
        <v>3</v>
      </c>
      <c r="AD47" s="2">
        <f t="shared" si="36"/>
        <v>12</v>
      </c>
      <c r="AE47" s="2">
        <f t="shared" si="37"/>
        <v>8</v>
      </c>
      <c r="AF47" s="2">
        <f t="shared" si="38"/>
        <v>23</v>
      </c>
      <c r="AG47" s="2">
        <f t="shared" si="39"/>
        <v>5</v>
      </c>
      <c r="AH47" s="2">
        <f t="shared" si="40"/>
        <v>5</v>
      </c>
      <c r="AI47" s="34">
        <f t="shared" si="41"/>
        <v>2</v>
      </c>
      <c r="AJ47" s="36">
        <f t="shared" ref="AJ47:AS47" si="108">+(O47+D47)/2</f>
        <v>1.458333333</v>
      </c>
      <c r="AK47" s="2">
        <f t="shared" si="108"/>
        <v>23</v>
      </c>
      <c r="AL47" s="2">
        <f t="shared" si="108"/>
        <v>16</v>
      </c>
      <c r="AM47" s="2">
        <f t="shared" si="108"/>
        <v>4.5</v>
      </c>
      <c r="AN47" s="2">
        <f t="shared" si="108"/>
        <v>26.5</v>
      </c>
      <c r="AO47" s="2">
        <f t="shared" si="108"/>
        <v>17</v>
      </c>
      <c r="AP47" s="2">
        <f t="shared" si="108"/>
        <v>8</v>
      </c>
      <c r="AQ47" s="2">
        <f t="shared" si="108"/>
        <v>10.5</v>
      </c>
      <c r="AR47" s="2">
        <f t="shared" si="108"/>
        <v>12.5</v>
      </c>
      <c r="AS47" s="62">
        <f t="shared" si="108"/>
        <v>3.5</v>
      </c>
      <c r="AT47" s="37">
        <f t="shared" si="7"/>
        <v>0.01225490196</v>
      </c>
      <c r="AU47" s="38">
        <f t="shared" si="8"/>
        <v>0.1111111111</v>
      </c>
      <c r="AV47" s="38">
        <f t="shared" si="9"/>
        <v>0.1388888889</v>
      </c>
      <c r="AW47" s="38">
        <f t="shared" si="10"/>
        <v>0.1388888889</v>
      </c>
      <c r="AX47" s="38">
        <f t="shared" si="11"/>
        <v>0.05555555556</v>
      </c>
      <c r="AY47" s="38">
        <f t="shared" si="12"/>
        <v>0.02777777778</v>
      </c>
      <c r="AZ47" s="38">
        <f t="shared" si="13"/>
        <v>0.8888888889</v>
      </c>
      <c r="BA47" s="38">
        <f t="shared" ref="BA47:BB47" si="109">+AV47+AW47+AX47</f>
        <v>0.3333333333</v>
      </c>
      <c r="BB47" s="39">
        <f t="shared" si="109"/>
        <v>0.2222222222</v>
      </c>
    </row>
    <row r="48" ht="15.75" customHeight="1">
      <c r="A48" s="60"/>
      <c r="B48" s="40">
        <v>37.0</v>
      </c>
      <c r="C48" s="74">
        <v>3.0</v>
      </c>
      <c r="D48" s="27">
        <f t="shared" si="3"/>
        <v>1.459459459</v>
      </c>
      <c r="E48" s="24">
        <f t="shared" si="15"/>
        <v>22</v>
      </c>
      <c r="F48" s="2">
        <f t="shared" si="16"/>
        <v>16</v>
      </c>
      <c r="G48" s="24">
        <f t="shared" si="17"/>
        <v>6</v>
      </c>
      <c r="H48" s="24">
        <f t="shared" si="18"/>
        <v>26</v>
      </c>
      <c r="I48" s="24">
        <f t="shared" si="19"/>
        <v>18</v>
      </c>
      <c r="J48" s="24">
        <f t="shared" si="20"/>
        <v>9</v>
      </c>
      <c r="K48" s="24">
        <f t="shared" si="21"/>
        <v>10</v>
      </c>
      <c r="L48" s="24">
        <f t="shared" si="22"/>
        <v>12</v>
      </c>
      <c r="M48" s="28">
        <f t="shared" si="23"/>
        <v>4</v>
      </c>
      <c r="N48" s="24">
        <v>2.0</v>
      </c>
      <c r="O48" s="27">
        <f t="shared" si="4"/>
        <v>1.513513514</v>
      </c>
      <c r="P48" s="24">
        <f t="shared" si="24"/>
        <v>25</v>
      </c>
      <c r="Q48" s="2">
        <f t="shared" si="25"/>
        <v>18</v>
      </c>
      <c r="R48" s="24">
        <f t="shared" si="26"/>
        <v>4</v>
      </c>
      <c r="S48" s="24">
        <f t="shared" si="27"/>
        <v>29</v>
      </c>
      <c r="T48" s="24">
        <f t="shared" si="28"/>
        <v>18</v>
      </c>
      <c r="U48" s="24">
        <f t="shared" si="29"/>
        <v>7</v>
      </c>
      <c r="V48" s="24">
        <f t="shared" si="30"/>
        <v>11</v>
      </c>
      <c r="W48" s="24">
        <f t="shared" si="31"/>
        <v>14</v>
      </c>
      <c r="X48" s="28">
        <f t="shared" si="32"/>
        <v>4</v>
      </c>
      <c r="Y48" s="24"/>
      <c r="Z48" s="27">
        <f t="shared" si="5"/>
        <v>1.470588235</v>
      </c>
      <c r="AA48" s="24">
        <f t="shared" si="33"/>
        <v>10</v>
      </c>
      <c r="AB48" s="2">
        <f t="shared" si="34"/>
        <v>7</v>
      </c>
      <c r="AC48" s="24">
        <f t="shared" si="35"/>
        <v>3</v>
      </c>
      <c r="AD48" s="24">
        <f t="shared" si="36"/>
        <v>12</v>
      </c>
      <c r="AE48" s="24">
        <f t="shared" si="37"/>
        <v>8</v>
      </c>
      <c r="AF48" s="24">
        <f t="shared" si="38"/>
        <v>24</v>
      </c>
      <c r="AG48" s="24">
        <f t="shared" si="39"/>
        <v>5</v>
      </c>
      <c r="AH48" s="24">
        <f t="shared" si="40"/>
        <v>5</v>
      </c>
      <c r="AI48" s="28">
        <f t="shared" si="41"/>
        <v>2</v>
      </c>
      <c r="AJ48" s="29">
        <f t="shared" ref="AJ48:AS48" si="110">+(O48+D48)/2</f>
        <v>1.486486486</v>
      </c>
      <c r="AK48" s="24">
        <f t="shared" si="110"/>
        <v>23.5</v>
      </c>
      <c r="AL48" s="2">
        <f t="shared" si="110"/>
        <v>17</v>
      </c>
      <c r="AM48" s="24">
        <f t="shared" si="110"/>
        <v>5</v>
      </c>
      <c r="AN48" s="24">
        <f t="shared" si="110"/>
        <v>27.5</v>
      </c>
      <c r="AO48" s="24">
        <f t="shared" si="110"/>
        <v>18</v>
      </c>
      <c r="AP48" s="24">
        <f t="shared" si="110"/>
        <v>8</v>
      </c>
      <c r="AQ48" s="24">
        <f t="shared" si="110"/>
        <v>10.5</v>
      </c>
      <c r="AR48" s="24">
        <f t="shared" si="110"/>
        <v>13</v>
      </c>
      <c r="AS48" s="61">
        <f t="shared" si="110"/>
        <v>4</v>
      </c>
      <c r="AT48" s="30">
        <f t="shared" si="7"/>
        <v>-0.01589825119</v>
      </c>
      <c r="AU48" s="31">
        <f t="shared" si="8"/>
        <v>0.1081081081</v>
      </c>
      <c r="AV48" s="31">
        <f t="shared" si="9"/>
        <v>0.1351351351</v>
      </c>
      <c r="AW48" s="31">
        <f t="shared" si="10"/>
        <v>0.1351351351</v>
      </c>
      <c r="AX48" s="31">
        <f t="shared" si="11"/>
        <v>0.05405405405</v>
      </c>
      <c r="AY48" s="31">
        <f t="shared" si="12"/>
        <v>0.02702702703</v>
      </c>
      <c r="AZ48" s="31">
        <f t="shared" si="13"/>
        <v>0.8918918919</v>
      </c>
      <c r="BA48" s="31">
        <f t="shared" ref="BA48:BB48" si="111">+AV48+AW48+AX48</f>
        <v>0.3243243243</v>
      </c>
      <c r="BB48" s="32">
        <f t="shared" si="111"/>
        <v>0.2162162162</v>
      </c>
      <c r="BC48" s="60"/>
      <c r="BD48" s="60"/>
      <c r="BE48" s="60"/>
      <c r="BF48" s="60"/>
      <c r="BG48" s="60"/>
      <c r="BH48" s="60"/>
      <c r="BI48" s="60"/>
      <c r="BJ48" s="60"/>
      <c r="BK48" s="60"/>
      <c r="BL48" s="60"/>
    </row>
    <row r="49" ht="15.75" customHeight="1">
      <c r="B49" s="42">
        <v>38.0</v>
      </c>
      <c r="C49" s="76">
        <v>0.0</v>
      </c>
      <c r="D49" s="3">
        <f t="shared" si="3"/>
        <v>1.421052632</v>
      </c>
      <c r="E49" s="43">
        <f t="shared" si="15"/>
        <v>22</v>
      </c>
      <c r="F49" s="2">
        <f t="shared" si="16"/>
        <v>16</v>
      </c>
      <c r="G49" s="43">
        <f t="shared" si="17"/>
        <v>6</v>
      </c>
      <c r="H49" s="43">
        <f t="shared" si="18"/>
        <v>26</v>
      </c>
      <c r="I49" s="43">
        <f t="shared" si="19"/>
        <v>18</v>
      </c>
      <c r="J49" s="43">
        <f t="shared" si="20"/>
        <v>10</v>
      </c>
      <c r="K49" s="43">
        <f t="shared" si="21"/>
        <v>10</v>
      </c>
      <c r="L49" s="43">
        <f t="shared" si="22"/>
        <v>12</v>
      </c>
      <c r="M49" s="44">
        <f t="shared" si="23"/>
        <v>4</v>
      </c>
      <c r="N49" s="43">
        <v>1.0</v>
      </c>
      <c r="O49" s="3">
        <f t="shared" si="4"/>
        <v>1.5</v>
      </c>
      <c r="P49" s="43">
        <f t="shared" si="24"/>
        <v>26</v>
      </c>
      <c r="Q49" s="2">
        <f t="shared" si="25"/>
        <v>18</v>
      </c>
      <c r="R49" s="43">
        <f t="shared" si="26"/>
        <v>4</v>
      </c>
      <c r="S49" s="43">
        <f t="shared" si="27"/>
        <v>30</v>
      </c>
      <c r="T49" s="43">
        <f t="shared" si="28"/>
        <v>18</v>
      </c>
      <c r="U49" s="43">
        <f t="shared" si="29"/>
        <v>7</v>
      </c>
      <c r="V49" s="43">
        <f t="shared" si="30"/>
        <v>12</v>
      </c>
      <c r="W49" s="43">
        <f t="shared" si="31"/>
        <v>14</v>
      </c>
      <c r="X49" s="44">
        <f t="shared" si="32"/>
        <v>4</v>
      </c>
      <c r="Y49" s="43"/>
      <c r="Z49" s="3">
        <f t="shared" si="5"/>
        <v>1.470588235</v>
      </c>
      <c r="AA49" s="43">
        <f t="shared" si="33"/>
        <v>10</v>
      </c>
      <c r="AB49" s="2">
        <f t="shared" si="34"/>
        <v>7</v>
      </c>
      <c r="AC49" s="43">
        <f t="shared" si="35"/>
        <v>3</v>
      </c>
      <c r="AD49" s="43">
        <f t="shared" si="36"/>
        <v>12</v>
      </c>
      <c r="AE49" s="43">
        <f t="shared" si="37"/>
        <v>8</v>
      </c>
      <c r="AF49" s="43">
        <f t="shared" si="38"/>
        <v>25</v>
      </c>
      <c r="AG49" s="43">
        <f t="shared" si="39"/>
        <v>5</v>
      </c>
      <c r="AH49" s="43">
        <f t="shared" si="40"/>
        <v>5</v>
      </c>
      <c r="AI49" s="44">
        <f t="shared" si="41"/>
        <v>2</v>
      </c>
      <c r="AJ49" s="46">
        <f t="shared" ref="AJ49:AS49" si="112">+(O49+D49)/2</f>
        <v>1.460526316</v>
      </c>
      <c r="AK49" s="43">
        <f t="shared" si="112"/>
        <v>24</v>
      </c>
      <c r="AL49" s="2">
        <f t="shared" si="112"/>
        <v>17</v>
      </c>
      <c r="AM49" s="43">
        <f t="shared" si="112"/>
        <v>5</v>
      </c>
      <c r="AN49" s="43">
        <f t="shared" si="112"/>
        <v>28</v>
      </c>
      <c r="AO49" s="43">
        <f t="shared" si="112"/>
        <v>18</v>
      </c>
      <c r="AP49" s="43">
        <f t="shared" si="112"/>
        <v>8.5</v>
      </c>
      <c r="AQ49" s="43">
        <f t="shared" si="112"/>
        <v>11</v>
      </c>
      <c r="AR49" s="43">
        <f t="shared" si="112"/>
        <v>13</v>
      </c>
      <c r="AS49" s="63">
        <f t="shared" si="112"/>
        <v>4</v>
      </c>
      <c r="AT49" s="48">
        <f t="shared" si="7"/>
        <v>0.0100619195</v>
      </c>
      <c r="AU49" s="38">
        <f t="shared" si="8"/>
        <v>0.1052631579</v>
      </c>
      <c r="AV49" s="38">
        <f t="shared" si="9"/>
        <v>0.1315789474</v>
      </c>
      <c r="AW49" s="38">
        <f t="shared" si="10"/>
        <v>0.1315789474</v>
      </c>
      <c r="AX49" s="38">
        <f t="shared" si="11"/>
        <v>0.05263157895</v>
      </c>
      <c r="AY49" s="38">
        <f t="shared" si="12"/>
        <v>0.02631578947</v>
      </c>
      <c r="AZ49" s="49">
        <f t="shared" si="13"/>
        <v>0.8947368421</v>
      </c>
      <c r="BA49" s="49">
        <f t="shared" ref="BA49:BB49" si="113">+AV49+AW49+AX49</f>
        <v>0.3157894737</v>
      </c>
      <c r="BB49" s="50">
        <f t="shared" si="113"/>
        <v>0.2105263158</v>
      </c>
    </row>
    <row r="50" ht="15.7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17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5">
    <mergeCell ref="B10:M10"/>
    <mergeCell ref="N10:X10"/>
    <mergeCell ref="Y10:AI10"/>
    <mergeCell ref="AJ10:AS10"/>
    <mergeCell ref="AT10:BB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0.86"/>
    <col customWidth="1" min="3" max="3" width="12.86"/>
    <col customWidth="1" min="4" max="4" width="12.14"/>
    <col customWidth="1" min="5" max="5" width="9.14"/>
    <col customWidth="1" min="6" max="6" width="10.86"/>
    <col customWidth="1" min="7" max="7" width="12.86"/>
    <col customWidth="1" min="8" max="8" width="12.14"/>
    <col customWidth="1" min="9" max="9" width="9.14"/>
    <col customWidth="1" min="10" max="10" width="10.86"/>
    <col customWidth="1" min="11" max="11" width="12.86"/>
    <col customWidth="1" min="12" max="12" width="13.71"/>
    <col customWidth="1" min="13" max="13" width="9.14"/>
    <col customWidth="1" min="14" max="14" width="10.86"/>
    <col customWidth="1" min="15" max="15" width="12.86"/>
    <col customWidth="1" min="16" max="16" width="12.14"/>
    <col customWidth="1" min="17" max="17" width="9.14"/>
    <col customWidth="1" min="18" max="18" width="10.86"/>
    <col customWidth="1" min="19" max="19" width="12.86"/>
    <col customWidth="1" min="20" max="20" width="14.57"/>
    <col customWidth="1" min="21" max="26" width="8.7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77" t="s">
        <v>26</v>
      </c>
      <c r="C3" s="5"/>
      <c r="D3" s="51"/>
      <c r="E3" s="2"/>
      <c r="F3" s="77" t="s">
        <v>27</v>
      </c>
      <c r="G3" s="5"/>
      <c r="H3" s="51"/>
      <c r="I3" s="2"/>
      <c r="J3" s="77" t="s">
        <v>28</v>
      </c>
      <c r="K3" s="5"/>
      <c r="L3" s="51"/>
      <c r="M3" s="2"/>
      <c r="N3" s="77" t="s">
        <v>29</v>
      </c>
      <c r="O3" s="5"/>
      <c r="P3" s="51"/>
      <c r="Q3" s="2"/>
      <c r="R3" s="77" t="s">
        <v>30</v>
      </c>
      <c r="S3" s="5"/>
      <c r="T3" s="51"/>
      <c r="U3" s="2"/>
      <c r="V3" s="2"/>
      <c r="W3" s="2"/>
      <c r="X3" s="2"/>
      <c r="Y3" s="2"/>
      <c r="Z3" s="2"/>
    </row>
    <row r="4">
      <c r="A4" s="2"/>
      <c r="B4" s="78"/>
      <c r="C4" s="79" t="s">
        <v>31</v>
      </c>
      <c r="D4" s="80" t="s">
        <v>32</v>
      </c>
      <c r="E4" s="2"/>
      <c r="F4" s="78"/>
      <c r="G4" s="79" t="s">
        <v>31</v>
      </c>
      <c r="H4" s="80" t="s">
        <v>32</v>
      </c>
      <c r="I4" s="2"/>
      <c r="J4" s="78"/>
      <c r="K4" s="79" t="s">
        <v>31</v>
      </c>
      <c r="L4" s="80" t="s">
        <v>32</v>
      </c>
      <c r="M4" s="2"/>
      <c r="N4" s="78"/>
      <c r="O4" s="79" t="s">
        <v>31</v>
      </c>
      <c r="P4" s="80" t="s">
        <v>32</v>
      </c>
      <c r="Q4" s="2"/>
      <c r="R4" s="78"/>
      <c r="S4" s="79" t="s">
        <v>31</v>
      </c>
      <c r="T4" s="80" t="s">
        <v>32</v>
      </c>
      <c r="U4" s="2"/>
      <c r="V4" s="2"/>
      <c r="W4" s="2"/>
      <c r="X4" s="2"/>
      <c r="Y4" s="2"/>
      <c r="Z4" s="2"/>
    </row>
    <row r="5">
      <c r="A5" s="2"/>
      <c r="B5" s="81" t="s">
        <v>33</v>
      </c>
      <c r="C5" s="2" t="s">
        <v>11</v>
      </c>
      <c r="D5" s="62" t="s">
        <v>11</v>
      </c>
      <c r="E5" s="2"/>
      <c r="F5" s="81" t="s">
        <v>33</v>
      </c>
      <c r="G5" s="2" t="s">
        <v>9</v>
      </c>
      <c r="H5" s="62" t="s">
        <v>8</v>
      </c>
      <c r="I5" s="2"/>
      <c r="J5" s="81" t="s">
        <v>33</v>
      </c>
      <c r="K5" s="47" t="s">
        <v>12</v>
      </c>
      <c r="L5" s="62" t="s">
        <v>34</v>
      </c>
      <c r="M5" s="2"/>
      <c r="N5" s="81" t="s">
        <v>33</v>
      </c>
      <c r="O5" s="47" t="s">
        <v>35</v>
      </c>
      <c r="P5" s="82" t="s">
        <v>12</v>
      </c>
      <c r="Q5" s="2"/>
      <c r="R5" s="81" t="s">
        <v>33</v>
      </c>
      <c r="S5" s="47" t="s">
        <v>8</v>
      </c>
      <c r="T5" s="82" t="s">
        <v>8</v>
      </c>
      <c r="U5" s="2"/>
      <c r="V5" s="2"/>
      <c r="W5" s="2"/>
      <c r="X5" s="2"/>
      <c r="Y5" s="2"/>
      <c r="Z5" s="2"/>
    </row>
    <row r="6">
      <c r="A6" s="2"/>
      <c r="B6" s="81" t="s">
        <v>36</v>
      </c>
      <c r="C6" s="2" t="s">
        <v>37</v>
      </c>
      <c r="D6" s="62" t="s">
        <v>8</v>
      </c>
      <c r="E6" s="2"/>
      <c r="F6" s="81" t="s">
        <v>36</v>
      </c>
      <c r="G6" s="2" t="s">
        <v>38</v>
      </c>
      <c r="H6" s="62" t="s">
        <v>38</v>
      </c>
      <c r="I6" s="2"/>
      <c r="J6" s="81" t="s">
        <v>36</v>
      </c>
      <c r="K6" s="47" t="s">
        <v>39</v>
      </c>
      <c r="L6" s="82" t="s">
        <v>38</v>
      </c>
      <c r="M6" s="2"/>
      <c r="N6" s="81" t="s">
        <v>36</v>
      </c>
      <c r="O6" s="47" t="s">
        <v>12</v>
      </c>
      <c r="P6" s="82" t="s">
        <v>12</v>
      </c>
      <c r="Q6" s="2"/>
      <c r="R6" s="81" t="s">
        <v>36</v>
      </c>
      <c r="S6" s="47" t="s">
        <v>8</v>
      </c>
      <c r="T6" s="82" t="s">
        <v>40</v>
      </c>
      <c r="U6" s="2"/>
      <c r="V6" s="2"/>
      <c r="W6" s="2"/>
      <c r="X6" s="2"/>
      <c r="Y6" s="2"/>
      <c r="Z6" s="2"/>
    </row>
    <row r="7">
      <c r="A7" s="2"/>
      <c r="B7" s="81" t="s">
        <v>41</v>
      </c>
      <c r="C7" s="2" t="s">
        <v>42</v>
      </c>
      <c r="D7" s="62" t="s">
        <v>42</v>
      </c>
      <c r="E7" s="2"/>
      <c r="F7" s="81" t="s">
        <v>41</v>
      </c>
      <c r="G7" s="2" t="s">
        <v>38</v>
      </c>
      <c r="H7" s="62" t="s">
        <v>38</v>
      </c>
      <c r="I7" s="2"/>
      <c r="J7" s="81" t="s">
        <v>41</v>
      </c>
      <c r="K7" s="47" t="s">
        <v>12</v>
      </c>
      <c r="L7" s="62" t="s">
        <v>43</v>
      </c>
      <c r="M7" s="2"/>
      <c r="N7" s="81" t="s">
        <v>41</v>
      </c>
      <c r="O7" s="47" t="s">
        <v>8</v>
      </c>
      <c r="P7" s="82" t="s">
        <v>42</v>
      </c>
      <c r="Q7" s="2"/>
      <c r="R7" s="81" t="s">
        <v>41</v>
      </c>
      <c r="S7" s="47" t="s">
        <v>12</v>
      </c>
      <c r="T7" s="82" t="s">
        <v>12</v>
      </c>
      <c r="U7" s="2"/>
      <c r="V7" s="2"/>
      <c r="W7" s="2"/>
      <c r="X7" s="2"/>
      <c r="Y7" s="2"/>
      <c r="Z7" s="2"/>
    </row>
    <row r="8">
      <c r="A8" s="2"/>
      <c r="B8" s="81" t="s">
        <v>44</v>
      </c>
      <c r="C8" s="2" t="s">
        <v>42</v>
      </c>
      <c r="D8" s="62" t="s">
        <v>42</v>
      </c>
      <c r="E8" s="2"/>
      <c r="F8" s="81" t="s">
        <v>44</v>
      </c>
      <c r="G8" s="2" t="s">
        <v>42</v>
      </c>
      <c r="H8" s="62" t="s">
        <v>42</v>
      </c>
      <c r="I8" s="2"/>
      <c r="J8" s="81" t="s">
        <v>44</v>
      </c>
      <c r="K8" s="47" t="s">
        <v>38</v>
      </c>
      <c r="L8" s="82" t="s">
        <v>38</v>
      </c>
      <c r="M8" s="2"/>
      <c r="N8" s="81" t="s">
        <v>44</v>
      </c>
      <c r="O8" s="47" t="s">
        <v>38</v>
      </c>
      <c r="P8" s="82" t="s">
        <v>11</v>
      </c>
      <c r="Q8" s="2"/>
      <c r="R8" s="81" t="s">
        <v>44</v>
      </c>
      <c r="S8" s="47" t="s">
        <v>38</v>
      </c>
      <c r="T8" s="82" t="s">
        <v>45</v>
      </c>
      <c r="U8" s="2"/>
      <c r="V8" s="2"/>
      <c r="W8" s="2"/>
      <c r="X8" s="2"/>
      <c r="Y8" s="2"/>
      <c r="Z8" s="2"/>
    </row>
    <row r="9">
      <c r="A9" s="2"/>
      <c r="B9" s="81" t="s">
        <v>46</v>
      </c>
      <c r="C9" s="2" t="s">
        <v>47</v>
      </c>
      <c r="D9" s="62" t="s">
        <v>8</v>
      </c>
      <c r="E9" s="24"/>
      <c r="F9" s="81" t="s">
        <v>46</v>
      </c>
      <c r="G9" s="2" t="s">
        <v>38</v>
      </c>
      <c r="H9" s="62" t="s">
        <v>38</v>
      </c>
      <c r="I9" s="2"/>
      <c r="J9" s="81" t="s">
        <v>46</v>
      </c>
      <c r="K9" s="47" t="s">
        <v>8</v>
      </c>
      <c r="L9" s="62" t="s">
        <v>48</v>
      </c>
      <c r="M9" s="2"/>
      <c r="N9" s="81" t="s">
        <v>46</v>
      </c>
      <c r="O9" s="47" t="s">
        <v>8</v>
      </c>
      <c r="P9" s="82" t="s">
        <v>8</v>
      </c>
      <c r="Q9" s="2"/>
      <c r="R9" s="81" t="s">
        <v>46</v>
      </c>
      <c r="S9" s="47" t="s">
        <v>12</v>
      </c>
      <c r="T9" s="82" t="s">
        <v>49</v>
      </c>
      <c r="U9" s="2"/>
      <c r="V9" s="2"/>
      <c r="W9" s="2"/>
      <c r="X9" s="2"/>
      <c r="Y9" s="2"/>
      <c r="Z9" s="2"/>
    </row>
    <row r="10">
      <c r="A10" s="2"/>
      <c r="B10" s="81" t="s">
        <v>50</v>
      </c>
      <c r="C10" s="2" t="s">
        <v>37</v>
      </c>
      <c r="D10" s="62" t="s">
        <v>8</v>
      </c>
      <c r="E10" s="2"/>
      <c r="F10" s="81" t="s">
        <v>50</v>
      </c>
      <c r="G10" s="2" t="s">
        <v>38</v>
      </c>
      <c r="H10" s="62" t="s">
        <v>38</v>
      </c>
      <c r="I10" s="2"/>
      <c r="J10" s="81" t="s">
        <v>50</v>
      </c>
      <c r="K10" s="47" t="s">
        <v>35</v>
      </c>
      <c r="L10" s="62"/>
      <c r="M10" s="2"/>
      <c r="N10" s="81" t="s">
        <v>50</v>
      </c>
      <c r="O10" s="47" t="s">
        <v>8</v>
      </c>
      <c r="P10" s="82" t="s">
        <v>8</v>
      </c>
      <c r="Q10" s="2"/>
      <c r="R10" s="81" t="s">
        <v>50</v>
      </c>
      <c r="S10" s="47" t="s">
        <v>8</v>
      </c>
      <c r="T10" s="82" t="s">
        <v>51</v>
      </c>
      <c r="U10" s="2"/>
      <c r="V10" s="2"/>
      <c r="W10" s="2"/>
      <c r="X10" s="2"/>
      <c r="Y10" s="2"/>
      <c r="Z10" s="2"/>
    </row>
    <row r="11">
      <c r="A11" s="2"/>
      <c r="B11" s="81" t="s">
        <v>52</v>
      </c>
      <c r="C11" s="2" t="s">
        <v>38</v>
      </c>
      <c r="D11" s="62" t="s">
        <v>38</v>
      </c>
      <c r="E11" s="2"/>
      <c r="F11" s="81" t="s">
        <v>52</v>
      </c>
      <c r="G11" s="2" t="s">
        <v>8</v>
      </c>
      <c r="H11" s="62" t="s">
        <v>8</v>
      </c>
      <c r="I11" s="2"/>
      <c r="J11" s="81" t="s">
        <v>52</v>
      </c>
      <c r="K11" s="47" t="s">
        <v>38</v>
      </c>
      <c r="L11" s="82" t="s">
        <v>38</v>
      </c>
      <c r="M11" s="2"/>
      <c r="N11" s="81" t="s">
        <v>52</v>
      </c>
      <c r="O11" s="47" t="s">
        <v>38</v>
      </c>
      <c r="P11" s="82" t="s">
        <v>38</v>
      </c>
      <c r="Q11" s="2"/>
      <c r="R11" s="83" t="s">
        <v>52</v>
      </c>
      <c r="S11" s="47" t="s">
        <v>38</v>
      </c>
      <c r="T11" s="82" t="s">
        <v>38</v>
      </c>
      <c r="U11" s="2"/>
      <c r="V11" s="2"/>
      <c r="W11" s="2"/>
      <c r="X11" s="2"/>
      <c r="Y11" s="2"/>
      <c r="Z11" s="2"/>
    </row>
    <row r="12">
      <c r="A12" s="2"/>
      <c r="B12" s="81" t="s">
        <v>53</v>
      </c>
      <c r="C12" s="2" t="s">
        <v>11</v>
      </c>
      <c r="D12" s="62" t="s">
        <v>11</v>
      </c>
      <c r="E12" s="2"/>
      <c r="F12" s="81" t="s">
        <v>53</v>
      </c>
      <c r="G12" s="2" t="s">
        <v>8</v>
      </c>
      <c r="H12" s="62" t="s">
        <v>37</v>
      </c>
      <c r="I12" s="2"/>
      <c r="J12" s="81" t="s">
        <v>53</v>
      </c>
      <c r="K12" s="47" t="s">
        <v>8</v>
      </c>
      <c r="L12" s="62" t="s">
        <v>51</v>
      </c>
      <c r="M12" s="2"/>
      <c r="N12" s="81" t="s">
        <v>53</v>
      </c>
      <c r="O12" s="47" t="s">
        <v>38</v>
      </c>
      <c r="P12" s="82" t="s">
        <v>38</v>
      </c>
      <c r="Q12" s="2"/>
      <c r="R12" s="81" t="s">
        <v>53</v>
      </c>
      <c r="S12" s="47" t="s">
        <v>38</v>
      </c>
      <c r="T12" s="82" t="s">
        <v>38</v>
      </c>
      <c r="U12" s="2"/>
      <c r="V12" s="2"/>
      <c r="W12" s="2"/>
      <c r="X12" s="2"/>
      <c r="Y12" s="2"/>
      <c r="Z12" s="2"/>
    </row>
    <row r="13">
      <c r="A13" s="2"/>
      <c r="B13" s="84" t="s">
        <v>54</v>
      </c>
      <c r="C13" s="43" t="s">
        <v>55</v>
      </c>
      <c r="D13" s="63"/>
      <c r="E13" s="2"/>
      <c r="F13" s="84" t="s">
        <v>54</v>
      </c>
      <c r="G13" s="43" t="s">
        <v>38</v>
      </c>
      <c r="H13" s="63" t="s">
        <v>38</v>
      </c>
      <c r="I13" s="2"/>
      <c r="J13" s="84" t="s">
        <v>54</v>
      </c>
      <c r="K13" s="85" t="s">
        <v>8</v>
      </c>
      <c r="L13" s="63" t="s">
        <v>56</v>
      </c>
      <c r="M13" s="2"/>
      <c r="N13" s="84" t="s">
        <v>54</v>
      </c>
      <c r="O13" s="85" t="s">
        <v>38</v>
      </c>
      <c r="P13" s="86" t="s">
        <v>38</v>
      </c>
      <c r="Q13" s="2"/>
      <c r="R13" s="84" t="s">
        <v>54</v>
      </c>
      <c r="S13" s="85" t="s">
        <v>8</v>
      </c>
      <c r="T13" s="86" t="s">
        <v>45</v>
      </c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77" t="s">
        <v>57</v>
      </c>
      <c r="C16" s="5"/>
      <c r="D16" s="51"/>
      <c r="E16" s="2"/>
      <c r="F16" s="77" t="s">
        <v>58</v>
      </c>
      <c r="G16" s="5"/>
      <c r="H16" s="51"/>
      <c r="I16" s="2"/>
      <c r="J16" s="87"/>
      <c r="K16" s="88"/>
      <c r="L16" s="88"/>
      <c r="M16" s="2"/>
      <c r="N16" s="77" t="s">
        <v>59</v>
      </c>
      <c r="O16" s="5"/>
      <c r="P16" s="51"/>
      <c r="Q16" s="2"/>
      <c r="R16" s="77" t="s">
        <v>60</v>
      </c>
      <c r="S16" s="5"/>
      <c r="T16" s="51"/>
      <c r="U16" s="2"/>
      <c r="V16" s="2"/>
      <c r="W16" s="2"/>
      <c r="X16" s="2"/>
      <c r="Y16" s="2"/>
      <c r="Z16" s="2"/>
    </row>
    <row r="17">
      <c r="A17" s="2"/>
      <c r="B17" s="78"/>
      <c r="C17" s="79" t="s">
        <v>31</v>
      </c>
      <c r="D17" s="80" t="s">
        <v>32</v>
      </c>
      <c r="E17" s="2"/>
      <c r="F17" s="78"/>
      <c r="G17" s="79" t="s">
        <v>31</v>
      </c>
      <c r="H17" s="80" t="s">
        <v>32</v>
      </c>
      <c r="I17" s="2"/>
      <c r="J17" s="2"/>
      <c r="K17" s="24"/>
      <c r="L17" s="24"/>
      <c r="M17" s="2"/>
      <c r="N17" s="16"/>
      <c r="O17" s="79" t="s">
        <v>31</v>
      </c>
      <c r="P17" s="80" t="s">
        <v>32</v>
      </c>
      <c r="Q17" s="2"/>
      <c r="R17" s="78"/>
      <c r="S17" s="79" t="s">
        <v>31</v>
      </c>
      <c r="T17" s="80" t="s">
        <v>32</v>
      </c>
      <c r="U17" s="2"/>
      <c r="V17" s="2"/>
      <c r="W17" s="2"/>
      <c r="X17" s="2"/>
      <c r="Y17" s="2"/>
      <c r="Z17" s="2"/>
    </row>
    <row r="18">
      <c r="A18" s="2"/>
      <c r="B18" s="81" t="s">
        <v>33</v>
      </c>
      <c r="C18" s="2"/>
      <c r="D18" s="62"/>
      <c r="E18" s="2"/>
      <c r="F18" s="81" t="s">
        <v>33</v>
      </c>
      <c r="G18" s="2"/>
      <c r="H18" s="62"/>
      <c r="I18" s="2"/>
      <c r="J18" s="89"/>
      <c r="K18" s="2"/>
      <c r="L18" s="2"/>
      <c r="M18" s="2"/>
      <c r="N18" s="90" t="s">
        <v>33</v>
      </c>
      <c r="O18" s="2"/>
      <c r="P18" s="62"/>
      <c r="Q18" s="2"/>
      <c r="R18" s="81" t="s">
        <v>33</v>
      </c>
      <c r="S18" s="2"/>
      <c r="T18" s="62"/>
      <c r="U18" s="2"/>
      <c r="V18" s="2"/>
      <c r="W18" s="2"/>
      <c r="X18" s="2"/>
      <c r="Y18" s="2"/>
      <c r="Z18" s="2"/>
    </row>
    <row r="19">
      <c r="A19" s="2"/>
      <c r="B19" s="81" t="s">
        <v>36</v>
      </c>
      <c r="C19" s="2"/>
      <c r="D19" s="62"/>
      <c r="E19" s="2"/>
      <c r="F19" s="81" t="s">
        <v>36</v>
      </c>
      <c r="G19" s="2"/>
      <c r="H19" s="62"/>
      <c r="I19" s="2"/>
      <c r="J19" s="89"/>
      <c r="K19" s="2"/>
      <c r="L19" s="2"/>
      <c r="M19" s="2"/>
      <c r="N19" s="90" t="s">
        <v>36</v>
      </c>
      <c r="O19" s="2"/>
      <c r="P19" s="62"/>
      <c r="Q19" s="2"/>
      <c r="R19" s="81" t="s">
        <v>36</v>
      </c>
      <c r="S19" s="2"/>
      <c r="T19" s="62"/>
      <c r="U19" s="2"/>
      <c r="V19" s="2"/>
      <c r="W19" s="2"/>
      <c r="X19" s="2"/>
      <c r="Y19" s="2"/>
      <c r="Z19" s="2"/>
    </row>
    <row r="20">
      <c r="A20" s="2"/>
      <c r="B20" s="81" t="s">
        <v>41</v>
      </c>
      <c r="C20" s="2"/>
      <c r="D20" s="62"/>
      <c r="E20" s="2"/>
      <c r="F20" s="81" t="s">
        <v>41</v>
      </c>
      <c r="G20" s="2"/>
      <c r="H20" s="62"/>
      <c r="I20" s="2"/>
      <c r="J20" s="89"/>
      <c r="K20" s="2"/>
      <c r="L20" s="2"/>
      <c r="M20" s="2"/>
      <c r="N20" s="90" t="s">
        <v>41</v>
      </c>
      <c r="O20" s="2"/>
      <c r="P20" s="62"/>
      <c r="Q20" s="2"/>
      <c r="R20" s="81" t="s">
        <v>41</v>
      </c>
      <c r="S20" s="2"/>
      <c r="T20" s="62"/>
      <c r="U20" s="2"/>
      <c r="V20" s="2"/>
      <c r="W20" s="2"/>
      <c r="X20" s="2"/>
      <c r="Y20" s="2"/>
      <c r="Z20" s="2"/>
    </row>
    <row r="21">
      <c r="A21" s="2"/>
      <c r="B21" s="81" t="s">
        <v>44</v>
      </c>
      <c r="C21" s="2"/>
      <c r="D21" s="62"/>
      <c r="E21" s="2"/>
      <c r="F21" s="81" t="s">
        <v>44</v>
      </c>
      <c r="G21" s="2"/>
      <c r="H21" s="62"/>
      <c r="I21" s="2"/>
      <c r="J21" s="89"/>
      <c r="K21" s="2"/>
      <c r="L21" s="2"/>
      <c r="M21" s="2"/>
      <c r="N21" s="90" t="s">
        <v>44</v>
      </c>
      <c r="O21" s="2"/>
      <c r="P21" s="62"/>
      <c r="Q21" s="2"/>
      <c r="R21" s="81" t="s">
        <v>44</v>
      </c>
      <c r="S21" s="2"/>
      <c r="T21" s="62"/>
      <c r="U21" s="2"/>
      <c r="V21" s="2"/>
      <c r="W21" s="2"/>
      <c r="X21" s="2"/>
      <c r="Y21" s="2"/>
      <c r="Z21" s="2"/>
    </row>
    <row r="22" ht="15.75" customHeight="1">
      <c r="A22" s="2"/>
      <c r="B22" s="81" t="s">
        <v>46</v>
      </c>
      <c r="C22" s="2"/>
      <c r="D22" s="62"/>
      <c r="E22" s="2"/>
      <c r="F22" s="81" t="s">
        <v>46</v>
      </c>
      <c r="G22" s="2"/>
      <c r="H22" s="62"/>
      <c r="I22" s="2"/>
      <c r="J22" s="89"/>
      <c r="K22" s="2"/>
      <c r="L22" s="2"/>
      <c r="M22" s="2"/>
      <c r="N22" s="90" t="s">
        <v>46</v>
      </c>
      <c r="O22" s="2"/>
      <c r="P22" s="62"/>
      <c r="Q22" s="2"/>
      <c r="R22" s="81" t="s">
        <v>46</v>
      </c>
      <c r="S22" s="2"/>
      <c r="T22" s="62"/>
      <c r="U22" s="2"/>
      <c r="V22" s="2"/>
      <c r="W22" s="2"/>
      <c r="X22" s="2"/>
      <c r="Y22" s="2"/>
      <c r="Z22" s="2"/>
    </row>
    <row r="23" ht="15.75" customHeight="1">
      <c r="A23" s="2"/>
      <c r="B23" s="81" t="s">
        <v>50</v>
      </c>
      <c r="C23" s="2"/>
      <c r="D23" s="62"/>
      <c r="E23" s="2"/>
      <c r="F23" s="81" t="s">
        <v>50</v>
      </c>
      <c r="G23" s="2"/>
      <c r="H23" s="62"/>
      <c r="I23" s="2"/>
      <c r="J23" s="89"/>
      <c r="K23" s="2"/>
      <c r="L23" s="2"/>
      <c r="M23" s="2"/>
      <c r="N23" s="90" t="s">
        <v>50</v>
      </c>
      <c r="O23" s="2"/>
      <c r="P23" s="62"/>
      <c r="Q23" s="2"/>
      <c r="R23" s="81" t="s">
        <v>50</v>
      </c>
      <c r="S23" s="2"/>
      <c r="T23" s="62"/>
      <c r="U23" s="2"/>
      <c r="V23" s="2"/>
      <c r="W23" s="2"/>
      <c r="X23" s="2"/>
      <c r="Y23" s="2"/>
      <c r="Z23" s="2"/>
    </row>
    <row r="24" ht="15.75" customHeight="1">
      <c r="A24" s="2"/>
      <c r="B24" s="81" t="s">
        <v>52</v>
      </c>
      <c r="C24" s="2"/>
      <c r="D24" s="62"/>
      <c r="E24" s="2"/>
      <c r="F24" s="81" t="s">
        <v>52</v>
      </c>
      <c r="G24" s="2"/>
      <c r="H24" s="62"/>
      <c r="I24" s="2"/>
      <c r="J24" s="89"/>
      <c r="K24" s="2"/>
      <c r="L24" s="2"/>
      <c r="M24" s="2"/>
      <c r="N24" s="81" t="s">
        <v>52</v>
      </c>
      <c r="O24" s="2"/>
      <c r="P24" s="62"/>
      <c r="Q24" s="2"/>
      <c r="R24" s="81" t="s">
        <v>52</v>
      </c>
      <c r="S24" s="2"/>
      <c r="T24" s="62"/>
      <c r="U24" s="2"/>
      <c r="V24" s="2"/>
      <c r="W24" s="2"/>
      <c r="X24" s="2"/>
      <c r="Y24" s="2"/>
      <c r="Z24" s="2"/>
    </row>
    <row r="25" ht="15.75" customHeight="1">
      <c r="A25" s="2"/>
      <c r="B25" s="81" t="s">
        <v>53</v>
      </c>
      <c r="C25" s="2"/>
      <c r="D25" s="62"/>
      <c r="E25" s="2"/>
      <c r="F25" s="81" t="s">
        <v>53</v>
      </c>
      <c r="G25" s="2"/>
      <c r="H25" s="62"/>
      <c r="I25" s="2"/>
      <c r="J25" s="89"/>
      <c r="K25" s="2"/>
      <c r="L25" s="2"/>
      <c r="M25" s="2"/>
      <c r="N25" s="90" t="s">
        <v>53</v>
      </c>
      <c r="O25" s="2"/>
      <c r="P25" s="62"/>
      <c r="Q25" s="2"/>
      <c r="R25" s="81" t="s">
        <v>53</v>
      </c>
      <c r="S25" s="2"/>
      <c r="T25" s="62"/>
      <c r="U25" s="2"/>
      <c r="V25" s="2"/>
      <c r="W25" s="2"/>
      <c r="X25" s="2"/>
      <c r="Y25" s="2"/>
      <c r="Z25" s="2"/>
    </row>
    <row r="26" ht="15.75" customHeight="1">
      <c r="A26" s="2"/>
      <c r="B26" s="84" t="s">
        <v>54</v>
      </c>
      <c r="C26" s="43"/>
      <c r="D26" s="63"/>
      <c r="E26" s="2"/>
      <c r="F26" s="84" t="s">
        <v>54</v>
      </c>
      <c r="G26" s="43"/>
      <c r="H26" s="63"/>
      <c r="I26" s="2"/>
      <c r="J26" s="89"/>
      <c r="K26" s="2"/>
      <c r="L26" s="2"/>
      <c r="M26" s="2"/>
      <c r="N26" s="91" t="s">
        <v>54</v>
      </c>
      <c r="O26" s="43"/>
      <c r="P26" s="63"/>
      <c r="Q26" s="2"/>
      <c r="R26" s="84" t="s">
        <v>54</v>
      </c>
      <c r="S26" s="43"/>
      <c r="T26" s="63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77" t="s">
        <v>61</v>
      </c>
      <c r="C28" s="5"/>
      <c r="D28" s="51"/>
      <c r="E28" s="2"/>
      <c r="F28" s="77" t="s">
        <v>62</v>
      </c>
      <c r="G28" s="5"/>
      <c r="H28" s="51"/>
      <c r="I28" s="2"/>
      <c r="J28" s="77" t="s">
        <v>63</v>
      </c>
      <c r="K28" s="5"/>
      <c r="L28" s="51"/>
      <c r="M28" s="2"/>
      <c r="N28" s="77" t="s">
        <v>64</v>
      </c>
      <c r="O28" s="5"/>
      <c r="P28" s="51"/>
      <c r="Q28" s="2"/>
      <c r="R28" s="77" t="s">
        <v>65</v>
      </c>
      <c r="S28" s="5"/>
      <c r="T28" s="51"/>
      <c r="U28" s="2"/>
      <c r="V28" s="2"/>
      <c r="W28" s="2"/>
      <c r="X28" s="2"/>
      <c r="Y28" s="2"/>
      <c r="Z28" s="2"/>
    </row>
    <row r="29" ht="15.75" customHeight="1">
      <c r="A29" s="2"/>
      <c r="B29" s="78"/>
      <c r="C29" s="79" t="s">
        <v>31</v>
      </c>
      <c r="D29" s="80" t="s">
        <v>32</v>
      </c>
      <c r="E29" s="2"/>
      <c r="F29" s="78"/>
      <c r="G29" s="79" t="s">
        <v>31</v>
      </c>
      <c r="H29" s="80" t="s">
        <v>32</v>
      </c>
      <c r="I29" s="2"/>
      <c r="J29" s="78"/>
      <c r="K29" s="79" t="s">
        <v>31</v>
      </c>
      <c r="L29" s="80" t="s">
        <v>32</v>
      </c>
      <c r="M29" s="2"/>
      <c r="N29" s="78"/>
      <c r="O29" s="79" t="s">
        <v>31</v>
      </c>
      <c r="P29" s="80" t="s">
        <v>32</v>
      </c>
      <c r="Q29" s="2"/>
      <c r="R29" s="78"/>
      <c r="S29" s="79" t="s">
        <v>31</v>
      </c>
      <c r="T29" s="80" t="s">
        <v>32</v>
      </c>
      <c r="U29" s="2"/>
      <c r="V29" s="2"/>
      <c r="W29" s="2"/>
      <c r="X29" s="2"/>
      <c r="Y29" s="2"/>
      <c r="Z29" s="2"/>
    </row>
    <row r="30" ht="15.75" customHeight="1">
      <c r="A30" s="2"/>
      <c r="B30" s="81" t="s">
        <v>33</v>
      </c>
      <c r="C30" s="2"/>
      <c r="D30" s="62"/>
      <c r="E30" s="2"/>
      <c r="F30" s="81" t="s">
        <v>33</v>
      </c>
      <c r="G30" s="2"/>
      <c r="H30" s="62"/>
      <c r="I30" s="2"/>
      <c r="J30" s="81" t="s">
        <v>33</v>
      </c>
      <c r="K30" s="2"/>
      <c r="L30" s="62"/>
      <c r="M30" s="2"/>
      <c r="N30" s="81" t="s">
        <v>33</v>
      </c>
      <c r="O30" s="2"/>
      <c r="P30" s="62"/>
      <c r="Q30" s="2"/>
      <c r="R30" s="81" t="s">
        <v>33</v>
      </c>
      <c r="S30" s="2"/>
      <c r="T30" s="62"/>
      <c r="U30" s="2"/>
      <c r="V30" s="2"/>
      <c r="W30" s="2"/>
      <c r="X30" s="2"/>
      <c r="Y30" s="2"/>
      <c r="Z30" s="2"/>
    </row>
    <row r="31" ht="15.75" customHeight="1">
      <c r="A31" s="2"/>
      <c r="B31" s="81" t="s">
        <v>36</v>
      </c>
      <c r="C31" s="2"/>
      <c r="D31" s="62"/>
      <c r="E31" s="2"/>
      <c r="F31" s="81" t="s">
        <v>36</v>
      </c>
      <c r="G31" s="2"/>
      <c r="H31" s="62"/>
      <c r="I31" s="2"/>
      <c r="J31" s="81" t="s">
        <v>36</v>
      </c>
      <c r="K31" s="2"/>
      <c r="L31" s="62"/>
      <c r="M31" s="2"/>
      <c r="N31" s="81" t="s">
        <v>36</v>
      </c>
      <c r="O31" s="2"/>
      <c r="P31" s="62"/>
      <c r="Q31" s="2"/>
      <c r="R31" s="81" t="s">
        <v>36</v>
      </c>
      <c r="S31" s="2"/>
      <c r="T31" s="62"/>
      <c r="U31" s="2"/>
      <c r="V31" s="2"/>
      <c r="W31" s="2"/>
      <c r="X31" s="2"/>
      <c r="Y31" s="2"/>
      <c r="Z31" s="2"/>
    </row>
    <row r="32" ht="15.75" customHeight="1">
      <c r="A32" s="2"/>
      <c r="B32" s="81" t="s">
        <v>41</v>
      </c>
      <c r="C32" s="2"/>
      <c r="D32" s="62"/>
      <c r="E32" s="2"/>
      <c r="F32" s="81" t="s">
        <v>41</v>
      </c>
      <c r="G32" s="2"/>
      <c r="H32" s="62"/>
      <c r="I32" s="2"/>
      <c r="J32" s="81" t="s">
        <v>41</v>
      </c>
      <c r="K32" s="2"/>
      <c r="L32" s="62"/>
      <c r="M32" s="2"/>
      <c r="N32" s="81" t="s">
        <v>41</v>
      </c>
      <c r="O32" s="2"/>
      <c r="P32" s="62"/>
      <c r="Q32" s="2"/>
      <c r="R32" s="81" t="s">
        <v>41</v>
      </c>
      <c r="S32" s="2"/>
      <c r="T32" s="62"/>
      <c r="U32" s="2"/>
      <c r="V32" s="2"/>
      <c r="W32" s="2"/>
      <c r="X32" s="2"/>
      <c r="Y32" s="2"/>
      <c r="Z32" s="2"/>
    </row>
    <row r="33" ht="15.75" customHeight="1">
      <c r="A33" s="2"/>
      <c r="B33" s="81" t="s">
        <v>44</v>
      </c>
      <c r="C33" s="2"/>
      <c r="D33" s="62"/>
      <c r="E33" s="2"/>
      <c r="F33" s="81" t="s">
        <v>44</v>
      </c>
      <c r="G33" s="2"/>
      <c r="H33" s="62"/>
      <c r="I33" s="2"/>
      <c r="J33" s="81" t="s">
        <v>44</v>
      </c>
      <c r="K33" s="2"/>
      <c r="L33" s="62"/>
      <c r="M33" s="2"/>
      <c r="N33" s="81" t="s">
        <v>44</v>
      </c>
      <c r="O33" s="2"/>
      <c r="P33" s="62"/>
      <c r="Q33" s="2"/>
      <c r="R33" s="81" t="s">
        <v>44</v>
      </c>
      <c r="S33" s="2"/>
      <c r="T33" s="62"/>
      <c r="U33" s="2"/>
      <c r="V33" s="2"/>
      <c r="W33" s="2"/>
      <c r="X33" s="2"/>
      <c r="Y33" s="2"/>
      <c r="Z33" s="2"/>
    </row>
    <row r="34" ht="15.75" customHeight="1">
      <c r="A34" s="2"/>
      <c r="B34" s="81" t="s">
        <v>46</v>
      </c>
      <c r="C34" s="2"/>
      <c r="D34" s="62"/>
      <c r="E34" s="2"/>
      <c r="F34" s="81" t="s">
        <v>46</v>
      </c>
      <c r="G34" s="2"/>
      <c r="H34" s="62"/>
      <c r="I34" s="2"/>
      <c r="J34" s="81" t="s">
        <v>46</v>
      </c>
      <c r="K34" s="2"/>
      <c r="L34" s="62"/>
      <c r="M34" s="2"/>
      <c r="N34" s="81" t="s">
        <v>46</v>
      </c>
      <c r="O34" s="2"/>
      <c r="P34" s="62"/>
      <c r="Q34" s="2"/>
      <c r="R34" s="81" t="s">
        <v>46</v>
      </c>
      <c r="S34" s="2"/>
      <c r="T34" s="62"/>
      <c r="U34" s="2"/>
      <c r="V34" s="2"/>
      <c r="W34" s="2"/>
      <c r="X34" s="2"/>
      <c r="Y34" s="2"/>
      <c r="Z34" s="2"/>
    </row>
    <row r="35" ht="15.75" customHeight="1">
      <c r="A35" s="2"/>
      <c r="B35" s="81" t="s">
        <v>50</v>
      </c>
      <c r="C35" s="2"/>
      <c r="D35" s="62"/>
      <c r="E35" s="2"/>
      <c r="F35" s="81" t="s">
        <v>50</v>
      </c>
      <c r="G35" s="2"/>
      <c r="H35" s="62"/>
      <c r="I35" s="2"/>
      <c r="J35" s="81" t="s">
        <v>50</v>
      </c>
      <c r="K35" s="2"/>
      <c r="L35" s="62"/>
      <c r="M35" s="2"/>
      <c r="N35" s="81" t="s">
        <v>50</v>
      </c>
      <c r="O35" s="2"/>
      <c r="P35" s="62"/>
      <c r="Q35" s="2"/>
      <c r="R35" s="81" t="s">
        <v>50</v>
      </c>
      <c r="S35" s="2"/>
      <c r="T35" s="62"/>
      <c r="U35" s="2"/>
      <c r="V35" s="2"/>
      <c r="W35" s="2"/>
      <c r="X35" s="2"/>
      <c r="Y35" s="2"/>
      <c r="Z35" s="2"/>
    </row>
    <row r="36" ht="15.75" customHeight="1">
      <c r="A36" s="2"/>
      <c r="B36" s="81" t="s">
        <v>52</v>
      </c>
      <c r="C36" s="2"/>
      <c r="D36" s="62"/>
      <c r="E36" s="2"/>
      <c r="F36" s="81" t="s">
        <v>52</v>
      </c>
      <c r="G36" s="2"/>
      <c r="H36" s="62"/>
      <c r="I36" s="2"/>
      <c r="J36" s="81" t="s">
        <v>52</v>
      </c>
      <c r="K36" s="2"/>
      <c r="L36" s="62"/>
      <c r="M36" s="2"/>
      <c r="N36" s="81" t="s">
        <v>52</v>
      </c>
      <c r="O36" s="2"/>
      <c r="P36" s="62"/>
      <c r="Q36" s="2"/>
      <c r="R36" s="81" t="s">
        <v>52</v>
      </c>
      <c r="S36" s="2"/>
      <c r="T36" s="62"/>
      <c r="U36" s="2"/>
      <c r="V36" s="2"/>
      <c r="W36" s="2"/>
      <c r="X36" s="2"/>
      <c r="Y36" s="2"/>
      <c r="Z36" s="2"/>
    </row>
    <row r="37" ht="15.75" customHeight="1">
      <c r="A37" s="2"/>
      <c r="B37" s="81" t="s">
        <v>53</v>
      </c>
      <c r="C37" s="2"/>
      <c r="D37" s="62"/>
      <c r="E37" s="2"/>
      <c r="F37" s="81" t="s">
        <v>53</v>
      </c>
      <c r="G37" s="2"/>
      <c r="H37" s="62"/>
      <c r="I37" s="2"/>
      <c r="J37" s="81" t="s">
        <v>53</v>
      </c>
      <c r="K37" s="2"/>
      <c r="L37" s="62"/>
      <c r="M37" s="2"/>
      <c r="N37" s="81" t="s">
        <v>53</v>
      </c>
      <c r="O37" s="2"/>
      <c r="P37" s="62"/>
      <c r="Q37" s="2"/>
      <c r="R37" s="81" t="s">
        <v>53</v>
      </c>
      <c r="S37" s="2"/>
      <c r="T37" s="62"/>
      <c r="U37" s="2"/>
      <c r="V37" s="2"/>
      <c r="W37" s="2"/>
      <c r="X37" s="2"/>
      <c r="Y37" s="2"/>
      <c r="Z37" s="2"/>
    </row>
    <row r="38" ht="15.75" customHeight="1">
      <c r="A38" s="2"/>
      <c r="B38" s="84" t="s">
        <v>54</v>
      </c>
      <c r="C38" s="43"/>
      <c r="D38" s="63"/>
      <c r="E38" s="2"/>
      <c r="F38" s="84" t="s">
        <v>54</v>
      </c>
      <c r="G38" s="43"/>
      <c r="H38" s="63"/>
      <c r="I38" s="2"/>
      <c r="J38" s="84" t="s">
        <v>54</v>
      </c>
      <c r="K38" s="43"/>
      <c r="L38" s="63"/>
      <c r="M38" s="2"/>
      <c r="N38" s="84" t="s">
        <v>54</v>
      </c>
      <c r="O38" s="43"/>
      <c r="P38" s="63"/>
      <c r="Q38" s="2"/>
      <c r="R38" s="84" t="s">
        <v>54</v>
      </c>
      <c r="S38" s="43"/>
      <c r="T38" s="63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77" t="s">
        <v>66</v>
      </c>
      <c r="C40" s="5"/>
      <c r="D40" s="51"/>
      <c r="E40" s="2"/>
      <c r="F40" s="77" t="s">
        <v>67</v>
      </c>
      <c r="G40" s="5"/>
      <c r="H40" s="51"/>
      <c r="I40" s="2"/>
      <c r="J40" s="77" t="s">
        <v>68</v>
      </c>
      <c r="K40" s="5"/>
      <c r="L40" s="51"/>
      <c r="M40" s="2"/>
      <c r="N40" s="77" t="s">
        <v>69</v>
      </c>
      <c r="O40" s="5"/>
      <c r="P40" s="51"/>
      <c r="Q40" s="2"/>
      <c r="R40" s="77" t="s">
        <v>70</v>
      </c>
      <c r="S40" s="5"/>
      <c r="T40" s="51"/>
      <c r="U40" s="2"/>
      <c r="V40" s="2"/>
      <c r="W40" s="2"/>
      <c r="X40" s="2"/>
      <c r="Y40" s="2"/>
      <c r="Z40" s="2"/>
    </row>
    <row r="41" ht="15.75" customHeight="1">
      <c r="A41" s="2"/>
      <c r="B41" s="78"/>
      <c r="C41" s="79" t="s">
        <v>31</v>
      </c>
      <c r="D41" s="80" t="s">
        <v>32</v>
      </c>
      <c r="E41" s="2"/>
      <c r="F41" s="78"/>
      <c r="G41" s="79" t="s">
        <v>31</v>
      </c>
      <c r="H41" s="80" t="s">
        <v>32</v>
      </c>
      <c r="I41" s="2"/>
      <c r="J41" s="78"/>
      <c r="K41" s="79" t="s">
        <v>31</v>
      </c>
      <c r="L41" s="80" t="s">
        <v>32</v>
      </c>
      <c r="M41" s="2"/>
      <c r="N41" s="78"/>
      <c r="O41" s="79" t="s">
        <v>31</v>
      </c>
      <c r="P41" s="80" t="s">
        <v>32</v>
      </c>
      <c r="Q41" s="2"/>
      <c r="R41" s="78"/>
      <c r="S41" s="79" t="s">
        <v>31</v>
      </c>
      <c r="T41" s="80" t="s">
        <v>32</v>
      </c>
      <c r="U41" s="2"/>
      <c r="V41" s="2"/>
      <c r="W41" s="2"/>
      <c r="X41" s="2"/>
      <c r="Y41" s="2"/>
      <c r="Z41" s="2"/>
    </row>
    <row r="42" ht="15.75" customHeight="1">
      <c r="A42" s="2"/>
      <c r="B42" s="81" t="s">
        <v>33</v>
      </c>
      <c r="C42" s="2"/>
      <c r="D42" s="62"/>
      <c r="E42" s="2"/>
      <c r="F42" s="81" t="s">
        <v>33</v>
      </c>
      <c r="G42" s="2"/>
      <c r="H42" s="62"/>
      <c r="I42" s="2"/>
      <c r="J42" s="81" t="s">
        <v>33</v>
      </c>
      <c r="K42" s="2"/>
      <c r="L42" s="62"/>
      <c r="M42" s="2"/>
      <c r="N42" s="81" t="s">
        <v>33</v>
      </c>
      <c r="O42" s="2"/>
      <c r="P42" s="62"/>
      <c r="Q42" s="2"/>
      <c r="R42" s="81" t="s">
        <v>33</v>
      </c>
      <c r="S42" s="2"/>
      <c r="T42" s="62"/>
      <c r="U42" s="2"/>
      <c r="V42" s="2"/>
      <c r="W42" s="2"/>
      <c r="X42" s="2"/>
      <c r="Y42" s="2"/>
      <c r="Z42" s="2"/>
    </row>
    <row r="43" ht="15.75" customHeight="1">
      <c r="A43" s="2"/>
      <c r="B43" s="81" t="s">
        <v>36</v>
      </c>
      <c r="C43" s="2"/>
      <c r="D43" s="62"/>
      <c r="E43" s="2"/>
      <c r="F43" s="81" t="s">
        <v>36</v>
      </c>
      <c r="G43" s="2"/>
      <c r="H43" s="62"/>
      <c r="I43" s="2"/>
      <c r="J43" s="81" t="s">
        <v>36</v>
      </c>
      <c r="K43" s="2"/>
      <c r="L43" s="62"/>
      <c r="M43" s="2"/>
      <c r="N43" s="81" t="s">
        <v>36</v>
      </c>
      <c r="O43" s="2"/>
      <c r="P43" s="62"/>
      <c r="Q43" s="2"/>
      <c r="R43" s="81" t="s">
        <v>36</v>
      </c>
      <c r="S43" s="2"/>
      <c r="T43" s="62"/>
      <c r="U43" s="2"/>
      <c r="V43" s="2"/>
      <c r="W43" s="2"/>
      <c r="X43" s="2"/>
      <c r="Y43" s="2"/>
      <c r="Z43" s="2"/>
    </row>
    <row r="44" ht="15.75" customHeight="1">
      <c r="A44" s="2"/>
      <c r="B44" s="81" t="s">
        <v>41</v>
      </c>
      <c r="C44" s="2"/>
      <c r="D44" s="62"/>
      <c r="E44" s="2"/>
      <c r="F44" s="81" t="s">
        <v>41</v>
      </c>
      <c r="G44" s="2"/>
      <c r="H44" s="62"/>
      <c r="I44" s="2"/>
      <c r="J44" s="81" t="s">
        <v>41</v>
      </c>
      <c r="K44" s="2"/>
      <c r="L44" s="62"/>
      <c r="M44" s="2"/>
      <c r="N44" s="81" t="s">
        <v>41</v>
      </c>
      <c r="O44" s="2"/>
      <c r="P44" s="62"/>
      <c r="Q44" s="2"/>
      <c r="R44" s="81" t="s">
        <v>41</v>
      </c>
      <c r="S44" s="2"/>
      <c r="T44" s="62"/>
      <c r="U44" s="2"/>
      <c r="V44" s="2"/>
      <c r="W44" s="2"/>
      <c r="X44" s="2"/>
      <c r="Y44" s="2"/>
      <c r="Z44" s="2"/>
    </row>
    <row r="45" ht="15.75" customHeight="1">
      <c r="A45" s="2"/>
      <c r="B45" s="81" t="s">
        <v>44</v>
      </c>
      <c r="C45" s="2"/>
      <c r="D45" s="62"/>
      <c r="E45" s="2"/>
      <c r="F45" s="81" t="s">
        <v>44</v>
      </c>
      <c r="G45" s="2"/>
      <c r="H45" s="62"/>
      <c r="I45" s="2"/>
      <c r="J45" s="81" t="s">
        <v>44</v>
      </c>
      <c r="K45" s="2"/>
      <c r="L45" s="62"/>
      <c r="M45" s="2"/>
      <c r="N45" s="81" t="s">
        <v>44</v>
      </c>
      <c r="O45" s="2"/>
      <c r="P45" s="62"/>
      <c r="Q45" s="2"/>
      <c r="R45" s="81" t="s">
        <v>44</v>
      </c>
      <c r="S45" s="2"/>
      <c r="T45" s="62"/>
      <c r="U45" s="2"/>
      <c r="V45" s="2"/>
      <c r="W45" s="2"/>
      <c r="X45" s="2"/>
      <c r="Y45" s="2"/>
      <c r="Z45" s="2"/>
    </row>
    <row r="46" ht="15.75" customHeight="1">
      <c r="A46" s="2"/>
      <c r="B46" s="81" t="s">
        <v>46</v>
      </c>
      <c r="C46" s="2"/>
      <c r="D46" s="62"/>
      <c r="E46" s="92"/>
      <c r="F46" s="81" t="s">
        <v>46</v>
      </c>
      <c r="G46" s="2"/>
      <c r="H46" s="62"/>
      <c r="I46" s="2"/>
      <c r="J46" s="81" t="s">
        <v>46</v>
      </c>
      <c r="K46" s="2"/>
      <c r="L46" s="62"/>
      <c r="M46" s="2"/>
      <c r="N46" s="81" t="s">
        <v>46</v>
      </c>
      <c r="O46" s="2"/>
      <c r="P46" s="62"/>
      <c r="Q46" s="2"/>
      <c r="R46" s="81" t="s">
        <v>46</v>
      </c>
      <c r="S46" s="2"/>
      <c r="T46" s="62"/>
      <c r="U46" s="2"/>
      <c r="V46" s="2"/>
      <c r="W46" s="2"/>
      <c r="X46" s="2"/>
      <c r="Y46" s="2"/>
      <c r="Z46" s="2"/>
    </row>
    <row r="47" ht="15.75" customHeight="1">
      <c r="A47" s="2"/>
      <c r="B47" s="81" t="s">
        <v>50</v>
      </c>
      <c r="C47" s="2"/>
      <c r="D47" s="62"/>
      <c r="E47" s="2"/>
      <c r="F47" s="81" t="s">
        <v>50</v>
      </c>
      <c r="G47" s="2"/>
      <c r="H47" s="62"/>
      <c r="I47" s="2"/>
      <c r="J47" s="81" t="s">
        <v>50</v>
      </c>
      <c r="K47" s="2"/>
      <c r="L47" s="62"/>
      <c r="M47" s="2"/>
      <c r="N47" s="81" t="s">
        <v>50</v>
      </c>
      <c r="O47" s="2"/>
      <c r="P47" s="62"/>
      <c r="Q47" s="2"/>
      <c r="R47" s="81" t="s">
        <v>50</v>
      </c>
      <c r="S47" s="2"/>
      <c r="T47" s="62"/>
      <c r="U47" s="2"/>
      <c r="V47" s="2"/>
      <c r="W47" s="2"/>
      <c r="X47" s="2"/>
      <c r="Y47" s="2"/>
      <c r="Z47" s="2"/>
    </row>
    <row r="48" ht="15.75" customHeight="1">
      <c r="A48" s="2"/>
      <c r="B48" s="81" t="s">
        <v>52</v>
      </c>
      <c r="C48" s="2"/>
      <c r="D48" s="62"/>
      <c r="E48" s="2"/>
      <c r="F48" s="81" t="s">
        <v>52</v>
      </c>
      <c r="G48" s="2"/>
      <c r="H48" s="62"/>
      <c r="I48" s="2"/>
      <c r="J48" s="81" t="s">
        <v>52</v>
      </c>
      <c r="K48" s="2"/>
      <c r="L48" s="62"/>
      <c r="M48" s="2"/>
      <c r="N48" s="81" t="s">
        <v>52</v>
      </c>
      <c r="O48" s="2"/>
      <c r="P48" s="62"/>
      <c r="Q48" s="2"/>
      <c r="R48" s="81" t="s">
        <v>52</v>
      </c>
      <c r="S48" s="2"/>
      <c r="T48" s="62"/>
      <c r="U48" s="2"/>
      <c r="V48" s="2"/>
      <c r="W48" s="2"/>
      <c r="X48" s="2"/>
      <c r="Y48" s="2"/>
      <c r="Z48" s="2"/>
    </row>
    <row r="49" ht="15.75" customHeight="1">
      <c r="A49" s="2"/>
      <c r="B49" s="81" t="s">
        <v>53</v>
      </c>
      <c r="C49" s="2"/>
      <c r="D49" s="62"/>
      <c r="E49" s="2"/>
      <c r="F49" s="81" t="s">
        <v>53</v>
      </c>
      <c r="G49" s="2"/>
      <c r="H49" s="62"/>
      <c r="I49" s="2"/>
      <c r="J49" s="81" t="s">
        <v>53</v>
      </c>
      <c r="K49" s="2"/>
      <c r="L49" s="62"/>
      <c r="M49" s="2"/>
      <c r="N49" s="81" t="s">
        <v>53</v>
      </c>
      <c r="O49" s="2"/>
      <c r="P49" s="62"/>
      <c r="Q49" s="2"/>
      <c r="R49" s="81" t="s">
        <v>53</v>
      </c>
      <c r="S49" s="2"/>
      <c r="T49" s="62"/>
      <c r="U49" s="2"/>
      <c r="V49" s="2"/>
      <c r="W49" s="2"/>
      <c r="X49" s="2"/>
      <c r="Y49" s="2"/>
      <c r="Z49" s="2"/>
    </row>
    <row r="50" ht="15.75" customHeight="1">
      <c r="A50" s="2"/>
      <c r="B50" s="84" t="s">
        <v>54</v>
      </c>
      <c r="C50" s="43"/>
      <c r="D50" s="63"/>
      <c r="E50" s="2"/>
      <c r="F50" s="84" t="s">
        <v>54</v>
      </c>
      <c r="G50" s="43"/>
      <c r="H50" s="63"/>
      <c r="I50" s="2"/>
      <c r="J50" s="84" t="s">
        <v>54</v>
      </c>
      <c r="K50" s="43"/>
      <c r="L50" s="63"/>
      <c r="M50" s="2"/>
      <c r="N50" s="84" t="s">
        <v>54</v>
      </c>
      <c r="O50" s="43"/>
      <c r="P50" s="63"/>
      <c r="Q50" s="2"/>
      <c r="R50" s="84" t="s">
        <v>54</v>
      </c>
      <c r="S50" s="43"/>
      <c r="T50" s="63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77" t="s">
        <v>71</v>
      </c>
      <c r="C52" s="5"/>
      <c r="D52" s="51"/>
      <c r="E52" s="2"/>
      <c r="F52" s="77" t="s">
        <v>72</v>
      </c>
      <c r="G52" s="5"/>
      <c r="H52" s="51"/>
      <c r="I52" s="2"/>
      <c r="J52" s="77" t="s">
        <v>73</v>
      </c>
      <c r="K52" s="5"/>
      <c r="L52" s="51"/>
      <c r="M52" s="2"/>
      <c r="N52" s="77" t="s">
        <v>74</v>
      </c>
      <c r="O52" s="5"/>
      <c r="P52" s="51"/>
      <c r="Q52" s="2"/>
      <c r="R52" s="77" t="s">
        <v>75</v>
      </c>
      <c r="S52" s="5"/>
      <c r="T52" s="51"/>
      <c r="U52" s="2"/>
      <c r="V52" s="2"/>
      <c r="W52" s="2"/>
      <c r="X52" s="2"/>
      <c r="Y52" s="2"/>
      <c r="Z52" s="2"/>
    </row>
    <row r="53" ht="15.75" customHeight="1">
      <c r="A53" s="2"/>
      <c r="B53" s="78"/>
      <c r="C53" s="79" t="s">
        <v>31</v>
      </c>
      <c r="D53" s="80" t="s">
        <v>32</v>
      </c>
      <c r="E53" s="2"/>
      <c r="F53" s="78"/>
      <c r="G53" s="79" t="s">
        <v>31</v>
      </c>
      <c r="H53" s="80" t="s">
        <v>32</v>
      </c>
      <c r="I53" s="2"/>
      <c r="J53" s="78"/>
      <c r="K53" s="79" t="s">
        <v>31</v>
      </c>
      <c r="L53" s="80" t="s">
        <v>32</v>
      </c>
      <c r="M53" s="2"/>
      <c r="N53" s="78"/>
      <c r="O53" s="79" t="s">
        <v>31</v>
      </c>
      <c r="P53" s="80" t="s">
        <v>32</v>
      </c>
      <c r="Q53" s="2"/>
      <c r="R53" s="78"/>
      <c r="S53" s="79" t="s">
        <v>31</v>
      </c>
      <c r="T53" s="80" t="s">
        <v>32</v>
      </c>
      <c r="U53" s="2"/>
      <c r="V53" s="2"/>
      <c r="W53" s="2"/>
      <c r="X53" s="2"/>
      <c r="Y53" s="2"/>
      <c r="Z53" s="2"/>
    </row>
    <row r="54" ht="15.75" customHeight="1">
      <c r="A54" s="2"/>
      <c r="B54" s="81" t="s">
        <v>33</v>
      </c>
      <c r="C54" s="2"/>
      <c r="D54" s="62"/>
      <c r="E54" s="2"/>
      <c r="F54" s="81" t="s">
        <v>33</v>
      </c>
      <c r="G54" s="2"/>
      <c r="H54" s="62"/>
      <c r="I54" s="2"/>
      <c r="J54" s="81" t="s">
        <v>33</v>
      </c>
      <c r="K54" s="2"/>
      <c r="L54" s="62"/>
      <c r="M54" s="2"/>
      <c r="N54" s="81" t="s">
        <v>33</v>
      </c>
      <c r="O54" s="2"/>
      <c r="P54" s="62"/>
      <c r="Q54" s="2"/>
      <c r="R54" s="81" t="s">
        <v>33</v>
      </c>
      <c r="S54" s="2"/>
      <c r="T54" s="62"/>
      <c r="U54" s="2"/>
      <c r="V54" s="2"/>
      <c r="W54" s="2"/>
      <c r="X54" s="2"/>
      <c r="Y54" s="2"/>
      <c r="Z54" s="2"/>
    </row>
    <row r="55" ht="15.75" customHeight="1">
      <c r="A55" s="2"/>
      <c r="B55" s="81" t="s">
        <v>36</v>
      </c>
      <c r="C55" s="2"/>
      <c r="D55" s="62"/>
      <c r="E55" s="2"/>
      <c r="F55" s="81" t="s">
        <v>36</v>
      </c>
      <c r="G55" s="2"/>
      <c r="H55" s="62"/>
      <c r="I55" s="2"/>
      <c r="J55" s="81" t="s">
        <v>36</v>
      </c>
      <c r="K55" s="2"/>
      <c r="L55" s="62"/>
      <c r="M55" s="2"/>
      <c r="N55" s="81" t="s">
        <v>36</v>
      </c>
      <c r="O55" s="2"/>
      <c r="P55" s="62"/>
      <c r="Q55" s="2"/>
      <c r="R55" s="81" t="s">
        <v>36</v>
      </c>
      <c r="S55" s="2"/>
      <c r="T55" s="62"/>
      <c r="U55" s="2"/>
      <c r="V55" s="2"/>
      <c r="W55" s="2"/>
      <c r="X55" s="2"/>
      <c r="Y55" s="2"/>
      <c r="Z55" s="2"/>
    </row>
    <row r="56" ht="15.75" customHeight="1">
      <c r="A56" s="2"/>
      <c r="B56" s="81" t="s">
        <v>41</v>
      </c>
      <c r="C56" s="2"/>
      <c r="D56" s="62"/>
      <c r="E56" s="2"/>
      <c r="F56" s="81" t="s">
        <v>41</v>
      </c>
      <c r="G56" s="2"/>
      <c r="H56" s="62"/>
      <c r="I56" s="2"/>
      <c r="J56" s="81" t="s">
        <v>41</v>
      </c>
      <c r="K56" s="2"/>
      <c r="L56" s="62"/>
      <c r="M56" s="2"/>
      <c r="N56" s="81" t="s">
        <v>41</v>
      </c>
      <c r="O56" s="2"/>
      <c r="P56" s="62"/>
      <c r="Q56" s="2"/>
      <c r="R56" s="81" t="s">
        <v>41</v>
      </c>
      <c r="S56" s="2"/>
      <c r="T56" s="62"/>
      <c r="U56" s="2"/>
      <c r="V56" s="2"/>
      <c r="W56" s="2"/>
      <c r="X56" s="2"/>
      <c r="Y56" s="2"/>
      <c r="Z56" s="2"/>
    </row>
    <row r="57" ht="15.75" customHeight="1">
      <c r="A57" s="2"/>
      <c r="B57" s="81" t="s">
        <v>44</v>
      </c>
      <c r="C57" s="2"/>
      <c r="D57" s="62"/>
      <c r="E57" s="2"/>
      <c r="F57" s="81" t="s">
        <v>44</v>
      </c>
      <c r="G57" s="2"/>
      <c r="H57" s="62"/>
      <c r="I57" s="2"/>
      <c r="J57" s="81" t="s">
        <v>44</v>
      </c>
      <c r="K57" s="2"/>
      <c r="L57" s="62"/>
      <c r="M57" s="2"/>
      <c r="N57" s="81" t="s">
        <v>44</v>
      </c>
      <c r="O57" s="2"/>
      <c r="P57" s="62"/>
      <c r="Q57" s="2"/>
      <c r="R57" s="81" t="s">
        <v>44</v>
      </c>
      <c r="S57" s="2"/>
      <c r="T57" s="62"/>
      <c r="U57" s="2"/>
      <c r="V57" s="2"/>
      <c r="W57" s="2"/>
      <c r="X57" s="2"/>
      <c r="Y57" s="2"/>
      <c r="Z57" s="2"/>
    </row>
    <row r="58" ht="15.75" customHeight="1">
      <c r="A58" s="2"/>
      <c r="B58" s="81" t="s">
        <v>46</v>
      </c>
      <c r="C58" s="2"/>
      <c r="D58" s="62"/>
      <c r="E58" s="2"/>
      <c r="F58" s="81" t="s">
        <v>46</v>
      </c>
      <c r="G58" s="2"/>
      <c r="H58" s="62"/>
      <c r="I58" s="2"/>
      <c r="J58" s="81" t="s">
        <v>46</v>
      </c>
      <c r="K58" s="2"/>
      <c r="L58" s="62"/>
      <c r="M58" s="2"/>
      <c r="N58" s="81" t="s">
        <v>46</v>
      </c>
      <c r="O58" s="2"/>
      <c r="P58" s="62"/>
      <c r="Q58" s="2"/>
      <c r="R58" s="81" t="s">
        <v>46</v>
      </c>
      <c r="S58" s="2"/>
      <c r="T58" s="62"/>
      <c r="U58" s="2"/>
      <c r="V58" s="2"/>
      <c r="W58" s="2"/>
      <c r="X58" s="2"/>
      <c r="Y58" s="2"/>
      <c r="Z58" s="2"/>
    </row>
    <row r="59" ht="15.75" customHeight="1">
      <c r="A59" s="2"/>
      <c r="B59" s="81" t="s">
        <v>50</v>
      </c>
      <c r="C59" s="2"/>
      <c r="D59" s="62"/>
      <c r="E59" s="2"/>
      <c r="F59" s="81" t="s">
        <v>50</v>
      </c>
      <c r="G59" s="2"/>
      <c r="H59" s="62"/>
      <c r="I59" s="2"/>
      <c r="J59" s="81" t="s">
        <v>50</v>
      </c>
      <c r="K59" s="2"/>
      <c r="L59" s="62"/>
      <c r="M59" s="2"/>
      <c r="N59" s="81" t="s">
        <v>50</v>
      </c>
      <c r="O59" s="2"/>
      <c r="P59" s="62"/>
      <c r="Q59" s="2"/>
      <c r="R59" s="81" t="s">
        <v>50</v>
      </c>
      <c r="S59" s="2"/>
      <c r="T59" s="62"/>
      <c r="U59" s="2"/>
      <c r="V59" s="2"/>
      <c r="W59" s="2"/>
      <c r="X59" s="2"/>
      <c r="Y59" s="2"/>
      <c r="Z59" s="2"/>
    </row>
    <row r="60" ht="15.75" customHeight="1">
      <c r="A60" s="2"/>
      <c r="B60" s="81" t="s">
        <v>52</v>
      </c>
      <c r="C60" s="2"/>
      <c r="D60" s="62"/>
      <c r="E60" s="2"/>
      <c r="F60" s="81" t="s">
        <v>52</v>
      </c>
      <c r="G60" s="2"/>
      <c r="H60" s="62"/>
      <c r="I60" s="2"/>
      <c r="J60" s="81" t="s">
        <v>52</v>
      </c>
      <c r="K60" s="2"/>
      <c r="L60" s="62"/>
      <c r="M60" s="2"/>
      <c r="N60" s="81" t="s">
        <v>52</v>
      </c>
      <c r="O60" s="2"/>
      <c r="P60" s="62"/>
      <c r="Q60" s="2"/>
      <c r="R60" s="81" t="s">
        <v>52</v>
      </c>
      <c r="S60" s="2"/>
      <c r="T60" s="62"/>
      <c r="U60" s="2"/>
      <c r="V60" s="2"/>
      <c r="W60" s="2"/>
      <c r="X60" s="2"/>
      <c r="Y60" s="2"/>
      <c r="Z60" s="2"/>
    </row>
    <row r="61" ht="15.75" customHeight="1">
      <c r="A61" s="2"/>
      <c r="B61" s="81" t="s">
        <v>53</v>
      </c>
      <c r="C61" s="2"/>
      <c r="D61" s="62"/>
      <c r="E61" s="2"/>
      <c r="F61" s="81" t="s">
        <v>53</v>
      </c>
      <c r="G61" s="2"/>
      <c r="H61" s="62"/>
      <c r="I61" s="2"/>
      <c r="J61" s="81" t="s">
        <v>53</v>
      </c>
      <c r="K61" s="2"/>
      <c r="L61" s="62"/>
      <c r="M61" s="2"/>
      <c r="N61" s="81" t="s">
        <v>53</v>
      </c>
      <c r="O61" s="2"/>
      <c r="P61" s="62"/>
      <c r="Q61" s="2"/>
      <c r="R61" s="81" t="s">
        <v>53</v>
      </c>
      <c r="S61" s="2"/>
      <c r="T61" s="62"/>
      <c r="U61" s="2"/>
      <c r="V61" s="2"/>
      <c r="W61" s="2"/>
      <c r="X61" s="2"/>
      <c r="Y61" s="2"/>
      <c r="Z61" s="2"/>
    </row>
    <row r="62" ht="15.75" customHeight="1">
      <c r="A62" s="2"/>
      <c r="B62" s="84" t="s">
        <v>54</v>
      </c>
      <c r="C62" s="43"/>
      <c r="D62" s="63"/>
      <c r="E62" s="2"/>
      <c r="F62" s="84" t="s">
        <v>54</v>
      </c>
      <c r="G62" s="43"/>
      <c r="H62" s="63"/>
      <c r="I62" s="2"/>
      <c r="J62" s="84" t="s">
        <v>54</v>
      </c>
      <c r="K62" s="43"/>
      <c r="L62" s="63"/>
      <c r="M62" s="2"/>
      <c r="N62" s="84" t="s">
        <v>54</v>
      </c>
      <c r="O62" s="43"/>
      <c r="P62" s="63"/>
      <c r="Q62" s="2"/>
      <c r="R62" s="84" t="s">
        <v>54</v>
      </c>
      <c r="S62" s="43"/>
      <c r="T62" s="63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24">
    <mergeCell ref="N16:P16"/>
    <mergeCell ref="R16:T16"/>
    <mergeCell ref="B3:D3"/>
    <mergeCell ref="F3:H3"/>
    <mergeCell ref="J3:L3"/>
    <mergeCell ref="N3:P3"/>
    <mergeCell ref="R3:T3"/>
    <mergeCell ref="B16:D16"/>
    <mergeCell ref="F16:H16"/>
    <mergeCell ref="J40:L40"/>
    <mergeCell ref="N40:P40"/>
    <mergeCell ref="B52:D52"/>
    <mergeCell ref="F52:H52"/>
    <mergeCell ref="J52:L52"/>
    <mergeCell ref="N52:P52"/>
    <mergeCell ref="R52:T52"/>
    <mergeCell ref="B28:D28"/>
    <mergeCell ref="F28:H28"/>
    <mergeCell ref="J28:L28"/>
    <mergeCell ref="N28:P28"/>
    <mergeCell ref="R28:T28"/>
    <mergeCell ref="B40:D40"/>
    <mergeCell ref="F40:H40"/>
    <mergeCell ref="R40:T40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0.86"/>
    <col customWidth="1" min="4" max="7" width="12.86"/>
    <col customWidth="1" min="8" max="9" width="12.14"/>
    <col customWidth="1" min="10" max="10" width="9.14"/>
    <col customWidth="1" min="11" max="11" width="10.86"/>
    <col customWidth="1" min="12" max="13" width="12.86"/>
    <col customWidth="1" min="14" max="17" width="12.14"/>
    <col customWidth="1" min="18" max="18" width="9.14"/>
    <col customWidth="1" min="19" max="19" width="10.86"/>
    <col customWidth="1" min="20" max="20" width="12.86"/>
    <col customWidth="1" min="21" max="25" width="12.14"/>
    <col customWidth="1" min="26" max="26" width="9.14"/>
    <col customWidth="1" min="27" max="27" width="10.86"/>
    <col customWidth="1" min="28" max="28" width="12.86"/>
    <col customWidth="1" min="29" max="33" width="12.14"/>
    <col customWidth="1" min="34" max="34" width="9.14"/>
    <col customWidth="1" min="35" max="35" width="10.86"/>
    <col customWidth="1" min="36" max="36" width="12.86"/>
    <col customWidth="1" min="37" max="37" width="12.14"/>
    <col customWidth="1" min="38" max="38" width="8.71"/>
    <col customWidth="1" min="39" max="41" width="9.14"/>
  </cols>
  <sheetData>
    <row r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</row>
    <row r="2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4" t="s">
        <v>76</v>
      </c>
      <c r="M2" s="5"/>
      <c r="N2" s="5"/>
      <c r="O2" s="51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</row>
    <row r="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5"/>
      <c r="M3" s="96" t="s">
        <v>77</v>
      </c>
      <c r="N3" s="96" t="s">
        <v>78</v>
      </c>
      <c r="O3" s="97" t="s">
        <v>79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</row>
    <row r="4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8" t="s">
        <v>33</v>
      </c>
      <c r="M4" s="99">
        <f t="shared" ref="M4:M9" si="1">+F17+N17+V17+AD17+AL17+AL31+AD31+V31+N31+F31+F46+N46+V46+AD46+AL46+AL60+AD60+V60+N60+F60+F75+N75+V75+AD75</f>
        <v>45.25</v>
      </c>
      <c r="N4" s="99">
        <f t="shared" ref="N4:N9" si="2">IF(H17&gt;0,H17,0)+IF(P17&gt;0,P17,0)+IF(X17&gt;0,X17,0)+IF(AF17&gt;0,AF17,0)+IF(AN17&gt;0,AN17,0)+IF(AN31&gt;0,AN31,0)+IF(AF31&gt;0,AF31,0)+IF(X31&gt;0,X31,0)+IF(P31&gt;0,P31,0)+IF(H31&gt;0,H31,0)+IF(H46&gt;0,H46,0)+IF(H60&gt;0,H60,0)+IF(P46&gt;0,P46,0)+IF(P60&gt;0,P60,0)+IF(X46&gt;0,X46,0)+IF(X60&gt;0,X60,0)+IF(AF60&gt;0,AF60,0)+IF(AF46&gt;0,AF46,0)+IF(AN60&gt;0,AN60,0)+IF(AN46&gt;0,AN46,0)+IF(AF75&gt;0,AF75,0)+IF(X75&gt;0,X75,0)+IF(P75&gt;0,P75,0)+IF(H75&gt;0,H75,0)</f>
        <v>34.715</v>
      </c>
      <c r="O4" s="100">
        <f t="shared" ref="O4:O12" si="3">IF(N4&gt;0, N4-M4, -M4)</f>
        <v>-10.535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</row>
    <row r="5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8" t="s">
        <v>36</v>
      </c>
      <c r="M5" s="99">
        <f t="shared" si="1"/>
        <v>13</v>
      </c>
      <c r="N5" s="99">
        <f t="shared" si="2"/>
        <v>21.7825</v>
      </c>
      <c r="O5" s="100">
        <f t="shared" si="3"/>
        <v>8.7825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</row>
    <row r="6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8" t="s">
        <v>41</v>
      </c>
      <c r="M6" s="99">
        <f t="shared" si="1"/>
        <v>22.3</v>
      </c>
      <c r="N6" s="99">
        <f t="shared" si="2"/>
        <v>22.672</v>
      </c>
      <c r="O6" s="100">
        <f t="shared" si="3"/>
        <v>0.372</v>
      </c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</row>
    <row r="7">
      <c r="A7" s="93"/>
      <c r="B7" s="93"/>
      <c r="C7" s="93"/>
      <c r="D7" s="93"/>
      <c r="E7" s="93"/>
      <c r="F7" s="93"/>
      <c r="G7" s="93"/>
      <c r="H7" s="93"/>
      <c r="I7" s="93"/>
      <c r="J7" s="93"/>
      <c r="K7" s="93"/>
      <c r="L7" s="98" t="s">
        <v>44</v>
      </c>
      <c r="M7" s="99">
        <f t="shared" si="1"/>
        <v>23.5</v>
      </c>
      <c r="N7" s="99">
        <f t="shared" si="2"/>
        <v>10.01</v>
      </c>
      <c r="O7" s="100">
        <f t="shared" si="3"/>
        <v>-13.49</v>
      </c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</row>
    <row r="8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  <c r="L8" s="98" t="s">
        <v>46</v>
      </c>
      <c r="M8" s="99">
        <f t="shared" si="1"/>
        <v>36.5</v>
      </c>
      <c r="N8" s="99">
        <f t="shared" si="2"/>
        <v>39.84</v>
      </c>
      <c r="O8" s="100">
        <f t="shared" si="3"/>
        <v>3.34</v>
      </c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</row>
    <row r="9">
      <c r="A9" s="93"/>
      <c r="B9" s="93"/>
      <c r="C9" s="93"/>
      <c r="D9" s="93"/>
      <c r="E9" s="93"/>
      <c r="F9" s="93"/>
      <c r="G9" s="93"/>
      <c r="H9" s="93"/>
      <c r="I9" s="93"/>
      <c r="J9" s="93"/>
      <c r="K9" s="93"/>
      <c r="L9" s="98" t="s">
        <v>50</v>
      </c>
      <c r="M9" s="99">
        <f t="shared" si="1"/>
        <v>48.5</v>
      </c>
      <c r="N9" s="99">
        <f t="shared" si="2"/>
        <v>50.47</v>
      </c>
      <c r="O9" s="100">
        <f t="shared" si="3"/>
        <v>1.97</v>
      </c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</row>
    <row r="10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8" t="s">
        <v>52</v>
      </c>
      <c r="M10" s="99">
        <f>+F23+N23+V23+AD23+AL23+AL38+AD38+V38+N38+F38+F53+N53+V53+AD53+AL53+AL67+AD67+V67+N67+F67+F82+N82+V82+AD82</f>
        <v>7.5</v>
      </c>
      <c r="N10" s="99">
        <f>IF(H23&gt;0,H23,0)+IF(P23&gt;0,P23,0)+IF(X23&gt;0,X23,0)+IF(AF23&gt;0,AF23,0)+IF(AN23&gt;0,AN23,0)+IF(AN38&gt;0,AN38,0)+IF(AF38&gt;0,AF38,0)+IF(X38&gt;0,X38,0)+IF(P38&gt;0,P38,0)+IF(H38&gt;0,H38,0)+IF(H53&gt;0,H53,0)+IF(H67&gt;0,H67,0)+IF(P53&gt;0,P53,0)+IF(P67&gt;0,P67,0)+IF(X53&gt;0,X53,0)+IF(X67&gt;0,X67,0)+IF(AF67&gt;0,AF67,0)+IF(AF53&gt;0,AF53,0)+IF(AN67&gt;0,AN67,0)+IF(AN53&gt;0,AN53,0)+IF(AF82&gt;0,AF82,0)+IF(X82&gt;0,X82,0)+IF(P82&gt;0,P82,0)+IF(H82&gt;0,H82,0)</f>
        <v>12.525</v>
      </c>
      <c r="O10" s="100">
        <f t="shared" si="3"/>
        <v>5.025</v>
      </c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</row>
    <row r="11">
      <c r="A11" s="93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8" t="s">
        <v>53</v>
      </c>
      <c r="M11" s="99">
        <f t="shared" ref="M11:M12" si="4">+F24+N24+V24+AD24+AL24+AL38+AD38+V38+N38+F38+F53+N53+V53+AD53+AL53+AL67+AD67+V67+N67+F67+F82+N82+V82+AD82</f>
        <v>22.05</v>
      </c>
      <c r="N11" s="99">
        <f t="shared" ref="N11:N12" si="5">IF(H24&gt;0,H24,0)+IF(P24&gt;0,P24,0)+IF(X24&gt;0,X24,0)+IF(AF24&gt;0,AF24,0)+IF(AN24&gt;0,AN24,0)+IF(AN38&gt;0,AN38,0)+IF(AF38&gt;0,AF38,0)+IF(X38&gt;0,X38,0)+IF(P38&gt;0,P38,0)+IF(H38&gt;0,H38,0)+IF(H53&gt;0,H53,0)+IF(H67&gt;0,H67,0)+IF(P53&gt;0,P53,0)+IF(P67&gt;0,P67,0)+IF(X53&gt;0,X53,0)+IF(X67&gt;0,X67,0)+IF(AF67&gt;0,AF67,0)+IF(AF53&gt;0,AF53,0)+IF(AN67&gt;0,AN67,0)+IF(AN53&gt;0,AN53,0)+IF(AF82&gt;0,AF82,0)+IF(X82&gt;0,X82,0)+IF(P82&gt;0,P82,0)+IF(H82&gt;0,H82,0)</f>
        <v>22.263</v>
      </c>
      <c r="O11" s="100">
        <f t="shared" si="3"/>
        <v>0.213</v>
      </c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</row>
    <row r="12">
      <c r="A12" s="93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101" t="s">
        <v>54</v>
      </c>
      <c r="M12" s="102">
        <f t="shared" si="4"/>
        <v>31</v>
      </c>
      <c r="N12" s="102">
        <f t="shared" si="5"/>
        <v>26.08</v>
      </c>
      <c r="O12" s="103">
        <f t="shared" si="3"/>
        <v>-4.92</v>
      </c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</row>
    <row r="13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</row>
    <row r="14">
      <c r="A14" s="93"/>
      <c r="B14" s="9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93"/>
      <c r="AN14" s="93"/>
      <c r="AO14" s="93"/>
    </row>
    <row r="15">
      <c r="A15" s="93"/>
      <c r="B15" s="93"/>
      <c r="C15" s="77" t="s">
        <v>26</v>
      </c>
      <c r="D15" s="5"/>
      <c r="E15" s="5"/>
      <c r="F15" s="5"/>
      <c r="G15" s="5"/>
      <c r="H15" s="51"/>
      <c r="I15" s="93"/>
      <c r="J15" s="2"/>
      <c r="K15" s="77" t="s">
        <v>27</v>
      </c>
      <c r="L15" s="5"/>
      <c r="M15" s="5"/>
      <c r="N15" s="5"/>
      <c r="O15" s="5"/>
      <c r="P15" s="51"/>
      <c r="Q15" s="93"/>
      <c r="R15" s="2"/>
      <c r="S15" s="77" t="s">
        <v>28</v>
      </c>
      <c r="T15" s="5"/>
      <c r="U15" s="5"/>
      <c r="V15" s="5"/>
      <c r="W15" s="5"/>
      <c r="X15" s="51"/>
      <c r="Y15" s="93"/>
      <c r="Z15" s="2"/>
      <c r="AA15" s="77" t="s">
        <v>29</v>
      </c>
      <c r="AB15" s="5"/>
      <c r="AC15" s="5"/>
      <c r="AD15" s="5"/>
      <c r="AE15" s="5"/>
      <c r="AF15" s="51"/>
      <c r="AG15" s="93"/>
      <c r="AH15" s="2"/>
      <c r="AI15" s="77" t="s">
        <v>30</v>
      </c>
      <c r="AJ15" s="5"/>
      <c r="AK15" s="5"/>
      <c r="AL15" s="5"/>
      <c r="AM15" s="5"/>
      <c r="AN15" s="51"/>
      <c r="AO15" s="93"/>
    </row>
    <row r="16">
      <c r="A16" s="93"/>
      <c r="B16" s="93"/>
      <c r="C16" s="78"/>
      <c r="D16" s="79" t="s">
        <v>80</v>
      </c>
      <c r="E16" s="79" t="s">
        <v>81</v>
      </c>
      <c r="F16" s="79" t="s">
        <v>82</v>
      </c>
      <c r="G16" s="79" t="s">
        <v>83</v>
      </c>
      <c r="H16" s="80" t="s">
        <v>84</v>
      </c>
      <c r="I16" s="93"/>
      <c r="J16" s="2"/>
      <c r="K16" s="78"/>
      <c r="L16" s="79" t="s">
        <v>80</v>
      </c>
      <c r="M16" s="79" t="s">
        <v>81</v>
      </c>
      <c r="N16" s="79" t="s">
        <v>82</v>
      </c>
      <c r="O16" s="79" t="s">
        <v>83</v>
      </c>
      <c r="P16" s="80" t="s">
        <v>84</v>
      </c>
      <c r="Q16" s="93"/>
      <c r="R16" s="2"/>
      <c r="S16" s="78"/>
      <c r="T16" s="79" t="s">
        <v>80</v>
      </c>
      <c r="U16" s="79" t="s">
        <v>81</v>
      </c>
      <c r="V16" s="79" t="s">
        <v>82</v>
      </c>
      <c r="W16" s="79" t="s">
        <v>83</v>
      </c>
      <c r="X16" s="80" t="s">
        <v>84</v>
      </c>
      <c r="Y16" s="93"/>
      <c r="Z16" s="2"/>
      <c r="AA16" s="78"/>
      <c r="AB16" s="79" t="s">
        <v>80</v>
      </c>
      <c r="AC16" s="79" t="s">
        <v>81</v>
      </c>
      <c r="AD16" s="79" t="s">
        <v>82</v>
      </c>
      <c r="AE16" s="79" t="s">
        <v>83</v>
      </c>
      <c r="AF16" s="80" t="s">
        <v>84</v>
      </c>
      <c r="AG16" s="93"/>
      <c r="AH16" s="2"/>
      <c r="AI16" s="78"/>
      <c r="AJ16" s="79" t="s">
        <v>80</v>
      </c>
      <c r="AK16" s="79" t="s">
        <v>81</v>
      </c>
      <c r="AL16" s="79" t="s">
        <v>82</v>
      </c>
      <c r="AM16" s="79" t="s">
        <v>83</v>
      </c>
      <c r="AN16" s="80" t="s">
        <v>84</v>
      </c>
      <c r="AO16" s="93"/>
    </row>
    <row r="17">
      <c r="A17" s="93"/>
      <c r="B17" s="93"/>
      <c r="C17" s="98" t="s">
        <v>33</v>
      </c>
      <c r="D17" s="2" t="s">
        <v>11</v>
      </c>
      <c r="E17" s="2">
        <v>1.43</v>
      </c>
      <c r="F17" s="99">
        <v>7.0</v>
      </c>
      <c r="G17" s="2" t="s">
        <v>85</v>
      </c>
      <c r="H17" s="100">
        <f t="shared" ref="H17:H22" si="6">IF(G17="V", E17*F17, IF(G17="X", 0, ""))</f>
        <v>10.01</v>
      </c>
      <c r="I17" s="99"/>
      <c r="J17" s="2"/>
      <c r="K17" s="98" t="s">
        <v>33</v>
      </c>
      <c r="L17" s="2" t="s">
        <v>8</v>
      </c>
      <c r="M17" s="2">
        <v>1.62</v>
      </c>
      <c r="N17" s="104">
        <v>8.0</v>
      </c>
      <c r="O17" s="2" t="s">
        <v>85</v>
      </c>
      <c r="P17" s="100">
        <f>IF(O17="V", M17*N17, IF(O17="X", 0, ""))</f>
        <v>12.96</v>
      </c>
      <c r="Q17" s="99"/>
      <c r="R17" s="2"/>
      <c r="S17" s="98" t="s">
        <v>33</v>
      </c>
      <c r="T17" s="2"/>
      <c r="U17" s="47">
        <v>1.74</v>
      </c>
      <c r="V17" s="105">
        <v>6.75</v>
      </c>
      <c r="W17" s="47" t="s">
        <v>85</v>
      </c>
      <c r="X17" s="100">
        <f t="shared" ref="X17:X22" si="7">IF(W17="V", U17*V17, IF(W17="X", 0, ""))</f>
        <v>11.745</v>
      </c>
      <c r="Y17" s="99"/>
      <c r="Z17" s="2"/>
      <c r="AA17" s="98" t="s">
        <v>33</v>
      </c>
      <c r="AB17" s="2"/>
      <c r="AC17" s="47">
        <v>1.61</v>
      </c>
      <c r="AD17" s="105">
        <v>8.5</v>
      </c>
      <c r="AE17" s="47" t="s">
        <v>86</v>
      </c>
      <c r="AF17" s="100">
        <f t="shared" ref="AF17:AF22" si="8">IF(AE17="V", AC17*AD17, IF(AE17="X", 0, ""))</f>
        <v>0</v>
      </c>
      <c r="AG17" s="99"/>
      <c r="AH17" s="2"/>
      <c r="AI17" s="98" t="s">
        <v>33</v>
      </c>
      <c r="AJ17" s="47" t="s">
        <v>8</v>
      </c>
      <c r="AK17" s="47">
        <v>1.66</v>
      </c>
      <c r="AL17" s="105">
        <v>15.0</v>
      </c>
      <c r="AM17" s="47" t="s">
        <v>86</v>
      </c>
      <c r="AN17" s="100">
        <f t="shared" ref="AN17:AN22" si="9">IF(AM17="V", AK17*AL17, IF(AM17="X", 0, ""))</f>
        <v>0</v>
      </c>
      <c r="AO17" s="99"/>
    </row>
    <row r="18">
      <c r="A18" s="93"/>
      <c r="B18" s="93"/>
      <c r="C18" s="98" t="s">
        <v>36</v>
      </c>
      <c r="D18" s="2" t="s">
        <v>8</v>
      </c>
      <c r="E18" s="2">
        <v>1.69</v>
      </c>
      <c r="F18" s="99">
        <v>5.5</v>
      </c>
      <c r="G18" s="2" t="s">
        <v>85</v>
      </c>
      <c r="H18" s="100">
        <f t="shared" si="6"/>
        <v>9.295</v>
      </c>
      <c r="I18" s="99"/>
      <c r="J18" s="2"/>
      <c r="K18" s="98" t="s">
        <v>36</v>
      </c>
      <c r="L18" s="2" t="s">
        <v>38</v>
      </c>
      <c r="M18" s="2" t="s">
        <v>38</v>
      </c>
      <c r="N18" s="104">
        <v>0.0</v>
      </c>
      <c r="O18" s="2"/>
      <c r="P18" s="100">
        <v>0.0</v>
      </c>
      <c r="Q18" s="99"/>
      <c r="R18" s="2"/>
      <c r="S18" s="98" t="s">
        <v>36</v>
      </c>
      <c r="T18" s="2"/>
      <c r="U18" s="47" t="s">
        <v>38</v>
      </c>
      <c r="V18" s="99"/>
      <c r="W18" s="2"/>
      <c r="X18" s="100" t="str">
        <f t="shared" si="7"/>
        <v/>
      </c>
      <c r="Y18" s="99"/>
      <c r="Z18" s="2"/>
      <c r="AA18" s="98" t="s">
        <v>36</v>
      </c>
      <c r="AB18" s="2"/>
      <c r="AC18" s="47">
        <v>1.665</v>
      </c>
      <c r="AD18" s="105">
        <v>7.5</v>
      </c>
      <c r="AE18" s="47" t="s">
        <v>85</v>
      </c>
      <c r="AF18" s="100">
        <f t="shared" si="8"/>
        <v>12.4875</v>
      </c>
      <c r="AG18" s="99"/>
      <c r="AH18" s="2"/>
      <c r="AI18" s="98" t="s">
        <v>36</v>
      </c>
      <c r="AJ18" s="2"/>
      <c r="AK18" s="2"/>
      <c r="AL18" s="99"/>
      <c r="AM18" s="2"/>
      <c r="AN18" s="100" t="str">
        <f t="shared" si="9"/>
        <v/>
      </c>
      <c r="AO18" s="99"/>
    </row>
    <row r="19">
      <c r="A19" s="93"/>
      <c r="B19" s="93"/>
      <c r="C19" s="98" t="s">
        <v>41</v>
      </c>
      <c r="D19" s="2" t="s">
        <v>42</v>
      </c>
      <c r="E19" s="2">
        <v>1.52</v>
      </c>
      <c r="F19" s="99">
        <v>6.5</v>
      </c>
      <c r="G19" s="2" t="s">
        <v>85</v>
      </c>
      <c r="H19" s="100">
        <f t="shared" si="6"/>
        <v>9.88</v>
      </c>
      <c r="I19" s="99"/>
      <c r="J19" s="2"/>
      <c r="K19" s="98" t="s">
        <v>41</v>
      </c>
      <c r="L19" s="2" t="s">
        <v>38</v>
      </c>
      <c r="M19" s="2" t="s">
        <v>38</v>
      </c>
      <c r="N19" s="104">
        <v>0.0</v>
      </c>
      <c r="O19" s="2"/>
      <c r="P19" s="100">
        <v>0.0</v>
      </c>
      <c r="Q19" s="99"/>
      <c r="R19" s="2"/>
      <c r="S19" s="98" t="s">
        <v>41</v>
      </c>
      <c r="T19" s="2"/>
      <c r="U19" s="47">
        <v>1.64</v>
      </c>
      <c r="V19" s="105">
        <v>7.8</v>
      </c>
      <c r="W19" s="47" t="s">
        <v>85</v>
      </c>
      <c r="X19" s="100">
        <f t="shared" si="7"/>
        <v>12.792</v>
      </c>
      <c r="Y19" s="99"/>
      <c r="Z19" s="2"/>
      <c r="AA19" s="98" t="s">
        <v>41</v>
      </c>
      <c r="AB19" s="2"/>
      <c r="AC19" s="47">
        <v>1.65</v>
      </c>
      <c r="AD19" s="105">
        <v>8.0</v>
      </c>
      <c r="AE19" s="47" t="s">
        <v>86</v>
      </c>
      <c r="AF19" s="100">
        <f t="shared" si="8"/>
        <v>0</v>
      </c>
      <c r="AG19" s="99"/>
      <c r="AH19" s="2"/>
      <c r="AI19" s="98" t="s">
        <v>41</v>
      </c>
      <c r="AJ19" s="2"/>
      <c r="AK19" s="2"/>
      <c r="AL19" s="99"/>
      <c r="AM19" s="2"/>
      <c r="AN19" s="100" t="str">
        <f t="shared" si="9"/>
        <v/>
      </c>
      <c r="AO19" s="99"/>
    </row>
    <row r="20">
      <c r="A20" s="93"/>
      <c r="B20" s="93"/>
      <c r="C20" s="98" t="s">
        <v>44</v>
      </c>
      <c r="D20" s="2" t="s">
        <v>42</v>
      </c>
      <c r="E20" s="2">
        <v>1.43</v>
      </c>
      <c r="F20" s="99">
        <v>7.0</v>
      </c>
      <c r="G20" s="2" t="s">
        <v>85</v>
      </c>
      <c r="H20" s="100">
        <f t="shared" si="6"/>
        <v>10.01</v>
      </c>
      <c r="I20" s="99"/>
      <c r="J20" s="2"/>
      <c r="K20" s="98" t="s">
        <v>44</v>
      </c>
      <c r="L20" s="2" t="s">
        <v>87</v>
      </c>
      <c r="M20" s="2">
        <v>2.01</v>
      </c>
      <c r="N20" s="104">
        <v>5.0</v>
      </c>
      <c r="O20" s="2" t="s">
        <v>86</v>
      </c>
      <c r="P20" s="100">
        <f>IF(O20="V", M20*N20, IF(O20="X", 0, ""))</f>
        <v>0</v>
      </c>
      <c r="Q20" s="99"/>
      <c r="R20" s="2"/>
      <c r="S20" s="98" t="s">
        <v>44</v>
      </c>
      <c r="T20" s="2"/>
      <c r="U20" s="47" t="s">
        <v>38</v>
      </c>
      <c r="V20" s="99"/>
      <c r="W20" s="2"/>
      <c r="X20" s="100" t="str">
        <f t="shared" si="7"/>
        <v/>
      </c>
      <c r="Y20" s="99"/>
      <c r="Z20" s="2"/>
      <c r="AA20" s="98" t="s">
        <v>44</v>
      </c>
      <c r="AB20" s="2"/>
      <c r="AC20" s="2"/>
      <c r="AD20" s="99"/>
      <c r="AE20" s="2"/>
      <c r="AF20" s="100" t="str">
        <f t="shared" si="8"/>
        <v/>
      </c>
      <c r="AG20" s="99"/>
      <c r="AH20" s="2"/>
      <c r="AI20" s="98" t="s">
        <v>44</v>
      </c>
      <c r="AJ20" s="47" t="s">
        <v>8</v>
      </c>
      <c r="AK20" s="47">
        <v>1.62</v>
      </c>
      <c r="AL20" s="105">
        <v>11.5</v>
      </c>
      <c r="AM20" s="2"/>
      <c r="AN20" s="100" t="str">
        <f t="shared" si="9"/>
        <v/>
      </c>
      <c r="AO20" s="99"/>
    </row>
    <row r="21">
      <c r="A21" s="93"/>
      <c r="B21" s="93"/>
      <c r="C21" s="98" t="s">
        <v>46</v>
      </c>
      <c r="D21" s="2" t="s">
        <v>47</v>
      </c>
      <c r="E21" s="2">
        <v>1.62</v>
      </c>
      <c r="F21" s="99">
        <v>6.0</v>
      </c>
      <c r="G21" s="2" t="s">
        <v>86</v>
      </c>
      <c r="H21" s="100">
        <f t="shared" si="6"/>
        <v>0</v>
      </c>
      <c r="I21" s="99"/>
      <c r="J21" s="24"/>
      <c r="K21" s="98" t="s">
        <v>46</v>
      </c>
      <c r="L21" s="2" t="s">
        <v>38</v>
      </c>
      <c r="M21" s="2" t="s">
        <v>38</v>
      </c>
      <c r="N21" s="104">
        <v>0.0</v>
      </c>
      <c r="O21" s="2"/>
      <c r="P21" s="100">
        <v>0.0</v>
      </c>
      <c r="Q21" s="99"/>
      <c r="R21" s="2"/>
      <c r="S21" s="98" t="s">
        <v>46</v>
      </c>
      <c r="T21" s="2"/>
      <c r="U21" s="47">
        <v>1.67</v>
      </c>
      <c r="V21" s="105">
        <v>16.0</v>
      </c>
      <c r="W21" s="47" t="s">
        <v>85</v>
      </c>
      <c r="X21" s="100">
        <f t="shared" si="7"/>
        <v>26.72</v>
      </c>
      <c r="Y21" s="99"/>
      <c r="Z21" s="2"/>
      <c r="AA21" s="98" t="s">
        <v>46</v>
      </c>
      <c r="AB21" s="2"/>
      <c r="AC21" s="47">
        <v>1.64</v>
      </c>
      <c r="AD21" s="105">
        <v>8.0</v>
      </c>
      <c r="AE21" s="47" t="s">
        <v>85</v>
      </c>
      <c r="AF21" s="100">
        <f t="shared" si="8"/>
        <v>13.12</v>
      </c>
      <c r="AG21" s="99"/>
      <c r="AH21" s="2"/>
      <c r="AI21" s="98" t="s">
        <v>46</v>
      </c>
      <c r="AJ21" s="47" t="s">
        <v>12</v>
      </c>
      <c r="AK21" s="47">
        <v>1.78</v>
      </c>
      <c r="AL21" s="105">
        <v>6.5</v>
      </c>
      <c r="AM21" s="2"/>
      <c r="AN21" s="100" t="str">
        <f t="shared" si="9"/>
        <v/>
      </c>
      <c r="AO21" s="99"/>
    </row>
    <row r="22" ht="15.75" customHeight="1">
      <c r="A22" s="93"/>
      <c r="B22" s="93"/>
      <c r="C22" s="98" t="s">
        <v>50</v>
      </c>
      <c r="D22" s="2" t="s">
        <v>37</v>
      </c>
      <c r="E22" s="2">
        <v>1.62</v>
      </c>
      <c r="F22" s="99">
        <v>6.0</v>
      </c>
      <c r="G22" s="2" t="s">
        <v>85</v>
      </c>
      <c r="H22" s="100">
        <f t="shared" si="6"/>
        <v>9.72</v>
      </c>
      <c r="I22" s="99"/>
      <c r="J22" s="2"/>
      <c r="K22" s="98" t="s">
        <v>50</v>
      </c>
      <c r="L22" s="2" t="s">
        <v>38</v>
      </c>
      <c r="M22" s="2" t="s">
        <v>38</v>
      </c>
      <c r="N22" s="104">
        <v>0.0</v>
      </c>
      <c r="O22" s="2"/>
      <c r="P22" s="100">
        <v>0.0</v>
      </c>
      <c r="Q22" s="99"/>
      <c r="R22" s="2"/>
      <c r="S22" s="98" t="s">
        <v>50</v>
      </c>
      <c r="T22" s="2"/>
      <c r="U22" s="47">
        <v>1.65</v>
      </c>
      <c r="V22" s="105">
        <v>8.0</v>
      </c>
      <c r="W22" s="47" t="s">
        <v>86</v>
      </c>
      <c r="X22" s="100">
        <f t="shared" si="7"/>
        <v>0</v>
      </c>
      <c r="Y22" s="99"/>
      <c r="Z22" s="2"/>
      <c r="AA22" s="98" t="s">
        <v>50</v>
      </c>
      <c r="AB22" s="2"/>
      <c r="AC22" s="47">
        <v>1.54</v>
      </c>
      <c r="AD22" s="105">
        <v>9.5</v>
      </c>
      <c r="AE22" s="47" t="s">
        <v>86</v>
      </c>
      <c r="AF22" s="100">
        <f t="shared" si="8"/>
        <v>0</v>
      </c>
      <c r="AG22" s="99"/>
      <c r="AH22" s="2"/>
      <c r="AI22" s="98" t="s">
        <v>50</v>
      </c>
      <c r="AJ22" s="47" t="s">
        <v>8</v>
      </c>
      <c r="AK22" s="47">
        <v>1.63</v>
      </c>
      <c r="AL22" s="105">
        <v>25.0</v>
      </c>
      <c r="AM22" s="47" t="s">
        <v>85</v>
      </c>
      <c r="AN22" s="100">
        <f t="shared" si="9"/>
        <v>40.75</v>
      </c>
      <c r="AO22" s="99"/>
    </row>
    <row r="23" ht="15.75" customHeight="1">
      <c r="A23" s="93"/>
      <c r="B23" s="93"/>
      <c r="C23" s="98" t="s">
        <v>52</v>
      </c>
      <c r="D23" s="2" t="s">
        <v>38</v>
      </c>
      <c r="E23" s="2" t="s">
        <v>38</v>
      </c>
      <c r="F23" s="99">
        <v>0.0</v>
      </c>
      <c r="G23" s="2"/>
      <c r="H23" s="100"/>
      <c r="I23" s="99"/>
      <c r="J23" s="2"/>
      <c r="K23" s="98" t="s">
        <v>52</v>
      </c>
      <c r="L23" s="2" t="s">
        <v>8</v>
      </c>
      <c r="M23" s="2">
        <v>1.67</v>
      </c>
      <c r="N23" s="104">
        <v>7.5</v>
      </c>
      <c r="O23" s="2" t="s">
        <v>85</v>
      </c>
      <c r="P23" s="100">
        <f t="shared" ref="P23:P24" si="10">IF(O23="V", M23*N23, IF(O23="X", 0, ""))</f>
        <v>12.525</v>
      </c>
      <c r="Q23" s="99"/>
      <c r="R23" s="2"/>
      <c r="S23" s="98" t="s">
        <v>52</v>
      </c>
      <c r="T23" s="2"/>
      <c r="U23" s="47" t="s">
        <v>38</v>
      </c>
      <c r="V23" s="99"/>
      <c r="W23" s="2"/>
      <c r="X23" s="100"/>
      <c r="Y23" s="99"/>
      <c r="Z23" s="2"/>
      <c r="AA23" s="98" t="s">
        <v>52</v>
      </c>
      <c r="AB23" s="2"/>
      <c r="AC23" s="2"/>
      <c r="AD23" s="99"/>
      <c r="AE23" s="2"/>
      <c r="AF23" s="100"/>
      <c r="AG23" s="99"/>
      <c r="AH23" s="2"/>
      <c r="AI23" s="98" t="s">
        <v>52</v>
      </c>
      <c r="AJ23" s="2"/>
      <c r="AK23" s="47" t="s">
        <v>38</v>
      </c>
      <c r="AL23" s="105"/>
      <c r="AM23" s="2"/>
      <c r="AN23" s="106">
        <v>0.0</v>
      </c>
      <c r="AO23" s="99"/>
    </row>
    <row r="24" ht="15.75" customHeight="1">
      <c r="A24" s="93"/>
      <c r="B24" s="93"/>
      <c r="C24" s="98" t="s">
        <v>53</v>
      </c>
      <c r="D24" s="2" t="s">
        <v>11</v>
      </c>
      <c r="E24" s="2">
        <v>1.39</v>
      </c>
      <c r="F24" s="99">
        <v>7.0</v>
      </c>
      <c r="G24" s="2" t="s">
        <v>85</v>
      </c>
      <c r="H24" s="100">
        <f t="shared" ref="H24:H25" si="11">IF(G24="V", E24*F24, IF(G24="X", 0, ""))</f>
        <v>9.73</v>
      </c>
      <c r="I24" s="99"/>
      <c r="J24" s="2"/>
      <c r="K24" s="98" t="s">
        <v>53</v>
      </c>
      <c r="L24" s="2" t="s">
        <v>8</v>
      </c>
      <c r="M24" s="2">
        <v>1.66</v>
      </c>
      <c r="N24" s="104">
        <v>7.5</v>
      </c>
      <c r="O24" s="2" t="s">
        <v>86</v>
      </c>
      <c r="P24" s="100">
        <f t="shared" si="10"/>
        <v>0</v>
      </c>
      <c r="Q24" s="99"/>
      <c r="R24" s="2"/>
      <c r="S24" s="98" t="s">
        <v>53</v>
      </c>
      <c r="T24" s="2"/>
      <c r="U24" s="47">
        <v>1.66</v>
      </c>
      <c r="V24" s="105">
        <v>7.55</v>
      </c>
      <c r="W24" s="47" t="s">
        <v>85</v>
      </c>
      <c r="X24" s="100">
        <f t="shared" ref="X24:X25" si="12">IF(W24="V", U24*V24, IF(W24="X", 0, ""))</f>
        <v>12.533</v>
      </c>
      <c r="Y24" s="99"/>
      <c r="Z24" s="2"/>
      <c r="AA24" s="98" t="s">
        <v>53</v>
      </c>
      <c r="AB24" s="2"/>
      <c r="AC24" s="2"/>
      <c r="AD24" s="99"/>
      <c r="AE24" s="2"/>
      <c r="AF24" s="100" t="str">
        <f t="shared" ref="AF24:AF25" si="13">IF(AE24="V", AC24*AD24, IF(AE24="X", 0, ""))</f>
        <v/>
      </c>
      <c r="AG24" s="99"/>
      <c r="AH24" s="2"/>
      <c r="AI24" s="98" t="s">
        <v>53</v>
      </c>
      <c r="AJ24" s="2"/>
      <c r="AK24" s="47" t="s">
        <v>38</v>
      </c>
      <c r="AL24" s="105"/>
      <c r="AM24" s="2"/>
      <c r="AN24" s="106">
        <v>0.0</v>
      </c>
      <c r="AO24" s="99"/>
    </row>
    <row r="25" ht="15.75" customHeight="1">
      <c r="A25" s="93"/>
      <c r="B25" s="93"/>
      <c r="C25" s="101" t="s">
        <v>54</v>
      </c>
      <c r="D25" s="43" t="s">
        <v>88</v>
      </c>
      <c r="E25" s="43">
        <v>1.48</v>
      </c>
      <c r="F25" s="99">
        <v>7.0</v>
      </c>
      <c r="G25" s="2" t="s">
        <v>86</v>
      </c>
      <c r="H25" s="100">
        <f t="shared" si="11"/>
        <v>0</v>
      </c>
      <c r="I25" s="24" t="s">
        <v>79</v>
      </c>
      <c r="J25" s="2"/>
      <c r="K25" s="101" t="s">
        <v>54</v>
      </c>
      <c r="L25" s="43" t="s">
        <v>38</v>
      </c>
      <c r="M25" s="43" t="s">
        <v>38</v>
      </c>
      <c r="N25" s="104">
        <v>0.0</v>
      </c>
      <c r="O25" s="2"/>
      <c r="P25" s="100">
        <v>0.0</v>
      </c>
      <c r="Q25" s="24" t="s">
        <v>79</v>
      </c>
      <c r="R25" s="2"/>
      <c r="S25" s="101" t="s">
        <v>54</v>
      </c>
      <c r="T25" s="43"/>
      <c r="U25" s="85">
        <v>1.63</v>
      </c>
      <c r="V25" s="105">
        <v>16.0</v>
      </c>
      <c r="W25" s="47" t="s">
        <v>85</v>
      </c>
      <c r="X25" s="100">
        <f t="shared" si="12"/>
        <v>26.08</v>
      </c>
      <c r="Y25" s="24" t="s">
        <v>79</v>
      </c>
      <c r="Z25" s="2"/>
      <c r="AA25" s="101" t="s">
        <v>54</v>
      </c>
      <c r="AB25" s="43"/>
      <c r="AC25" s="43"/>
      <c r="AD25" s="99"/>
      <c r="AE25" s="2"/>
      <c r="AF25" s="100" t="str">
        <f t="shared" si="13"/>
        <v/>
      </c>
      <c r="AG25" s="24" t="s">
        <v>79</v>
      </c>
      <c r="AH25" s="2"/>
      <c r="AI25" s="101" t="s">
        <v>54</v>
      </c>
      <c r="AJ25" s="85" t="s">
        <v>8</v>
      </c>
      <c r="AK25" s="85">
        <v>1.63</v>
      </c>
      <c r="AL25" s="105">
        <v>8.0</v>
      </c>
      <c r="AM25" s="2"/>
      <c r="AN25" s="100" t="str">
        <f>IF(AM25="V", AK25*AL25, IF(AM25="X", 0, ""))</f>
        <v/>
      </c>
      <c r="AO25" s="24" t="s">
        <v>79</v>
      </c>
    </row>
    <row r="26" ht="15.75" customHeight="1">
      <c r="A26" s="93"/>
      <c r="B26" s="93"/>
      <c r="C26" s="92"/>
      <c r="D26" s="2"/>
      <c r="E26" s="2"/>
      <c r="F26" s="107">
        <f>SUM(F17:F25)</f>
        <v>52</v>
      </c>
      <c r="G26" s="108"/>
      <c r="H26" s="109">
        <f>SUM(H17:H25)</f>
        <v>58.645</v>
      </c>
      <c r="I26" s="110">
        <f>IF(H26=-F26, H26, IF(H26&gt;0, H26-F26, H26+F26))</f>
        <v>6.645</v>
      </c>
      <c r="J26" s="2"/>
      <c r="K26" s="92"/>
      <c r="L26" s="2"/>
      <c r="M26" s="2"/>
      <c r="N26" s="107">
        <f>SUM(N17:N25)</f>
        <v>28</v>
      </c>
      <c r="O26" s="108"/>
      <c r="P26" s="109">
        <f>SUM(P17:P25)</f>
        <v>25.485</v>
      </c>
      <c r="Q26" s="110">
        <f>IF(P26=-N26, P26, IF(P26&gt;0, P26-N26, P26+N26))</f>
        <v>-2.515</v>
      </c>
      <c r="R26" s="2"/>
      <c r="S26" s="92"/>
      <c r="T26" s="2"/>
      <c r="U26" s="2"/>
      <c r="V26" s="107">
        <f>SUM(V17:V25)</f>
        <v>62.1</v>
      </c>
      <c r="W26" s="108"/>
      <c r="X26" s="109">
        <f>SUM(X17:X25)</f>
        <v>89.87</v>
      </c>
      <c r="Y26" s="110">
        <f>IF(X26=-V26, X26, IF(X26&gt;0, X26-V26, X26+V26))</f>
        <v>27.77</v>
      </c>
      <c r="Z26" s="2"/>
      <c r="AA26" s="92"/>
      <c r="AB26" s="2"/>
      <c r="AC26" s="2"/>
      <c r="AD26" s="107">
        <f>SUM(AD17:AD25)</f>
        <v>41.5</v>
      </c>
      <c r="AE26" s="108"/>
      <c r="AF26" s="109">
        <f>SUM(AF17:AF25)</f>
        <v>25.6075</v>
      </c>
      <c r="AG26" s="110">
        <f>IF(AF26=-AD26, AF26, IF(AF26&gt;0, AF26-AD26, AF26+AD26))</f>
        <v>-15.8925</v>
      </c>
      <c r="AH26" s="2"/>
      <c r="AI26" s="92"/>
      <c r="AJ26" s="2"/>
      <c r="AK26" s="2"/>
      <c r="AL26" s="107">
        <f>SUM(AL17:AL25)</f>
        <v>66</v>
      </c>
      <c r="AM26" s="108"/>
      <c r="AN26" s="109">
        <f>SUM(AN17:AN25)</f>
        <v>40.75</v>
      </c>
      <c r="AO26" s="110">
        <f>IF(AN26=-AL26, AN26, IF(AN26&gt;0, AN26-AL26, AN26+AL26))</f>
        <v>-25.25</v>
      </c>
    </row>
    <row r="27" ht="15.75" customHeight="1">
      <c r="A27" s="93"/>
      <c r="B27" s="9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93"/>
      <c r="AN27" s="93"/>
      <c r="AO27" s="93"/>
    </row>
    <row r="28" ht="15.75" customHeight="1">
      <c r="A28" s="93"/>
      <c r="B28" s="9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93"/>
      <c r="AN28" s="93"/>
      <c r="AO28" s="93"/>
    </row>
    <row r="29" ht="15.75" customHeight="1">
      <c r="A29" s="93"/>
      <c r="B29" s="93"/>
      <c r="C29" s="77" t="s">
        <v>57</v>
      </c>
      <c r="D29" s="5"/>
      <c r="E29" s="5"/>
      <c r="F29" s="5"/>
      <c r="G29" s="5"/>
      <c r="H29" s="51"/>
      <c r="I29" s="93"/>
      <c r="J29" s="2"/>
      <c r="K29" s="77" t="s">
        <v>58</v>
      </c>
      <c r="L29" s="5"/>
      <c r="M29" s="5"/>
      <c r="N29" s="5"/>
      <c r="O29" s="5"/>
      <c r="P29" s="51"/>
      <c r="Q29" s="93"/>
      <c r="R29" s="2"/>
      <c r="S29" s="77" t="s">
        <v>59</v>
      </c>
      <c r="T29" s="5"/>
      <c r="U29" s="5"/>
      <c r="V29" s="5"/>
      <c r="W29" s="5"/>
      <c r="X29" s="51"/>
      <c r="Y29" s="93"/>
      <c r="Z29" s="2"/>
      <c r="AA29" s="77" t="s">
        <v>60</v>
      </c>
      <c r="AB29" s="5"/>
      <c r="AC29" s="5"/>
      <c r="AD29" s="5"/>
      <c r="AE29" s="5"/>
      <c r="AF29" s="51"/>
      <c r="AG29" s="93"/>
      <c r="AH29" s="2"/>
      <c r="AI29" s="77" t="s">
        <v>61</v>
      </c>
      <c r="AJ29" s="5"/>
      <c r="AK29" s="5"/>
      <c r="AL29" s="5"/>
      <c r="AM29" s="5"/>
      <c r="AN29" s="51"/>
      <c r="AO29" s="93"/>
    </row>
    <row r="30" ht="15.75" customHeight="1">
      <c r="A30" s="93"/>
      <c r="B30" s="93"/>
      <c r="C30" s="78"/>
      <c r="D30" s="79" t="s">
        <v>80</v>
      </c>
      <c r="E30" s="79" t="s">
        <v>81</v>
      </c>
      <c r="F30" s="79" t="s">
        <v>82</v>
      </c>
      <c r="G30" s="79" t="s">
        <v>83</v>
      </c>
      <c r="H30" s="80" t="s">
        <v>84</v>
      </c>
      <c r="I30" s="93"/>
      <c r="J30" s="2"/>
      <c r="K30" s="78"/>
      <c r="L30" s="79" t="s">
        <v>80</v>
      </c>
      <c r="M30" s="79" t="s">
        <v>81</v>
      </c>
      <c r="N30" s="79" t="s">
        <v>82</v>
      </c>
      <c r="O30" s="79" t="s">
        <v>83</v>
      </c>
      <c r="P30" s="80" t="s">
        <v>84</v>
      </c>
      <c r="Q30" s="93"/>
      <c r="R30" s="2"/>
      <c r="S30" s="78"/>
      <c r="T30" s="79" t="s">
        <v>80</v>
      </c>
      <c r="U30" s="79" t="s">
        <v>81</v>
      </c>
      <c r="V30" s="79" t="s">
        <v>82</v>
      </c>
      <c r="W30" s="79" t="s">
        <v>83</v>
      </c>
      <c r="X30" s="80" t="s">
        <v>84</v>
      </c>
      <c r="Y30" s="93"/>
      <c r="Z30" s="2"/>
      <c r="AA30" s="78"/>
      <c r="AB30" s="79" t="s">
        <v>80</v>
      </c>
      <c r="AC30" s="79" t="s">
        <v>81</v>
      </c>
      <c r="AD30" s="79" t="s">
        <v>82</v>
      </c>
      <c r="AE30" s="79" t="s">
        <v>83</v>
      </c>
      <c r="AF30" s="80" t="s">
        <v>84</v>
      </c>
      <c r="AG30" s="93"/>
      <c r="AH30" s="2"/>
      <c r="AI30" s="78"/>
      <c r="AJ30" s="79" t="s">
        <v>80</v>
      </c>
      <c r="AK30" s="79" t="s">
        <v>81</v>
      </c>
      <c r="AL30" s="79" t="s">
        <v>82</v>
      </c>
      <c r="AM30" s="79" t="s">
        <v>83</v>
      </c>
      <c r="AN30" s="80" t="s">
        <v>84</v>
      </c>
      <c r="AO30" s="93"/>
    </row>
    <row r="31" ht="15.75" customHeight="1">
      <c r="A31" s="93"/>
      <c r="B31" s="93"/>
      <c r="C31" s="98" t="s">
        <v>33</v>
      </c>
      <c r="D31" s="2"/>
      <c r="E31" s="2"/>
      <c r="F31" s="99"/>
      <c r="G31" s="2"/>
      <c r="H31" s="100"/>
      <c r="I31" s="99"/>
      <c r="J31" s="2"/>
      <c r="K31" s="98" t="s">
        <v>33</v>
      </c>
      <c r="L31" s="2"/>
      <c r="M31" s="2"/>
      <c r="N31" s="99"/>
      <c r="O31" s="2"/>
      <c r="P31" s="100"/>
      <c r="Q31" s="99"/>
      <c r="R31" s="2"/>
      <c r="S31" s="98" t="s">
        <v>33</v>
      </c>
      <c r="T31" s="2"/>
      <c r="U31" s="2"/>
      <c r="V31" s="99"/>
      <c r="W31" s="2"/>
      <c r="X31" s="100"/>
      <c r="Y31" s="99"/>
      <c r="Z31" s="2"/>
      <c r="AA31" s="98" t="s">
        <v>33</v>
      </c>
      <c r="AB31" s="2"/>
      <c r="AC31" s="2"/>
      <c r="AD31" s="99"/>
      <c r="AE31" s="2"/>
      <c r="AF31" s="100"/>
      <c r="AG31" s="99"/>
      <c r="AH31" s="2"/>
      <c r="AI31" s="98" t="s">
        <v>33</v>
      </c>
      <c r="AJ31" s="2"/>
      <c r="AK31" s="2"/>
      <c r="AL31" s="99"/>
      <c r="AM31" s="2"/>
      <c r="AN31" s="100"/>
      <c r="AO31" s="99"/>
    </row>
    <row r="32" ht="15.75" customHeight="1">
      <c r="A32" s="93"/>
      <c r="B32" s="93"/>
      <c r="C32" s="98" t="s">
        <v>36</v>
      </c>
      <c r="D32" s="2"/>
      <c r="E32" s="2"/>
      <c r="F32" s="99"/>
      <c r="G32" s="2"/>
      <c r="H32" s="100"/>
      <c r="I32" s="99"/>
      <c r="J32" s="2"/>
      <c r="K32" s="98" t="s">
        <v>36</v>
      </c>
      <c r="L32" s="2"/>
      <c r="M32" s="2"/>
      <c r="N32" s="99"/>
      <c r="O32" s="2"/>
      <c r="P32" s="100"/>
      <c r="Q32" s="99"/>
      <c r="R32" s="2"/>
      <c r="S32" s="98" t="s">
        <v>36</v>
      </c>
      <c r="T32" s="2"/>
      <c r="U32" s="2"/>
      <c r="V32" s="99"/>
      <c r="W32" s="2"/>
      <c r="X32" s="100"/>
      <c r="Y32" s="99"/>
      <c r="Z32" s="2"/>
      <c r="AA32" s="98" t="s">
        <v>36</v>
      </c>
      <c r="AB32" s="2"/>
      <c r="AC32" s="2"/>
      <c r="AD32" s="99"/>
      <c r="AE32" s="2"/>
      <c r="AF32" s="100"/>
      <c r="AG32" s="99"/>
      <c r="AH32" s="2"/>
      <c r="AI32" s="98" t="s">
        <v>36</v>
      </c>
      <c r="AJ32" s="2"/>
      <c r="AK32" s="2"/>
      <c r="AL32" s="99"/>
      <c r="AM32" s="2"/>
      <c r="AN32" s="100"/>
      <c r="AO32" s="99"/>
    </row>
    <row r="33" ht="15.75" customHeight="1">
      <c r="A33" s="93"/>
      <c r="B33" s="93"/>
      <c r="C33" s="98" t="s">
        <v>41</v>
      </c>
      <c r="D33" s="2"/>
      <c r="E33" s="2"/>
      <c r="F33" s="99"/>
      <c r="G33" s="2"/>
      <c r="H33" s="100"/>
      <c r="I33" s="99"/>
      <c r="J33" s="2"/>
      <c r="K33" s="98" t="s">
        <v>41</v>
      </c>
      <c r="L33" s="2"/>
      <c r="M33" s="2"/>
      <c r="N33" s="99"/>
      <c r="O33" s="2"/>
      <c r="P33" s="100"/>
      <c r="Q33" s="99"/>
      <c r="R33" s="2"/>
      <c r="S33" s="98" t="s">
        <v>41</v>
      </c>
      <c r="T33" s="2"/>
      <c r="U33" s="2"/>
      <c r="V33" s="99"/>
      <c r="W33" s="2"/>
      <c r="X33" s="100"/>
      <c r="Y33" s="99"/>
      <c r="Z33" s="2"/>
      <c r="AA33" s="98" t="s">
        <v>41</v>
      </c>
      <c r="AB33" s="2"/>
      <c r="AC33" s="2"/>
      <c r="AD33" s="99"/>
      <c r="AE33" s="2"/>
      <c r="AF33" s="100"/>
      <c r="AG33" s="99"/>
      <c r="AH33" s="2"/>
      <c r="AI33" s="98" t="s">
        <v>41</v>
      </c>
      <c r="AJ33" s="2"/>
      <c r="AK33" s="2"/>
      <c r="AL33" s="99"/>
      <c r="AM33" s="2"/>
      <c r="AN33" s="100"/>
      <c r="AO33" s="99"/>
    </row>
    <row r="34" ht="15.75" customHeight="1">
      <c r="A34" s="93"/>
      <c r="B34" s="93"/>
      <c r="C34" s="98" t="s">
        <v>44</v>
      </c>
      <c r="D34" s="2"/>
      <c r="E34" s="2"/>
      <c r="F34" s="99"/>
      <c r="G34" s="2"/>
      <c r="H34" s="100"/>
      <c r="I34" s="99"/>
      <c r="J34" s="2"/>
      <c r="K34" s="98" t="s">
        <v>44</v>
      </c>
      <c r="L34" s="2"/>
      <c r="M34" s="2"/>
      <c r="N34" s="99"/>
      <c r="O34" s="2"/>
      <c r="P34" s="100"/>
      <c r="Q34" s="99"/>
      <c r="R34" s="2"/>
      <c r="S34" s="98" t="s">
        <v>44</v>
      </c>
      <c r="T34" s="2"/>
      <c r="U34" s="2"/>
      <c r="V34" s="99"/>
      <c r="W34" s="2"/>
      <c r="X34" s="100"/>
      <c r="Y34" s="99"/>
      <c r="Z34" s="2"/>
      <c r="AA34" s="98" t="s">
        <v>44</v>
      </c>
      <c r="AB34" s="2"/>
      <c r="AC34" s="2"/>
      <c r="AD34" s="99"/>
      <c r="AE34" s="2"/>
      <c r="AF34" s="100"/>
      <c r="AG34" s="99"/>
      <c r="AH34" s="2"/>
      <c r="AI34" s="98" t="s">
        <v>44</v>
      </c>
      <c r="AJ34" s="2"/>
      <c r="AK34" s="2"/>
      <c r="AL34" s="99"/>
      <c r="AM34" s="2"/>
      <c r="AN34" s="100"/>
      <c r="AO34" s="99"/>
    </row>
    <row r="35" ht="15.75" customHeight="1">
      <c r="A35" s="93"/>
      <c r="B35" s="93"/>
      <c r="C35" s="98" t="s">
        <v>46</v>
      </c>
      <c r="D35" s="2"/>
      <c r="E35" s="2"/>
      <c r="F35" s="99"/>
      <c r="G35" s="2"/>
      <c r="H35" s="100"/>
      <c r="I35" s="99"/>
      <c r="J35" s="24"/>
      <c r="K35" s="98" t="s">
        <v>46</v>
      </c>
      <c r="L35" s="2"/>
      <c r="M35" s="2"/>
      <c r="N35" s="99"/>
      <c r="O35" s="2"/>
      <c r="P35" s="100"/>
      <c r="Q35" s="99"/>
      <c r="R35" s="2"/>
      <c r="S35" s="98" t="s">
        <v>46</v>
      </c>
      <c r="T35" s="2"/>
      <c r="U35" s="2"/>
      <c r="V35" s="99"/>
      <c r="W35" s="2"/>
      <c r="X35" s="100"/>
      <c r="Y35" s="99"/>
      <c r="Z35" s="2"/>
      <c r="AA35" s="98" t="s">
        <v>46</v>
      </c>
      <c r="AB35" s="2"/>
      <c r="AC35" s="2"/>
      <c r="AD35" s="99"/>
      <c r="AE35" s="2"/>
      <c r="AF35" s="100"/>
      <c r="AG35" s="99"/>
      <c r="AH35" s="2"/>
      <c r="AI35" s="98" t="s">
        <v>46</v>
      </c>
      <c r="AJ35" s="2"/>
      <c r="AK35" s="2"/>
      <c r="AL35" s="99"/>
      <c r="AM35" s="2"/>
      <c r="AN35" s="100"/>
      <c r="AO35" s="99"/>
    </row>
    <row r="36" ht="15.75" customHeight="1">
      <c r="A36" s="93"/>
      <c r="B36" s="93"/>
      <c r="C36" s="98" t="s">
        <v>50</v>
      </c>
      <c r="D36" s="2"/>
      <c r="E36" s="2"/>
      <c r="F36" s="99"/>
      <c r="G36" s="2"/>
      <c r="H36" s="100"/>
      <c r="I36" s="99"/>
      <c r="J36" s="2"/>
      <c r="K36" s="98" t="s">
        <v>50</v>
      </c>
      <c r="L36" s="2"/>
      <c r="M36" s="2"/>
      <c r="N36" s="99"/>
      <c r="O36" s="2"/>
      <c r="P36" s="100"/>
      <c r="Q36" s="99"/>
      <c r="R36" s="2"/>
      <c r="S36" s="98" t="s">
        <v>50</v>
      </c>
      <c r="T36" s="2"/>
      <c r="U36" s="2"/>
      <c r="V36" s="99"/>
      <c r="W36" s="2"/>
      <c r="X36" s="100"/>
      <c r="Y36" s="99"/>
      <c r="Z36" s="2"/>
      <c r="AA36" s="98" t="s">
        <v>50</v>
      </c>
      <c r="AB36" s="2"/>
      <c r="AC36" s="2"/>
      <c r="AD36" s="99"/>
      <c r="AE36" s="2"/>
      <c r="AF36" s="100"/>
      <c r="AG36" s="99"/>
      <c r="AH36" s="2"/>
      <c r="AI36" s="98" t="s">
        <v>50</v>
      </c>
      <c r="AJ36" s="2"/>
      <c r="AK36" s="2"/>
      <c r="AL36" s="99"/>
      <c r="AM36" s="2"/>
      <c r="AN36" s="100"/>
      <c r="AO36" s="99"/>
    </row>
    <row r="37" ht="15.75" customHeight="1">
      <c r="A37" s="93"/>
      <c r="B37" s="93"/>
      <c r="C37" s="98" t="s">
        <v>52</v>
      </c>
      <c r="D37" s="2"/>
      <c r="E37" s="2"/>
      <c r="F37" s="99"/>
      <c r="G37" s="2"/>
      <c r="H37" s="100"/>
      <c r="I37" s="99"/>
      <c r="J37" s="2"/>
      <c r="K37" s="98" t="s">
        <v>52</v>
      </c>
      <c r="L37" s="2"/>
      <c r="M37" s="2"/>
      <c r="N37" s="99"/>
      <c r="O37" s="2"/>
      <c r="P37" s="100"/>
      <c r="Q37" s="99"/>
      <c r="R37" s="2"/>
      <c r="S37" s="98" t="s">
        <v>52</v>
      </c>
      <c r="T37" s="2"/>
      <c r="U37" s="2"/>
      <c r="V37" s="99"/>
      <c r="W37" s="2"/>
      <c r="X37" s="100"/>
      <c r="Y37" s="99"/>
      <c r="Z37" s="2"/>
      <c r="AA37" s="98" t="s">
        <v>52</v>
      </c>
      <c r="AB37" s="2"/>
      <c r="AC37" s="2"/>
      <c r="AD37" s="99"/>
      <c r="AE37" s="2"/>
      <c r="AF37" s="100"/>
      <c r="AG37" s="99"/>
      <c r="AH37" s="2"/>
      <c r="AI37" s="98" t="s">
        <v>52</v>
      </c>
      <c r="AJ37" s="2"/>
      <c r="AK37" s="2"/>
      <c r="AL37" s="99"/>
      <c r="AM37" s="2"/>
      <c r="AN37" s="100"/>
      <c r="AO37" s="99"/>
    </row>
    <row r="38" ht="15.75" customHeight="1">
      <c r="A38" s="93"/>
      <c r="B38" s="93"/>
      <c r="C38" s="98" t="s">
        <v>53</v>
      </c>
      <c r="D38" s="2"/>
      <c r="E38" s="2"/>
      <c r="F38" s="99"/>
      <c r="G38" s="2"/>
      <c r="H38" s="100"/>
      <c r="I38" s="99"/>
      <c r="J38" s="2"/>
      <c r="K38" s="98" t="s">
        <v>53</v>
      </c>
      <c r="L38" s="2"/>
      <c r="M38" s="2"/>
      <c r="N38" s="99"/>
      <c r="O38" s="2"/>
      <c r="P38" s="100"/>
      <c r="Q38" s="99"/>
      <c r="R38" s="2"/>
      <c r="S38" s="98" t="s">
        <v>53</v>
      </c>
      <c r="T38" s="2"/>
      <c r="U38" s="2"/>
      <c r="V38" s="99"/>
      <c r="W38" s="2"/>
      <c r="X38" s="100"/>
      <c r="Y38" s="99"/>
      <c r="Z38" s="2"/>
      <c r="AA38" s="98" t="s">
        <v>53</v>
      </c>
      <c r="AB38" s="2"/>
      <c r="AC38" s="2"/>
      <c r="AD38" s="99"/>
      <c r="AE38" s="2"/>
      <c r="AF38" s="100"/>
      <c r="AG38" s="99"/>
      <c r="AH38" s="2"/>
      <c r="AI38" s="98" t="s">
        <v>53</v>
      </c>
      <c r="AJ38" s="2"/>
      <c r="AK38" s="2"/>
      <c r="AL38" s="99"/>
      <c r="AM38" s="2"/>
      <c r="AN38" s="100"/>
      <c r="AO38" s="99"/>
    </row>
    <row r="39" ht="15.75" customHeight="1">
      <c r="A39" s="93"/>
      <c r="B39" s="93"/>
      <c r="C39" s="101" t="s">
        <v>54</v>
      </c>
      <c r="D39" s="43"/>
      <c r="E39" s="43"/>
      <c r="F39" s="99"/>
      <c r="G39" s="2"/>
      <c r="H39" s="100"/>
      <c r="I39" s="24" t="s">
        <v>79</v>
      </c>
      <c r="J39" s="2"/>
      <c r="K39" s="101" t="s">
        <v>54</v>
      </c>
      <c r="L39" s="43"/>
      <c r="M39" s="43"/>
      <c r="N39" s="99"/>
      <c r="O39" s="2"/>
      <c r="P39" s="100"/>
      <c r="Q39" s="24" t="s">
        <v>79</v>
      </c>
      <c r="R39" s="2"/>
      <c r="S39" s="101" t="s">
        <v>54</v>
      </c>
      <c r="T39" s="43"/>
      <c r="U39" s="43"/>
      <c r="V39" s="99"/>
      <c r="W39" s="2"/>
      <c r="X39" s="100"/>
      <c r="Y39" s="24" t="s">
        <v>79</v>
      </c>
      <c r="Z39" s="2"/>
      <c r="AA39" s="101" t="s">
        <v>54</v>
      </c>
      <c r="AB39" s="43"/>
      <c r="AC39" s="43"/>
      <c r="AD39" s="99"/>
      <c r="AE39" s="2"/>
      <c r="AF39" s="100"/>
      <c r="AG39" s="24" t="s">
        <v>79</v>
      </c>
      <c r="AH39" s="2"/>
      <c r="AI39" s="101" t="s">
        <v>54</v>
      </c>
      <c r="AJ39" s="43"/>
      <c r="AK39" s="43"/>
      <c r="AL39" s="99"/>
      <c r="AM39" s="2"/>
      <c r="AN39" s="100"/>
      <c r="AO39" s="24" t="s">
        <v>79</v>
      </c>
    </row>
    <row r="40" ht="15.75" customHeight="1">
      <c r="A40" s="93"/>
      <c r="B40" s="93"/>
      <c r="C40" s="92"/>
      <c r="D40" s="2"/>
      <c r="E40" s="2"/>
      <c r="F40" s="107">
        <f>SUM(F31:F39)</f>
        <v>0</v>
      </c>
      <c r="G40" s="108"/>
      <c r="H40" s="109">
        <f>SUM(H31:H39)</f>
        <v>0</v>
      </c>
      <c r="I40" s="110">
        <f>IF(H40=-F40, H40, IF(H40&gt;0, H40-F40, H40+F40))</f>
        <v>0</v>
      </c>
      <c r="J40" s="2"/>
      <c r="K40" s="92"/>
      <c r="L40" s="2"/>
      <c r="M40" s="2"/>
      <c r="N40" s="107">
        <f>SUM(N31:N39)</f>
        <v>0</v>
      </c>
      <c r="O40" s="108"/>
      <c r="P40" s="109">
        <f>SUM(P31:P39)</f>
        <v>0</v>
      </c>
      <c r="Q40" s="110">
        <f>IF(P40=-N40, P40, IF(P40&gt;0, P40-N40, P40+N40))</f>
        <v>0</v>
      </c>
      <c r="R40" s="2"/>
      <c r="S40" s="92"/>
      <c r="T40" s="2"/>
      <c r="U40" s="2"/>
      <c r="V40" s="107">
        <f>SUM(V31:V39)</f>
        <v>0</v>
      </c>
      <c r="W40" s="108"/>
      <c r="X40" s="109">
        <f>SUM(X31:X39)</f>
        <v>0</v>
      </c>
      <c r="Y40" s="110">
        <f>IF(X40=-V40, X40, IF(X40&gt;0, X40-V40, X40+V40))</f>
        <v>0</v>
      </c>
      <c r="Z40" s="2"/>
      <c r="AA40" s="92"/>
      <c r="AB40" s="2"/>
      <c r="AC40" s="2"/>
      <c r="AD40" s="107">
        <f>SUM(AD31:AD39)</f>
        <v>0</v>
      </c>
      <c r="AE40" s="108"/>
      <c r="AF40" s="109">
        <f>SUM(AF31:AF39)</f>
        <v>0</v>
      </c>
      <c r="AG40" s="110">
        <f>IF(AF40=-AD40, AF40, IF(AF40&gt;0, AF40-AD40, AF40+AD40))</f>
        <v>0</v>
      </c>
      <c r="AH40" s="2"/>
      <c r="AI40" s="92"/>
      <c r="AJ40" s="2"/>
      <c r="AK40" s="2"/>
      <c r="AL40" s="107">
        <f>SUM(AL31:AL39)</f>
        <v>0</v>
      </c>
      <c r="AM40" s="108"/>
      <c r="AN40" s="109">
        <f>SUM(AN31:AN39)</f>
        <v>0</v>
      </c>
      <c r="AO40" s="110">
        <f>IF(AN40=-AL40, AN40, IF(AN40&gt;0, AN40-AL40, AN40+AL40))</f>
        <v>0</v>
      </c>
    </row>
    <row r="41" ht="15.75" customHeight="1">
      <c r="A41" s="93"/>
      <c r="B41" s="93"/>
      <c r="C41" s="92"/>
      <c r="D41" s="2"/>
      <c r="E41" s="2"/>
      <c r="F41" s="2"/>
      <c r="G41" s="2"/>
      <c r="H41" s="2"/>
      <c r="I41" s="2"/>
      <c r="J41" s="2"/>
      <c r="K41" s="92"/>
      <c r="L41" s="2"/>
      <c r="M41" s="2"/>
      <c r="N41" s="2"/>
      <c r="O41" s="2"/>
      <c r="P41" s="2"/>
      <c r="Q41" s="2"/>
      <c r="R41" s="2"/>
      <c r="S41" s="92"/>
      <c r="T41" s="2"/>
      <c r="U41" s="2"/>
      <c r="V41" s="2"/>
      <c r="W41" s="2"/>
      <c r="X41" s="2"/>
      <c r="Y41" s="2"/>
      <c r="Z41" s="2"/>
      <c r="AA41" s="92"/>
      <c r="AB41" s="2"/>
      <c r="AC41" s="2"/>
      <c r="AD41" s="2"/>
      <c r="AE41" s="2"/>
      <c r="AF41" s="2"/>
      <c r="AG41" s="2"/>
      <c r="AH41" s="2"/>
      <c r="AI41" s="92"/>
      <c r="AJ41" s="2"/>
      <c r="AK41" s="2"/>
      <c r="AL41" s="2"/>
      <c r="AM41" s="93"/>
      <c r="AN41" s="93"/>
      <c r="AO41" s="93"/>
    </row>
    <row r="42" ht="15.75" customHeight="1">
      <c r="A42" s="93"/>
      <c r="B42" s="93"/>
      <c r="C42" s="92"/>
      <c r="D42" s="2"/>
      <c r="E42" s="2"/>
      <c r="F42" s="2"/>
      <c r="G42" s="2"/>
      <c r="H42" s="2"/>
      <c r="I42" s="2"/>
      <c r="J42" s="2"/>
      <c r="K42" s="92"/>
      <c r="L42" s="2"/>
      <c r="M42" s="2"/>
      <c r="N42" s="2"/>
      <c r="O42" s="2"/>
      <c r="P42" s="2"/>
      <c r="Q42" s="2"/>
      <c r="R42" s="2"/>
      <c r="S42" s="92"/>
      <c r="T42" s="2"/>
      <c r="U42" s="2"/>
      <c r="V42" s="2"/>
      <c r="W42" s="2"/>
      <c r="X42" s="2"/>
      <c r="Y42" s="2"/>
      <c r="Z42" s="2"/>
      <c r="AA42" s="92"/>
      <c r="AB42" s="2"/>
      <c r="AC42" s="2"/>
      <c r="AD42" s="2"/>
      <c r="AE42" s="2"/>
      <c r="AF42" s="2"/>
      <c r="AG42" s="2"/>
      <c r="AH42" s="2"/>
      <c r="AI42" s="92"/>
      <c r="AJ42" s="2"/>
      <c r="AK42" s="2"/>
      <c r="AL42" s="2"/>
      <c r="AM42" s="93"/>
      <c r="AN42" s="93"/>
      <c r="AO42" s="93"/>
    </row>
    <row r="43" ht="15.75" customHeight="1">
      <c r="A43" s="93"/>
      <c r="B43" s="9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93"/>
      <c r="AN43" s="93"/>
      <c r="AO43" s="93"/>
    </row>
    <row r="44" ht="15.75" customHeight="1">
      <c r="A44" s="93"/>
      <c r="B44" s="93"/>
      <c r="C44" s="77" t="s">
        <v>62</v>
      </c>
      <c r="D44" s="5"/>
      <c r="E44" s="5"/>
      <c r="F44" s="5"/>
      <c r="G44" s="5"/>
      <c r="H44" s="51"/>
      <c r="I44" s="93"/>
      <c r="J44" s="2"/>
      <c r="K44" s="77" t="s">
        <v>63</v>
      </c>
      <c r="L44" s="5"/>
      <c r="M44" s="5"/>
      <c r="N44" s="5"/>
      <c r="O44" s="5"/>
      <c r="P44" s="51"/>
      <c r="Q44" s="93"/>
      <c r="R44" s="2"/>
      <c r="S44" s="77" t="s">
        <v>64</v>
      </c>
      <c r="T44" s="5"/>
      <c r="U44" s="5"/>
      <c r="V44" s="5"/>
      <c r="W44" s="5"/>
      <c r="X44" s="51"/>
      <c r="Y44" s="93"/>
      <c r="Z44" s="2"/>
      <c r="AA44" s="77" t="s">
        <v>65</v>
      </c>
      <c r="AB44" s="5"/>
      <c r="AC44" s="5"/>
      <c r="AD44" s="5"/>
      <c r="AE44" s="5"/>
      <c r="AF44" s="51"/>
      <c r="AG44" s="93"/>
      <c r="AH44" s="2"/>
      <c r="AI44" s="77" t="s">
        <v>66</v>
      </c>
      <c r="AJ44" s="5"/>
      <c r="AK44" s="5"/>
      <c r="AL44" s="5"/>
      <c r="AM44" s="5"/>
      <c r="AN44" s="51"/>
      <c r="AO44" s="93"/>
    </row>
    <row r="45" ht="15.75" customHeight="1">
      <c r="A45" s="93"/>
      <c r="B45" s="93"/>
      <c r="C45" s="78"/>
      <c r="D45" s="79" t="s">
        <v>80</v>
      </c>
      <c r="E45" s="79" t="s">
        <v>81</v>
      </c>
      <c r="F45" s="79" t="s">
        <v>82</v>
      </c>
      <c r="G45" s="79" t="s">
        <v>83</v>
      </c>
      <c r="H45" s="80" t="s">
        <v>84</v>
      </c>
      <c r="I45" s="93"/>
      <c r="J45" s="2"/>
      <c r="K45" s="78"/>
      <c r="L45" s="79" t="s">
        <v>80</v>
      </c>
      <c r="M45" s="79" t="s">
        <v>81</v>
      </c>
      <c r="N45" s="79" t="s">
        <v>82</v>
      </c>
      <c r="O45" s="79" t="s">
        <v>83</v>
      </c>
      <c r="P45" s="80" t="s">
        <v>84</v>
      </c>
      <c r="Q45" s="93"/>
      <c r="R45" s="2"/>
      <c r="S45" s="78"/>
      <c r="T45" s="79" t="s">
        <v>80</v>
      </c>
      <c r="U45" s="79" t="s">
        <v>81</v>
      </c>
      <c r="V45" s="79" t="s">
        <v>82</v>
      </c>
      <c r="W45" s="79" t="s">
        <v>83</v>
      </c>
      <c r="X45" s="80" t="s">
        <v>84</v>
      </c>
      <c r="Y45" s="93"/>
      <c r="Z45" s="2"/>
      <c r="AA45" s="78"/>
      <c r="AB45" s="79" t="s">
        <v>80</v>
      </c>
      <c r="AC45" s="79" t="s">
        <v>81</v>
      </c>
      <c r="AD45" s="79" t="s">
        <v>82</v>
      </c>
      <c r="AE45" s="79" t="s">
        <v>83</v>
      </c>
      <c r="AF45" s="80" t="s">
        <v>84</v>
      </c>
      <c r="AG45" s="93"/>
      <c r="AH45" s="2"/>
      <c r="AI45" s="78"/>
      <c r="AJ45" s="79" t="s">
        <v>80</v>
      </c>
      <c r="AK45" s="79" t="s">
        <v>81</v>
      </c>
      <c r="AL45" s="79" t="s">
        <v>82</v>
      </c>
      <c r="AM45" s="79" t="s">
        <v>83</v>
      </c>
      <c r="AN45" s="80" t="s">
        <v>84</v>
      </c>
      <c r="AO45" s="93"/>
    </row>
    <row r="46" ht="15.75" customHeight="1">
      <c r="A46" s="93"/>
      <c r="B46" s="93"/>
      <c r="C46" s="98" t="s">
        <v>33</v>
      </c>
      <c r="D46" s="2"/>
      <c r="E46" s="2"/>
      <c r="F46" s="99"/>
      <c r="G46" s="2"/>
      <c r="H46" s="100"/>
      <c r="I46" s="99"/>
      <c r="J46" s="2"/>
      <c r="K46" s="98" t="s">
        <v>33</v>
      </c>
      <c r="L46" s="2"/>
      <c r="M46" s="2"/>
      <c r="N46" s="99"/>
      <c r="O46" s="2"/>
      <c r="P46" s="100"/>
      <c r="Q46" s="99"/>
      <c r="R46" s="2"/>
      <c r="S46" s="98" t="s">
        <v>33</v>
      </c>
      <c r="T46" s="2"/>
      <c r="U46" s="2"/>
      <c r="V46" s="99"/>
      <c r="W46" s="2"/>
      <c r="X46" s="100"/>
      <c r="Y46" s="99"/>
      <c r="Z46" s="2"/>
      <c r="AA46" s="98" t="s">
        <v>33</v>
      </c>
      <c r="AB46" s="2"/>
      <c r="AC46" s="2"/>
      <c r="AD46" s="99"/>
      <c r="AE46" s="2"/>
      <c r="AF46" s="100"/>
      <c r="AG46" s="99"/>
      <c r="AH46" s="2"/>
      <c r="AI46" s="98" t="s">
        <v>33</v>
      </c>
      <c r="AJ46" s="2"/>
      <c r="AK46" s="2"/>
      <c r="AL46" s="99"/>
      <c r="AM46" s="2"/>
      <c r="AN46" s="100"/>
      <c r="AO46" s="99"/>
    </row>
    <row r="47" ht="15.75" customHeight="1">
      <c r="A47" s="93"/>
      <c r="B47" s="93"/>
      <c r="C47" s="98" t="s">
        <v>36</v>
      </c>
      <c r="D47" s="2"/>
      <c r="E47" s="2"/>
      <c r="F47" s="99"/>
      <c r="G47" s="2"/>
      <c r="H47" s="100"/>
      <c r="I47" s="99"/>
      <c r="J47" s="2"/>
      <c r="K47" s="98" t="s">
        <v>36</v>
      </c>
      <c r="L47" s="2"/>
      <c r="M47" s="2"/>
      <c r="N47" s="99"/>
      <c r="O47" s="2"/>
      <c r="P47" s="100"/>
      <c r="Q47" s="99"/>
      <c r="R47" s="2"/>
      <c r="S47" s="98" t="s">
        <v>36</v>
      </c>
      <c r="T47" s="2"/>
      <c r="U47" s="2"/>
      <c r="V47" s="99"/>
      <c r="W47" s="2"/>
      <c r="X47" s="100"/>
      <c r="Y47" s="99"/>
      <c r="Z47" s="2"/>
      <c r="AA47" s="98" t="s">
        <v>36</v>
      </c>
      <c r="AB47" s="2"/>
      <c r="AC47" s="2"/>
      <c r="AD47" s="99"/>
      <c r="AE47" s="2"/>
      <c r="AF47" s="100"/>
      <c r="AG47" s="99"/>
      <c r="AH47" s="2"/>
      <c r="AI47" s="98" t="s">
        <v>36</v>
      </c>
      <c r="AJ47" s="2"/>
      <c r="AK47" s="2"/>
      <c r="AL47" s="99"/>
      <c r="AM47" s="2"/>
      <c r="AN47" s="100"/>
      <c r="AO47" s="99"/>
    </row>
    <row r="48" ht="15.75" customHeight="1">
      <c r="A48" s="93"/>
      <c r="B48" s="93"/>
      <c r="C48" s="98" t="s">
        <v>41</v>
      </c>
      <c r="D48" s="2"/>
      <c r="E48" s="2"/>
      <c r="F48" s="99"/>
      <c r="G48" s="2"/>
      <c r="H48" s="100"/>
      <c r="I48" s="99"/>
      <c r="J48" s="2"/>
      <c r="K48" s="98" t="s">
        <v>41</v>
      </c>
      <c r="L48" s="2"/>
      <c r="M48" s="2"/>
      <c r="N48" s="99"/>
      <c r="O48" s="2"/>
      <c r="P48" s="100"/>
      <c r="Q48" s="99"/>
      <c r="R48" s="2"/>
      <c r="S48" s="98" t="s">
        <v>41</v>
      </c>
      <c r="T48" s="2"/>
      <c r="U48" s="2"/>
      <c r="V48" s="99"/>
      <c r="W48" s="2"/>
      <c r="X48" s="100"/>
      <c r="Y48" s="99"/>
      <c r="Z48" s="2"/>
      <c r="AA48" s="98" t="s">
        <v>41</v>
      </c>
      <c r="AB48" s="2"/>
      <c r="AC48" s="2"/>
      <c r="AD48" s="99"/>
      <c r="AE48" s="2"/>
      <c r="AF48" s="100"/>
      <c r="AG48" s="99"/>
      <c r="AH48" s="2"/>
      <c r="AI48" s="98" t="s">
        <v>41</v>
      </c>
      <c r="AJ48" s="2"/>
      <c r="AK48" s="2"/>
      <c r="AL48" s="99"/>
      <c r="AM48" s="2"/>
      <c r="AN48" s="100"/>
      <c r="AO48" s="99"/>
    </row>
    <row r="49" ht="15.75" customHeight="1">
      <c r="A49" s="93"/>
      <c r="B49" s="93"/>
      <c r="C49" s="98" t="s">
        <v>44</v>
      </c>
      <c r="D49" s="2"/>
      <c r="E49" s="2"/>
      <c r="F49" s="99"/>
      <c r="G49" s="2"/>
      <c r="H49" s="100"/>
      <c r="I49" s="99"/>
      <c r="J49" s="2"/>
      <c r="K49" s="98" t="s">
        <v>44</v>
      </c>
      <c r="L49" s="2"/>
      <c r="M49" s="2"/>
      <c r="N49" s="99"/>
      <c r="O49" s="2"/>
      <c r="P49" s="100"/>
      <c r="Q49" s="99"/>
      <c r="R49" s="2"/>
      <c r="S49" s="98" t="s">
        <v>44</v>
      </c>
      <c r="T49" s="2"/>
      <c r="U49" s="2"/>
      <c r="V49" s="99"/>
      <c r="W49" s="2"/>
      <c r="X49" s="100"/>
      <c r="Y49" s="99"/>
      <c r="Z49" s="2"/>
      <c r="AA49" s="98" t="s">
        <v>44</v>
      </c>
      <c r="AB49" s="2"/>
      <c r="AC49" s="2"/>
      <c r="AD49" s="99"/>
      <c r="AE49" s="2"/>
      <c r="AF49" s="100"/>
      <c r="AG49" s="99"/>
      <c r="AH49" s="2"/>
      <c r="AI49" s="98" t="s">
        <v>44</v>
      </c>
      <c r="AJ49" s="2"/>
      <c r="AK49" s="2"/>
      <c r="AL49" s="99"/>
      <c r="AM49" s="2"/>
      <c r="AN49" s="100"/>
      <c r="AO49" s="99"/>
    </row>
    <row r="50" ht="15.75" customHeight="1">
      <c r="A50" s="93"/>
      <c r="B50" s="93"/>
      <c r="C50" s="98" t="s">
        <v>46</v>
      </c>
      <c r="D50" s="2"/>
      <c r="E50" s="2"/>
      <c r="F50" s="99"/>
      <c r="G50" s="2"/>
      <c r="H50" s="100"/>
      <c r="I50" s="99"/>
      <c r="J50" s="24"/>
      <c r="K50" s="98" t="s">
        <v>46</v>
      </c>
      <c r="L50" s="2"/>
      <c r="M50" s="2"/>
      <c r="N50" s="99"/>
      <c r="O50" s="2"/>
      <c r="P50" s="100"/>
      <c r="Q50" s="99"/>
      <c r="R50" s="2"/>
      <c r="S50" s="98" t="s">
        <v>46</v>
      </c>
      <c r="T50" s="2"/>
      <c r="U50" s="2"/>
      <c r="V50" s="99"/>
      <c r="W50" s="2"/>
      <c r="X50" s="100"/>
      <c r="Y50" s="99"/>
      <c r="Z50" s="2"/>
      <c r="AA50" s="98" t="s">
        <v>46</v>
      </c>
      <c r="AB50" s="2"/>
      <c r="AC50" s="2"/>
      <c r="AD50" s="99"/>
      <c r="AE50" s="2"/>
      <c r="AF50" s="100"/>
      <c r="AG50" s="99"/>
      <c r="AH50" s="2"/>
      <c r="AI50" s="98" t="s">
        <v>46</v>
      </c>
      <c r="AJ50" s="2"/>
      <c r="AK50" s="2"/>
      <c r="AL50" s="99"/>
      <c r="AM50" s="2"/>
      <c r="AN50" s="100"/>
      <c r="AO50" s="99"/>
    </row>
    <row r="51" ht="15.75" customHeight="1">
      <c r="A51" s="93"/>
      <c r="B51" s="93"/>
      <c r="C51" s="98" t="s">
        <v>50</v>
      </c>
      <c r="D51" s="2"/>
      <c r="E51" s="2"/>
      <c r="F51" s="99"/>
      <c r="G51" s="2"/>
      <c r="H51" s="100"/>
      <c r="I51" s="99"/>
      <c r="J51" s="2"/>
      <c r="K51" s="98" t="s">
        <v>50</v>
      </c>
      <c r="L51" s="2"/>
      <c r="M51" s="2"/>
      <c r="N51" s="99"/>
      <c r="O51" s="2"/>
      <c r="P51" s="100"/>
      <c r="Q51" s="99"/>
      <c r="R51" s="2"/>
      <c r="S51" s="98" t="s">
        <v>50</v>
      </c>
      <c r="T51" s="2"/>
      <c r="U51" s="2"/>
      <c r="V51" s="99"/>
      <c r="W51" s="2"/>
      <c r="X51" s="100"/>
      <c r="Y51" s="99"/>
      <c r="Z51" s="2"/>
      <c r="AA51" s="98" t="s">
        <v>50</v>
      </c>
      <c r="AB51" s="2"/>
      <c r="AC51" s="2"/>
      <c r="AD51" s="99"/>
      <c r="AE51" s="2"/>
      <c r="AF51" s="100"/>
      <c r="AG51" s="99"/>
      <c r="AH51" s="2"/>
      <c r="AI51" s="98" t="s">
        <v>50</v>
      </c>
      <c r="AJ51" s="2"/>
      <c r="AK51" s="2"/>
      <c r="AL51" s="99"/>
      <c r="AM51" s="2"/>
      <c r="AN51" s="100"/>
      <c r="AO51" s="99"/>
    </row>
    <row r="52" ht="15.75" customHeight="1">
      <c r="A52" s="93"/>
      <c r="B52" s="93"/>
      <c r="C52" s="98" t="s">
        <v>52</v>
      </c>
      <c r="D52" s="2"/>
      <c r="E52" s="2"/>
      <c r="F52" s="99"/>
      <c r="G52" s="2"/>
      <c r="H52" s="100"/>
      <c r="I52" s="99"/>
      <c r="J52" s="2"/>
      <c r="K52" s="98" t="s">
        <v>52</v>
      </c>
      <c r="L52" s="2"/>
      <c r="M52" s="2"/>
      <c r="N52" s="99"/>
      <c r="O52" s="2"/>
      <c r="P52" s="100"/>
      <c r="Q52" s="99"/>
      <c r="R52" s="2"/>
      <c r="S52" s="98" t="s">
        <v>52</v>
      </c>
      <c r="T52" s="2"/>
      <c r="U52" s="2"/>
      <c r="V52" s="99"/>
      <c r="W52" s="2"/>
      <c r="X52" s="100"/>
      <c r="Y52" s="99"/>
      <c r="Z52" s="2"/>
      <c r="AA52" s="98" t="s">
        <v>52</v>
      </c>
      <c r="AB52" s="2"/>
      <c r="AC52" s="2"/>
      <c r="AD52" s="99"/>
      <c r="AE52" s="2"/>
      <c r="AF52" s="100"/>
      <c r="AG52" s="99"/>
      <c r="AH52" s="2"/>
      <c r="AI52" s="98" t="s">
        <v>52</v>
      </c>
      <c r="AJ52" s="2"/>
      <c r="AK52" s="2"/>
      <c r="AL52" s="99"/>
      <c r="AM52" s="2"/>
      <c r="AN52" s="100"/>
      <c r="AO52" s="99"/>
    </row>
    <row r="53" ht="15.75" customHeight="1">
      <c r="A53" s="93"/>
      <c r="B53" s="93"/>
      <c r="C53" s="98" t="s">
        <v>53</v>
      </c>
      <c r="D53" s="2"/>
      <c r="E53" s="2"/>
      <c r="F53" s="99"/>
      <c r="G53" s="2"/>
      <c r="H53" s="100"/>
      <c r="I53" s="99"/>
      <c r="J53" s="2"/>
      <c r="K53" s="98" t="s">
        <v>53</v>
      </c>
      <c r="L53" s="2"/>
      <c r="M53" s="2"/>
      <c r="N53" s="99"/>
      <c r="O53" s="2"/>
      <c r="P53" s="100"/>
      <c r="Q53" s="99"/>
      <c r="R53" s="2"/>
      <c r="S53" s="98" t="s">
        <v>53</v>
      </c>
      <c r="T53" s="2"/>
      <c r="U53" s="2"/>
      <c r="V53" s="99"/>
      <c r="W53" s="2"/>
      <c r="X53" s="100"/>
      <c r="Y53" s="99"/>
      <c r="Z53" s="2"/>
      <c r="AA53" s="98" t="s">
        <v>53</v>
      </c>
      <c r="AB53" s="2"/>
      <c r="AC53" s="2"/>
      <c r="AD53" s="99"/>
      <c r="AE53" s="2"/>
      <c r="AF53" s="100"/>
      <c r="AG53" s="99"/>
      <c r="AH53" s="2"/>
      <c r="AI53" s="98" t="s">
        <v>53</v>
      </c>
      <c r="AJ53" s="2"/>
      <c r="AK53" s="2"/>
      <c r="AL53" s="99"/>
      <c r="AM53" s="2"/>
      <c r="AN53" s="100"/>
      <c r="AO53" s="99"/>
    </row>
    <row r="54" ht="15.75" customHeight="1">
      <c r="A54" s="93"/>
      <c r="B54" s="93"/>
      <c r="C54" s="101" t="s">
        <v>54</v>
      </c>
      <c r="D54" s="43"/>
      <c r="E54" s="43"/>
      <c r="F54" s="99"/>
      <c r="G54" s="2"/>
      <c r="H54" s="100"/>
      <c r="I54" s="24" t="s">
        <v>79</v>
      </c>
      <c r="J54" s="2"/>
      <c r="K54" s="101" t="s">
        <v>54</v>
      </c>
      <c r="L54" s="43"/>
      <c r="M54" s="43"/>
      <c r="N54" s="99"/>
      <c r="O54" s="2"/>
      <c r="P54" s="100"/>
      <c r="Q54" s="24" t="s">
        <v>79</v>
      </c>
      <c r="R54" s="2"/>
      <c r="S54" s="101" t="s">
        <v>54</v>
      </c>
      <c r="T54" s="43"/>
      <c r="U54" s="43"/>
      <c r="V54" s="99"/>
      <c r="W54" s="2"/>
      <c r="X54" s="100"/>
      <c r="Y54" s="24" t="s">
        <v>79</v>
      </c>
      <c r="Z54" s="2"/>
      <c r="AA54" s="101" t="s">
        <v>54</v>
      </c>
      <c r="AB54" s="43"/>
      <c r="AC54" s="43"/>
      <c r="AD54" s="99"/>
      <c r="AE54" s="2"/>
      <c r="AF54" s="100"/>
      <c r="AG54" s="24" t="s">
        <v>79</v>
      </c>
      <c r="AH54" s="2"/>
      <c r="AI54" s="101" t="s">
        <v>54</v>
      </c>
      <c r="AJ54" s="43"/>
      <c r="AK54" s="43"/>
      <c r="AL54" s="99"/>
      <c r="AM54" s="2"/>
      <c r="AN54" s="100"/>
      <c r="AO54" s="24" t="s">
        <v>79</v>
      </c>
    </row>
    <row r="55" ht="15.75" customHeight="1">
      <c r="A55" s="93"/>
      <c r="B55" s="93"/>
      <c r="C55" s="92"/>
      <c r="D55" s="2"/>
      <c r="E55" s="2"/>
      <c r="F55" s="107">
        <f>SUM(F46:F54)</f>
        <v>0</v>
      </c>
      <c r="G55" s="108"/>
      <c r="H55" s="109">
        <f>SUM(H46:H54)</f>
        <v>0</v>
      </c>
      <c r="I55" s="110">
        <f>IF(H55=-F55, H55, IF(H55&gt;0, H55-F55, H55+F55))</f>
        <v>0</v>
      </c>
      <c r="J55" s="2"/>
      <c r="K55" s="92"/>
      <c r="L55" s="2"/>
      <c r="M55" s="2"/>
      <c r="N55" s="107">
        <f>SUM(N46:N54)</f>
        <v>0</v>
      </c>
      <c r="O55" s="108"/>
      <c r="P55" s="109">
        <f>SUM(P46:P54)</f>
        <v>0</v>
      </c>
      <c r="Q55" s="110">
        <f>IF(P55=-N55, P55, IF(P55&gt;0, P55-N55, P55+N55))</f>
        <v>0</v>
      </c>
      <c r="R55" s="2"/>
      <c r="S55" s="92"/>
      <c r="T55" s="2"/>
      <c r="U55" s="2"/>
      <c r="V55" s="107">
        <f>SUM(V46:V54)</f>
        <v>0</v>
      </c>
      <c r="W55" s="108"/>
      <c r="X55" s="109">
        <f>SUM(X46:X54)</f>
        <v>0</v>
      </c>
      <c r="Y55" s="110">
        <f>IF(X55=-V55, X55, IF(X55&gt;0, X55-V55, X55+V55))</f>
        <v>0</v>
      </c>
      <c r="Z55" s="2"/>
      <c r="AA55" s="92"/>
      <c r="AB55" s="2"/>
      <c r="AC55" s="2"/>
      <c r="AD55" s="107">
        <f>SUM(AD46:AD54)</f>
        <v>0</v>
      </c>
      <c r="AE55" s="108"/>
      <c r="AF55" s="109">
        <f>SUM(AF46:AF54)</f>
        <v>0</v>
      </c>
      <c r="AG55" s="110">
        <f>IF(AF55=-AD55, AF55, IF(AF55&gt;0, AF55-AD55, AF55+AD55))</f>
        <v>0</v>
      </c>
      <c r="AH55" s="2"/>
      <c r="AI55" s="92"/>
      <c r="AJ55" s="2"/>
      <c r="AK55" s="2"/>
      <c r="AL55" s="107">
        <f>SUM(AL46:AL54)</f>
        <v>0</v>
      </c>
      <c r="AM55" s="108"/>
      <c r="AN55" s="109">
        <f>SUM(AN46:AN54)</f>
        <v>0</v>
      </c>
      <c r="AO55" s="110">
        <f>IF(AN55=-AL55, AN55, IF(AN55&gt;0, AN55-AL55, AN55+AL55))</f>
        <v>0</v>
      </c>
    </row>
    <row r="56" ht="15.75" customHeight="1">
      <c r="A56" s="93"/>
      <c r="B56" s="93"/>
      <c r="C56" s="92"/>
      <c r="D56" s="2"/>
      <c r="E56" s="2"/>
      <c r="F56" s="99"/>
      <c r="G56" s="2"/>
      <c r="H56" s="99"/>
      <c r="I56" s="99"/>
      <c r="J56" s="2"/>
      <c r="K56" s="92"/>
      <c r="L56" s="2"/>
      <c r="M56" s="2"/>
      <c r="N56" s="99"/>
      <c r="O56" s="2"/>
      <c r="P56" s="99"/>
      <c r="Q56" s="99"/>
      <c r="R56" s="2"/>
      <c r="S56" s="92"/>
      <c r="T56" s="2"/>
      <c r="U56" s="2"/>
      <c r="V56" s="99"/>
      <c r="W56" s="2"/>
      <c r="X56" s="99"/>
      <c r="Y56" s="99"/>
      <c r="Z56" s="2"/>
      <c r="AA56" s="92"/>
      <c r="AB56" s="2"/>
      <c r="AC56" s="2"/>
      <c r="AD56" s="99"/>
      <c r="AE56" s="2"/>
      <c r="AF56" s="99"/>
      <c r="AG56" s="99"/>
      <c r="AH56" s="2"/>
      <c r="AI56" s="92"/>
      <c r="AJ56" s="2"/>
      <c r="AK56" s="2"/>
      <c r="AL56" s="99"/>
      <c r="AM56" s="2"/>
      <c r="AN56" s="99"/>
      <c r="AO56" s="99"/>
    </row>
    <row r="57" ht="15.75" customHeight="1">
      <c r="A57" s="93"/>
      <c r="B57" s="93"/>
      <c r="C57" s="92"/>
      <c r="D57" s="2"/>
      <c r="E57" s="2"/>
      <c r="F57" s="99"/>
      <c r="G57" s="2"/>
      <c r="H57" s="99"/>
      <c r="I57" s="99"/>
      <c r="J57" s="2"/>
      <c r="K57" s="92"/>
      <c r="L57" s="2"/>
      <c r="M57" s="2"/>
      <c r="N57" s="99"/>
      <c r="O57" s="2"/>
      <c r="P57" s="99"/>
      <c r="Q57" s="99"/>
      <c r="R57" s="2"/>
      <c r="S57" s="92"/>
      <c r="T57" s="2"/>
      <c r="U57" s="2"/>
      <c r="V57" s="99"/>
      <c r="W57" s="2"/>
      <c r="X57" s="99"/>
      <c r="Y57" s="99"/>
      <c r="Z57" s="2"/>
      <c r="AA57" s="92"/>
      <c r="AB57" s="2"/>
      <c r="AC57" s="2"/>
      <c r="AD57" s="99"/>
      <c r="AE57" s="2"/>
      <c r="AF57" s="99"/>
      <c r="AG57" s="99"/>
      <c r="AH57" s="2"/>
      <c r="AI57" s="92"/>
      <c r="AJ57" s="2"/>
      <c r="AK57" s="2"/>
      <c r="AL57" s="99"/>
      <c r="AM57" s="2"/>
      <c r="AN57" s="99"/>
      <c r="AO57" s="99"/>
    </row>
    <row r="58" ht="15.75" customHeight="1">
      <c r="A58" s="93"/>
      <c r="B58" s="93"/>
      <c r="C58" s="77" t="s">
        <v>67</v>
      </c>
      <c r="D58" s="5"/>
      <c r="E58" s="5"/>
      <c r="F58" s="5"/>
      <c r="G58" s="5"/>
      <c r="H58" s="51"/>
      <c r="I58" s="93"/>
      <c r="J58" s="2"/>
      <c r="K58" s="77" t="s">
        <v>68</v>
      </c>
      <c r="L58" s="5"/>
      <c r="M58" s="5"/>
      <c r="N58" s="5"/>
      <c r="O58" s="5"/>
      <c r="P58" s="51"/>
      <c r="Q58" s="93"/>
      <c r="R58" s="2"/>
      <c r="S58" s="77" t="s">
        <v>69</v>
      </c>
      <c r="T58" s="5"/>
      <c r="U58" s="5"/>
      <c r="V58" s="5"/>
      <c r="W58" s="5"/>
      <c r="X58" s="51"/>
      <c r="Y58" s="93"/>
      <c r="Z58" s="2"/>
      <c r="AA58" s="77" t="s">
        <v>70</v>
      </c>
      <c r="AB58" s="5"/>
      <c r="AC58" s="5"/>
      <c r="AD58" s="5"/>
      <c r="AE58" s="5"/>
      <c r="AF58" s="51"/>
      <c r="AG58" s="93"/>
      <c r="AH58" s="2"/>
      <c r="AI58" s="77" t="s">
        <v>71</v>
      </c>
      <c r="AJ58" s="5"/>
      <c r="AK58" s="5"/>
      <c r="AL58" s="5"/>
      <c r="AM58" s="5"/>
      <c r="AN58" s="51"/>
      <c r="AO58" s="93"/>
    </row>
    <row r="59" ht="15.75" customHeight="1">
      <c r="A59" s="93"/>
      <c r="B59" s="93"/>
      <c r="C59" s="78"/>
      <c r="D59" s="79" t="s">
        <v>80</v>
      </c>
      <c r="E59" s="79" t="s">
        <v>81</v>
      </c>
      <c r="F59" s="79" t="s">
        <v>82</v>
      </c>
      <c r="G59" s="79" t="s">
        <v>83</v>
      </c>
      <c r="H59" s="80" t="s">
        <v>84</v>
      </c>
      <c r="I59" s="93"/>
      <c r="J59" s="2"/>
      <c r="K59" s="78"/>
      <c r="L59" s="79" t="s">
        <v>80</v>
      </c>
      <c r="M59" s="79" t="s">
        <v>81</v>
      </c>
      <c r="N59" s="79" t="s">
        <v>82</v>
      </c>
      <c r="O59" s="79" t="s">
        <v>83</v>
      </c>
      <c r="P59" s="80" t="s">
        <v>84</v>
      </c>
      <c r="Q59" s="93"/>
      <c r="R59" s="2"/>
      <c r="S59" s="78"/>
      <c r="T59" s="79" t="s">
        <v>80</v>
      </c>
      <c r="U59" s="79" t="s">
        <v>81</v>
      </c>
      <c r="V59" s="79" t="s">
        <v>82</v>
      </c>
      <c r="W59" s="79" t="s">
        <v>83</v>
      </c>
      <c r="X59" s="80" t="s">
        <v>84</v>
      </c>
      <c r="Y59" s="93"/>
      <c r="Z59" s="2"/>
      <c r="AA59" s="78"/>
      <c r="AB59" s="79" t="s">
        <v>80</v>
      </c>
      <c r="AC59" s="79" t="s">
        <v>81</v>
      </c>
      <c r="AD59" s="79" t="s">
        <v>82</v>
      </c>
      <c r="AE59" s="79" t="s">
        <v>83</v>
      </c>
      <c r="AF59" s="80" t="s">
        <v>84</v>
      </c>
      <c r="AG59" s="93"/>
      <c r="AH59" s="2"/>
      <c r="AI59" s="78"/>
      <c r="AJ59" s="79" t="s">
        <v>80</v>
      </c>
      <c r="AK59" s="79" t="s">
        <v>81</v>
      </c>
      <c r="AL59" s="79" t="s">
        <v>82</v>
      </c>
      <c r="AM59" s="79" t="s">
        <v>83</v>
      </c>
      <c r="AN59" s="80" t="s">
        <v>84</v>
      </c>
      <c r="AO59" s="93"/>
    </row>
    <row r="60" ht="15.75" customHeight="1">
      <c r="A60" s="93"/>
      <c r="B60" s="93"/>
      <c r="C60" s="98" t="s">
        <v>33</v>
      </c>
      <c r="D60" s="2"/>
      <c r="E60" s="2"/>
      <c r="F60" s="99"/>
      <c r="G60" s="2"/>
      <c r="H60" s="100"/>
      <c r="I60" s="99"/>
      <c r="J60" s="2"/>
      <c r="K60" s="98" t="s">
        <v>33</v>
      </c>
      <c r="L60" s="2"/>
      <c r="M60" s="2"/>
      <c r="N60" s="99"/>
      <c r="O60" s="2"/>
      <c r="P60" s="100"/>
      <c r="Q60" s="99"/>
      <c r="R60" s="2"/>
      <c r="S60" s="98" t="s">
        <v>33</v>
      </c>
      <c r="T60" s="2"/>
      <c r="U60" s="2"/>
      <c r="V60" s="99"/>
      <c r="W60" s="2"/>
      <c r="X60" s="100"/>
      <c r="Y60" s="99"/>
      <c r="Z60" s="2"/>
      <c r="AA60" s="98" t="s">
        <v>33</v>
      </c>
      <c r="AB60" s="2"/>
      <c r="AC60" s="2"/>
      <c r="AD60" s="99"/>
      <c r="AE60" s="2"/>
      <c r="AF60" s="100"/>
      <c r="AG60" s="99"/>
      <c r="AH60" s="2"/>
      <c r="AI60" s="98" t="s">
        <v>33</v>
      </c>
      <c r="AJ60" s="2"/>
      <c r="AK60" s="2"/>
      <c r="AL60" s="99"/>
      <c r="AM60" s="2"/>
      <c r="AN60" s="100"/>
      <c r="AO60" s="99"/>
    </row>
    <row r="61" ht="15.75" customHeight="1">
      <c r="A61" s="93"/>
      <c r="B61" s="93"/>
      <c r="C61" s="98" t="s">
        <v>36</v>
      </c>
      <c r="D61" s="2"/>
      <c r="E61" s="2"/>
      <c r="F61" s="99"/>
      <c r="G61" s="2"/>
      <c r="H61" s="100"/>
      <c r="I61" s="99"/>
      <c r="J61" s="2"/>
      <c r="K61" s="98" t="s">
        <v>36</v>
      </c>
      <c r="L61" s="2"/>
      <c r="M61" s="2"/>
      <c r="N61" s="99"/>
      <c r="O61" s="2"/>
      <c r="P61" s="100"/>
      <c r="Q61" s="99"/>
      <c r="R61" s="2"/>
      <c r="S61" s="98" t="s">
        <v>36</v>
      </c>
      <c r="T61" s="2"/>
      <c r="U61" s="2"/>
      <c r="V61" s="99"/>
      <c r="W61" s="2"/>
      <c r="X61" s="100"/>
      <c r="Y61" s="99"/>
      <c r="Z61" s="2"/>
      <c r="AA61" s="98" t="s">
        <v>36</v>
      </c>
      <c r="AB61" s="2"/>
      <c r="AC61" s="2"/>
      <c r="AD61" s="99"/>
      <c r="AE61" s="2"/>
      <c r="AF61" s="100"/>
      <c r="AG61" s="99"/>
      <c r="AH61" s="2"/>
      <c r="AI61" s="98" t="s">
        <v>36</v>
      </c>
      <c r="AJ61" s="2"/>
      <c r="AK61" s="2"/>
      <c r="AL61" s="99"/>
      <c r="AM61" s="2"/>
      <c r="AN61" s="100"/>
      <c r="AO61" s="99"/>
    </row>
    <row r="62" ht="15.75" customHeight="1">
      <c r="A62" s="93"/>
      <c r="B62" s="93"/>
      <c r="C62" s="98" t="s">
        <v>41</v>
      </c>
      <c r="D62" s="2"/>
      <c r="E62" s="2"/>
      <c r="F62" s="99"/>
      <c r="G62" s="2"/>
      <c r="H62" s="100"/>
      <c r="I62" s="99"/>
      <c r="J62" s="2"/>
      <c r="K62" s="98" t="s">
        <v>41</v>
      </c>
      <c r="L62" s="2"/>
      <c r="M62" s="2"/>
      <c r="N62" s="99"/>
      <c r="O62" s="2"/>
      <c r="P62" s="100"/>
      <c r="Q62" s="99"/>
      <c r="R62" s="2"/>
      <c r="S62" s="98" t="s">
        <v>41</v>
      </c>
      <c r="T62" s="2"/>
      <c r="U62" s="2"/>
      <c r="V62" s="99"/>
      <c r="W62" s="2"/>
      <c r="X62" s="100"/>
      <c r="Y62" s="99"/>
      <c r="Z62" s="2"/>
      <c r="AA62" s="98" t="s">
        <v>41</v>
      </c>
      <c r="AB62" s="2"/>
      <c r="AC62" s="2"/>
      <c r="AD62" s="99"/>
      <c r="AE62" s="2"/>
      <c r="AF62" s="100"/>
      <c r="AG62" s="99"/>
      <c r="AH62" s="2"/>
      <c r="AI62" s="98" t="s">
        <v>41</v>
      </c>
      <c r="AJ62" s="2"/>
      <c r="AK62" s="2"/>
      <c r="AL62" s="99"/>
      <c r="AM62" s="2"/>
      <c r="AN62" s="100"/>
      <c r="AO62" s="99"/>
    </row>
    <row r="63" ht="15.75" customHeight="1">
      <c r="A63" s="93"/>
      <c r="B63" s="93"/>
      <c r="C63" s="98" t="s">
        <v>44</v>
      </c>
      <c r="D63" s="2"/>
      <c r="E63" s="2"/>
      <c r="F63" s="99"/>
      <c r="G63" s="2"/>
      <c r="H63" s="100"/>
      <c r="I63" s="99"/>
      <c r="J63" s="2"/>
      <c r="K63" s="98" t="s">
        <v>44</v>
      </c>
      <c r="L63" s="2"/>
      <c r="M63" s="2"/>
      <c r="N63" s="99"/>
      <c r="O63" s="2"/>
      <c r="P63" s="100"/>
      <c r="Q63" s="99"/>
      <c r="R63" s="2"/>
      <c r="S63" s="98" t="s">
        <v>44</v>
      </c>
      <c r="T63" s="2"/>
      <c r="U63" s="2"/>
      <c r="V63" s="99"/>
      <c r="W63" s="2"/>
      <c r="X63" s="100"/>
      <c r="Y63" s="99"/>
      <c r="Z63" s="2"/>
      <c r="AA63" s="98" t="s">
        <v>44</v>
      </c>
      <c r="AB63" s="2"/>
      <c r="AC63" s="2"/>
      <c r="AD63" s="99"/>
      <c r="AE63" s="2"/>
      <c r="AF63" s="100"/>
      <c r="AG63" s="99"/>
      <c r="AH63" s="2"/>
      <c r="AI63" s="98" t="s">
        <v>44</v>
      </c>
      <c r="AJ63" s="2"/>
      <c r="AK63" s="2"/>
      <c r="AL63" s="99"/>
      <c r="AM63" s="2"/>
      <c r="AN63" s="100"/>
      <c r="AO63" s="99"/>
    </row>
    <row r="64" ht="15.75" customHeight="1">
      <c r="A64" s="93"/>
      <c r="B64" s="93"/>
      <c r="C64" s="98" t="s">
        <v>46</v>
      </c>
      <c r="D64" s="2"/>
      <c r="E64" s="2"/>
      <c r="F64" s="99"/>
      <c r="G64" s="2"/>
      <c r="H64" s="100"/>
      <c r="I64" s="99"/>
      <c r="J64" s="24"/>
      <c r="K64" s="98" t="s">
        <v>46</v>
      </c>
      <c r="L64" s="2"/>
      <c r="M64" s="2"/>
      <c r="N64" s="99"/>
      <c r="O64" s="2"/>
      <c r="P64" s="100"/>
      <c r="Q64" s="99"/>
      <c r="R64" s="2"/>
      <c r="S64" s="98" t="s">
        <v>46</v>
      </c>
      <c r="T64" s="2"/>
      <c r="U64" s="2"/>
      <c r="V64" s="99"/>
      <c r="W64" s="2"/>
      <c r="X64" s="100"/>
      <c r="Y64" s="99"/>
      <c r="Z64" s="2"/>
      <c r="AA64" s="98" t="s">
        <v>46</v>
      </c>
      <c r="AB64" s="2"/>
      <c r="AC64" s="2"/>
      <c r="AD64" s="99"/>
      <c r="AE64" s="2"/>
      <c r="AF64" s="100"/>
      <c r="AG64" s="99"/>
      <c r="AH64" s="2"/>
      <c r="AI64" s="98" t="s">
        <v>46</v>
      </c>
      <c r="AJ64" s="2"/>
      <c r="AK64" s="2"/>
      <c r="AL64" s="99"/>
      <c r="AM64" s="2"/>
      <c r="AN64" s="100"/>
      <c r="AO64" s="99"/>
    </row>
    <row r="65" ht="15.75" customHeight="1">
      <c r="A65" s="93"/>
      <c r="B65" s="93"/>
      <c r="C65" s="98" t="s">
        <v>50</v>
      </c>
      <c r="D65" s="2"/>
      <c r="E65" s="2"/>
      <c r="F65" s="99"/>
      <c r="G65" s="2"/>
      <c r="H65" s="100"/>
      <c r="I65" s="99"/>
      <c r="J65" s="2"/>
      <c r="K65" s="98" t="s">
        <v>50</v>
      </c>
      <c r="L65" s="2"/>
      <c r="M65" s="2"/>
      <c r="N65" s="99"/>
      <c r="O65" s="2"/>
      <c r="P65" s="100"/>
      <c r="Q65" s="99"/>
      <c r="R65" s="2"/>
      <c r="S65" s="98" t="s">
        <v>50</v>
      </c>
      <c r="T65" s="2"/>
      <c r="U65" s="2"/>
      <c r="V65" s="99"/>
      <c r="W65" s="2"/>
      <c r="X65" s="100"/>
      <c r="Y65" s="99"/>
      <c r="Z65" s="2"/>
      <c r="AA65" s="98" t="s">
        <v>50</v>
      </c>
      <c r="AB65" s="2"/>
      <c r="AC65" s="2"/>
      <c r="AD65" s="99"/>
      <c r="AE65" s="2"/>
      <c r="AF65" s="100"/>
      <c r="AG65" s="99"/>
      <c r="AH65" s="2"/>
      <c r="AI65" s="98" t="s">
        <v>50</v>
      </c>
      <c r="AJ65" s="2"/>
      <c r="AK65" s="2"/>
      <c r="AL65" s="99"/>
      <c r="AM65" s="2"/>
      <c r="AN65" s="100"/>
      <c r="AO65" s="99"/>
    </row>
    <row r="66" ht="15.75" customHeight="1">
      <c r="A66" s="93"/>
      <c r="B66" s="93"/>
      <c r="C66" s="98" t="s">
        <v>52</v>
      </c>
      <c r="D66" s="2"/>
      <c r="E66" s="2"/>
      <c r="F66" s="99"/>
      <c r="G66" s="2"/>
      <c r="H66" s="100"/>
      <c r="I66" s="99"/>
      <c r="J66" s="2"/>
      <c r="K66" s="98" t="s">
        <v>52</v>
      </c>
      <c r="L66" s="2"/>
      <c r="M66" s="2"/>
      <c r="N66" s="99"/>
      <c r="O66" s="2"/>
      <c r="P66" s="100"/>
      <c r="Q66" s="99"/>
      <c r="R66" s="2"/>
      <c r="S66" s="98" t="s">
        <v>52</v>
      </c>
      <c r="T66" s="2"/>
      <c r="U66" s="2"/>
      <c r="V66" s="99"/>
      <c r="W66" s="2"/>
      <c r="X66" s="100"/>
      <c r="Y66" s="99"/>
      <c r="Z66" s="2"/>
      <c r="AA66" s="98" t="s">
        <v>52</v>
      </c>
      <c r="AB66" s="2"/>
      <c r="AC66" s="2"/>
      <c r="AD66" s="99"/>
      <c r="AE66" s="2"/>
      <c r="AF66" s="100"/>
      <c r="AG66" s="99"/>
      <c r="AH66" s="2"/>
      <c r="AI66" s="98" t="s">
        <v>52</v>
      </c>
      <c r="AJ66" s="2"/>
      <c r="AK66" s="2"/>
      <c r="AL66" s="99"/>
      <c r="AM66" s="2"/>
      <c r="AN66" s="100"/>
      <c r="AO66" s="99"/>
    </row>
    <row r="67" ht="15.75" customHeight="1">
      <c r="A67" s="93"/>
      <c r="B67" s="93"/>
      <c r="C67" s="98" t="s">
        <v>53</v>
      </c>
      <c r="D67" s="2"/>
      <c r="E67" s="2"/>
      <c r="F67" s="99"/>
      <c r="G67" s="2"/>
      <c r="H67" s="100"/>
      <c r="I67" s="99"/>
      <c r="J67" s="2"/>
      <c r="K67" s="98" t="s">
        <v>53</v>
      </c>
      <c r="L67" s="2"/>
      <c r="M67" s="2"/>
      <c r="N67" s="99"/>
      <c r="O67" s="2"/>
      <c r="P67" s="100"/>
      <c r="Q67" s="99"/>
      <c r="R67" s="2"/>
      <c r="S67" s="98" t="s">
        <v>53</v>
      </c>
      <c r="T67" s="2"/>
      <c r="U67" s="2"/>
      <c r="V67" s="99"/>
      <c r="W67" s="2"/>
      <c r="X67" s="100"/>
      <c r="Y67" s="99"/>
      <c r="Z67" s="2"/>
      <c r="AA67" s="98" t="s">
        <v>53</v>
      </c>
      <c r="AB67" s="2"/>
      <c r="AC67" s="2"/>
      <c r="AD67" s="99"/>
      <c r="AE67" s="2"/>
      <c r="AF67" s="100"/>
      <c r="AG67" s="99"/>
      <c r="AH67" s="2"/>
      <c r="AI67" s="98" t="s">
        <v>53</v>
      </c>
      <c r="AJ67" s="2"/>
      <c r="AK67" s="2"/>
      <c r="AL67" s="99"/>
      <c r="AM67" s="2"/>
      <c r="AN67" s="100"/>
      <c r="AO67" s="99"/>
    </row>
    <row r="68" ht="15.75" customHeight="1">
      <c r="A68" s="93"/>
      <c r="B68" s="93"/>
      <c r="C68" s="101" t="s">
        <v>54</v>
      </c>
      <c r="D68" s="43"/>
      <c r="E68" s="43"/>
      <c r="F68" s="99"/>
      <c r="G68" s="2"/>
      <c r="H68" s="100"/>
      <c r="I68" s="24" t="s">
        <v>79</v>
      </c>
      <c r="J68" s="2"/>
      <c r="K68" s="101" t="s">
        <v>54</v>
      </c>
      <c r="L68" s="43"/>
      <c r="M68" s="43"/>
      <c r="N68" s="99"/>
      <c r="O68" s="2"/>
      <c r="P68" s="100"/>
      <c r="Q68" s="24" t="s">
        <v>79</v>
      </c>
      <c r="R68" s="2"/>
      <c r="S68" s="101" t="s">
        <v>54</v>
      </c>
      <c r="T68" s="43"/>
      <c r="U68" s="43"/>
      <c r="V68" s="99"/>
      <c r="W68" s="2"/>
      <c r="X68" s="100"/>
      <c r="Y68" s="24" t="s">
        <v>79</v>
      </c>
      <c r="Z68" s="2"/>
      <c r="AA68" s="101" t="s">
        <v>54</v>
      </c>
      <c r="AB68" s="43"/>
      <c r="AC68" s="43"/>
      <c r="AD68" s="99"/>
      <c r="AE68" s="2"/>
      <c r="AF68" s="100"/>
      <c r="AG68" s="24" t="s">
        <v>79</v>
      </c>
      <c r="AH68" s="2"/>
      <c r="AI68" s="101" t="s">
        <v>54</v>
      </c>
      <c r="AJ68" s="43"/>
      <c r="AK68" s="43"/>
      <c r="AL68" s="99"/>
      <c r="AM68" s="2"/>
      <c r="AN68" s="100"/>
      <c r="AO68" s="24" t="s">
        <v>79</v>
      </c>
    </row>
    <row r="69" ht="15.75" customHeight="1">
      <c r="A69" s="93"/>
      <c r="B69" s="93"/>
      <c r="C69" s="92"/>
      <c r="D69" s="2"/>
      <c r="E69" s="2"/>
      <c r="F69" s="107">
        <f>SUM(F60:F68)</f>
        <v>0</v>
      </c>
      <c r="G69" s="108"/>
      <c r="H69" s="109">
        <f>SUM(H60:H68)</f>
        <v>0</v>
      </c>
      <c r="I69" s="110">
        <f>IF(H69=-F69, H69, IF(H69&gt;0, H69-F69, H69+F69))</f>
        <v>0</v>
      </c>
      <c r="J69" s="2"/>
      <c r="K69" s="92"/>
      <c r="L69" s="2"/>
      <c r="M69" s="2"/>
      <c r="N69" s="107">
        <f>SUM(N60:N68)</f>
        <v>0</v>
      </c>
      <c r="O69" s="108"/>
      <c r="P69" s="109">
        <f>SUM(P60:P68)</f>
        <v>0</v>
      </c>
      <c r="Q69" s="110">
        <f>IF(P69=-N69, P69, IF(P69&gt;0, P69-N69, P69+N69))</f>
        <v>0</v>
      </c>
      <c r="R69" s="2"/>
      <c r="S69" s="92"/>
      <c r="T69" s="2"/>
      <c r="U69" s="2"/>
      <c r="V69" s="107">
        <f>SUM(V60:V68)</f>
        <v>0</v>
      </c>
      <c r="W69" s="108"/>
      <c r="X69" s="109">
        <f>SUM(X60:X68)</f>
        <v>0</v>
      </c>
      <c r="Y69" s="110">
        <f>IF(X69=-V69, X69, IF(X69&gt;0, X69-V69, X69+V69))</f>
        <v>0</v>
      </c>
      <c r="Z69" s="2"/>
      <c r="AA69" s="92"/>
      <c r="AB69" s="2"/>
      <c r="AC69" s="2"/>
      <c r="AD69" s="107">
        <f>SUM(AD60:AD68)</f>
        <v>0</v>
      </c>
      <c r="AE69" s="108"/>
      <c r="AF69" s="109">
        <f>SUM(AF60:AF68)</f>
        <v>0</v>
      </c>
      <c r="AG69" s="110">
        <f>IF(AF69=-AD69, AF69, IF(AF69&gt;0, AF69-AD69, AF69+AD69))</f>
        <v>0</v>
      </c>
      <c r="AH69" s="2"/>
      <c r="AI69" s="92"/>
      <c r="AJ69" s="2"/>
      <c r="AK69" s="2"/>
      <c r="AL69" s="107">
        <f>SUM(AL60:AL68)</f>
        <v>0</v>
      </c>
      <c r="AM69" s="108"/>
      <c r="AN69" s="109">
        <f>SUM(AN60:AN68)</f>
        <v>0</v>
      </c>
      <c r="AO69" s="110">
        <f>IF(AN69=-AL69, AN69, IF(AN69&gt;0, AN69-AL69, AN69+AL69))</f>
        <v>0</v>
      </c>
    </row>
    <row r="70" ht="15.75" customHeight="1">
      <c r="A70" s="93"/>
      <c r="B70" s="93"/>
      <c r="C70" s="92"/>
      <c r="D70" s="2"/>
      <c r="E70" s="2"/>
      <c r="F70" s="2"/>
      <c r="G70" s="2"/>
      <c r="H70" s="2"/>
      <c r="I70" s="2"/>
      <c r="J70" s="2"/>
      <c r="K70" s="92"/>
      <c r="L70" s="2"/>
      <c r="M70" s="2"/>
      <c r="N70" s="2"/>
      <c r="O70" s="2"/>
      <c r="P70" s="2"/>
      <c r="Q70" s="2"/>
      <c r="R70" s="2"/>
      <c r="S70" s="92"/>
      <c r="T70" s="2"/>
      <c r="U70" s="2"/>
      <c r="V70" s="2"/>
      <c r="W70" s="2"/>
      <c r="X70" s="2"/>
      <c r="Y70" s="2"/>
      <c r="Z70" s="2"/>
      <c r="AA70" s="92"/>
      <c r="AB70" s="2"/>
      <c r="AC70" s="2"/>
      <c r="AD70" s="2"/>
      <c r="AE70" s="2"/>
      <c r="AF70" s="2"/>
      <c r="AG70" s="2"/>
      <c r="AH70" s="2"/>
      <c r="AI70" s="92"/>
      <c r="AJ70" s="2"/>
      <c r="AK70" s="2"/>
      <c r="AL70" s="2"/>
      <c r="AM70" s="93"/>
      <c r="AN70" s="93"/>
      <c r="AO70" s="93"/>
    </row>
    <row r="71" ht="15.75" customHeight="1">
      <c r="A71" s="93"/>
      <c r="B71" s="93"/>
      <c r="C71" s="92"/>
      <c r="D71" s="2"/>
      <c r="E71" s="2"/>
      <c r="F71" s="2"/>
      <c r="G71" s="2"/>
      <c r="H71" s="2"/>
      <c r="I71" s="2"/>
      <c r="J71" s="2"/>
      <c r="K71" s="92"/>
      <c r="L71" s="2"/>
      <c r="M71" s="2"/>
      <c r="N71" s="2"/>
      <c r="O71" s="2"/>
      <c r="P71" s="2"/>
      <c r="Q71" s="2"/>
      <c r="R71" s="2"/>
      <c r="S71" s="92"/>
      <c r="T71" s="2"/>
      <c r="U71" s="2"/>
      <c r="V71" s="2"/>
      <c r="W71" s="2"/>
      <c r="X71" s="2"/>
      <c r="Y71" s="2"/>
      <c r="Z71" s="2"/>
      <c r="AA71" s="92"/>
      <c r="AB71" s="2"/>
      <c r="AC71" s="2"/>
      <c r="AD71" s="2"/>
      <c r="AE71" s="2"/>
      <c r="AF71" s="2"/>
      <c r="AG71" s="2"/>
      <c r="AH71" s="2"/>
      <c r="AI71" s="92"/>
      <c r="AJ71" s="2"/>
      <c r="AK71" s="2"/>
      <c r="AL71" s="2"/>
      <c r="AM71" s="93"/>
      <c r="AN71" s="93"/>
      <c r="AO71" s="93"/>
    </row>
    <row r="72" ht="15.75" customHeight="1">
      <c r="A72" s="93"/>
      <c r="B72" s="9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93"/>
      <c r="AN72" s="93"/>
      <c r="AO72" s="93"/>
    </row>
    <row r="73" ht="15.75" customHeight="1">
      <c r="A73" s="93"/>
      <c r="B73" s="93"/>
      <c r="C73" s="77" t="s">
        <v>72</v>
      </c>
      <c r="D73" s="5"/>
      <c r="E73" s="5"/>
      <c r="F73" s="5"/>
      <c r="G73" s="5"/>
      <c r="H73" s="51"/>
      <c r="I73" s="93"/>
      <c r="J73" s="2"/>
      <c r="K73" s="77" t="s">
        <v>73</v>
      </c>
      <c r="L73" s="5"/>
      <c r="M73" s="5"/>
      <c r="N73" s="5"/>
      <c r="O73" s="5"/>
      <c r="P73" s="51"/>
      <c r="Q73" s="93"/>
      <c r="R73" s="2"/>
      <c r="S73" s="77" t="s">
        <v>74</v>
      </c>
      <c r="T73" s="5"/>
      <c r="U73" s="5"/>
      <c r="V73" s="5"/>
      <c r="W73" s="5"/>
      <c r="X73" s="51"/>
      <c r="Y73" s="93"/>
      <c r="Z73" s="2"/>
      <c r="AA73" s="77" t="s">
        <v>75</v>
      </c>
      <c r="AB73" s="5"/>
      <c r="AC73" s="5"/>
      <c r="AD73" s="5"/>
      <c r="AE73" s="5"/>
      <c r="AF73" s="51"/>
      <c r="AG73" s="93"/>
      <c r="AH73" s="2"/>
      <c r="AI73" s="87"/>
      <c r="AJ73" s="111"/>
      <c r="AK73" s="111"/>
      <c r="AL73" s="111"/>
      <c r="AM73" s="111"/>
      <c r="AN73" s="111"/>
      <c r="AO73" s="93"/>
    </row>
    <row r="74" ht="15.75" customHeight="1">
      <c r="A74" s="93"/>
      <c r="B74" s="93"/>
      <c r="C74" s="78"/>
      <c r="D74" s="79" t="s">
        <v>80</v>
      </c>
      <c r="E74" s="79" t="s">
        <v>81</v>
      </c>
      <c r="F74" s="79" t="s">
        <v>82</v>
      </c>
      <c r="G74" s="79" t="s">
        <v>83</v>
      </c>
      <c r="H74" s="80" t="s">
        <v>84</v>
      </c>
      <c r="I74" s="93"/>
      <c r="J74" s="2"/>
      <c r="K74" s="78"/>
      <c r="L74" s="79" t="s">
        <v>80</v>
      </c>
      <c r="M74" s="79" t="s">
        <v>81</v>
      </c>
      <c r="N74" s="79" t="s">
        <v>82</v>
      </c>
      <c r="O74" s="79" t="s">
        <v>83</v>
      </c>
      <c r="P74" s="80" t="s">
        <v>84</v>
      </c>
      <c r="Q74" s="93"/>
      <c r="R74" s="2"/>
      <c r="S74" s="78"/>
      <c r="T74" s="79" t="s">
        <v>80</v>
      </c>
      <c r="U74" s="79" t="s">
        <v>81</v>
      </c>
      <c r="V74" s="79" t="s">
        <v>82</v>
      </c>
      <c r="W74" s="79" t="s">
        <v>83</v>
      </c>
      <c r="X74" s="80" t="s">
        <v>84</v>
      </c>
      <c r="Y74" s="93"/>
      <c r="Z74" s="2"/>
      <c r="AA74" s="78"/>
      <c r="AB74" s="79" t="s">
        <v>80</v>
      </c>
      <c r="AC74" s="79" t="s">
        <v>81</v>
      </c>
      <c r="AD74" s="79" t="s">
        <v>82</v>
      </c>
      <c r="AE74" s="79" t="s">
        <v>83</v>
      </c>
      <c r="AF74" s="80" t="s">
        <v>84</v>
      </c>
      <c r="AG74" s="93"/>
      <c r="AH74" s="2"/>
      <c r="AI74" s="2"/>
      <c r="AJ74" s="24"/>
      <c r="AK74" s="24"/>
      <c r="AL74" s="24"/>
      <c r="AM74" s="24"/>
      <c r="AN74" s="24"/>
      <c r="AO74" s="93"/>
    </row>
    <row r="75" ht="15.75" customHeight="1">
      <c r="A75" s="93"/>
      <c r="B75" s="93"/>
      <c r="C75" s="98" t="s">
        <v>33</v>
      </c>
      <c r="D75" s="2"/>
      <c r="E75" s="2"/>
      <c r="F75" s="99"/>
      <c r="G75" s="2"/>
      <c r="H75" s="100"/>
      <c r="I75" s="99"/>
      <c r="J75" s="2"/>
      <c r="K75" s="98" t="s">
        <v>33</v>
      </c>
      <c r="L75" s="2"/>
      <c r="M75" s="2"/>
      <c r="N75" s="99"/>
      <c r="O75" s="2"/>
      <c r="P75" s="100"/>
      <c r="Q75" s="99"/>
      <c r="R75" s="2"/>
      <c r="S75" s="98" t="s">
        <v>33</v>
      </c>
      <c r="T75" s="2"/>
      <c r="U75" s="2"/>
      <c r="V75" s="99"/>
      <c r="W75" s="2"/>
      <c r="X75" s="100"/>
      <c r="Y75" s="99"/>
      <c r="Z75" s="2"/>
      <c r="AA75" s="98" t="s">
        <v>33</v>
      </c>
      <c r="AB75" s="2"/>
      <c r="AC75" s="2"/>
      <c r="AD75" s="99"/>
      <c r="AE75" s="2"/>
      <c r="AF75" s="100"/>
      <c r="AG75" s="99"/>
      <c r="AH75" s="2"/>
      <c r="AI75" s="92"/>
      <c r="AJ75" s="2"/>
      <c r="AK75" s="2"/>
      <c r="AL75" s="99"/>
      <c r="AM75" s="2"/>
      <c r="AN75" s="99"/>
      <c r="AO75" s="99"/>
    </row>
    <row r="76" ht="15.75" customHeight="1">
      <c r="A76" s="93"/>
      <c r="B76" s="93"/>
      <c r="C76" s="98" t="s">
        <v>36</v>
      </c>
      <c r="D76" s="2"/>
      <c r="E76" s="2"/>
      <c r="F76" s="99"/>
      <c r="G76" s="2"/>
      <c r="H76" s="100"/>
      <c r="I76" s="99"/>
      <c r="J76" s="2"/>
      <c r="K76" s="98" t="s">
        <v>36</v>
      </c>
      <c r="L76" s="2"/>
      <c r="M76" s="2"/>
      <c r="N76" s="99"/>
      <c r="O76" s="2"/>
      <c r="P76" s="100"/>
      <c r="Q76" s="99"/>
      <c r="R76" s="2"/>
      <c r="S76" s="98" t="s">
        <v>36</v>
      </c>
      <c r="T76" s="2"/>
      <c r="U76" s="2"/>
      <c r="V76" s="99"/>
      <c r="W76" s="2"/>
      <c r="X76" s="100"/>
      <c r="Y76" s="99"/>
      <c r="Z76" s="2"/>
      <c r="AA76" s="98" t="s">
        <v>36</v>
      </c>
      <c r="AB76" s="2"/>
      <c r="AC76" s="2"/>
      <c r="AD76" s="99"/>
      <c r="AE76" s="2"/>
      <c r="AF76" s="100"/>
      <c r="AG76" s="99"/>
      <c r="AH76" s="2"/>
      <c r="AI76" s="92"/>
      <c r="AJ76" s="2"/>
      <c r="AK76" s="2"/>
      <c r="AL76" s="99"/>
      <c r="AM76" s="2"/>
      <c r="AN76" s="99"/>
      <c r="AO76" s="99"/>
    </row>
    <row r="77" ht="15.75" customHeight="1">
      <c r="A77" s="93"/>
      <c r="B77" s="93"/>
      <c r="C77" s="98" t="s">
        <v>41</v>
      </c>
      <c r="D77" s="2"/>
      <c r="E77" s="2"/>
      <c r="F77" s="99"/>
      <c r="G77" s="2"/>
      <c r="H77" s="100"/>
      <c r="I77" s="99"/>
      <c r="J77" s="2"/>
      <c r="K77" s="98" t="s">
        <v>41</v>
      </c>
      <c r="L77" s="2"/>
      <c r="M77" s="2"/>
      <c r="N77" s="99"/>
      <c r="O77" s="2"/>
      <c r="P77" s="100"/>
      <c r="Q77" s="99"/>
      <c r="R77" s="2"/>
      <c r="S77" s="98" t="s">
        <v>41</v>
      </c>
      <c r="T77" s="2"/>
      <c r="U77" s="2"/>
      <c r="V77" s="99"/>
      <c r="W77" s="2"/>
      <c r="X77" s="100"/>
      <c r="Y77" s="99"/>
      <c r="Z77" s="2"/>
      <c r="AA77" s="98" t="s">
        <v>41</v>
      </c>
      <c r="AB77" s="2"/>
      <c r="AC77" s="2"/>
      <c r="AD77" s="99"/>
      <c r="AE77" s="2"/>
      <c r="AF77" s="100"/>
      <c r="AG77" s="99"/>
      <c r="AH77" s="2"/>
      <c r="AI77" s="92"/>
      <c r="AJ77" s="2"/>
      <c r="AK77" s="2"/>
      <c r="AL77" s="99"/>
      <c r="AM77" s="2"/>
      <c r="AN77" s="99"/>
      <c r="AO77" s="99"/>
    </row>
    <row r="78" ht="15.75" customHeight="1">
      <c r="A78" s="93"/>
      <c r="B78" s="93"/>
      <c r="C78" s="98" t="s">
        <v>44</v>
      </c>
      <c r="D78" s="2"/>
      <c r="E78" s="2"/>
      <c r="F78" s="99"/>
      <c r="G78" s="2"/>
      <c r="H78" s="100"/>
      <c r="I78" s="99"/>
      <c r="J78" s="2"/>
      <c r="K78" s="98" t="s">
        <v>44</v>
      </c>
      <c r="L78" s="2"/>
      <c r="M78" s="2"/>
      <c r="N78" s="99"/>
      <c r="O78" s="2"/>
      <c r="P78" s="100"/>
      <c r="Q78" s="99"/>
      <c r="R78" s="2"/>
      <c r="S78" s="98" t="s">
        <v>44</v>
      </c>
      <c r="T78" s="2"/>
      <c r="U78" s="2"/>
      <c r="V78" s="99"/>
      <c r="W78" s="2"/>
      <c r="X78" s="100"/>
      <c r="Y78" s="99"/>
      <c r="Z78" s="2"/>
      <c r="AA78" s="98" t="s">
        <v>44</v>
      </c>
      <c r="AB78" s="2"/>
      <c r="AC78" s="2"/>
      <c r="AD78" s="99"/>
      <c r="AE78" s="2"/>
      <c r="AF78" s="100"/>
      <c r="AG78" s="99"/>
      <c r="AH78" s="2"/>
      <c r="AI78" s="92"/>
      <c r="AJ78" s="2"/>
      <c r="AK78" s="2"/>
      <c r="AL78" s="99"/>
      <c r="AM78" s="2"/>
      <c r="AN78" s="99"/>
      <c r="AO78" s="99"/>
    </row>
    <row r="79" ht="15.75" customHeight="1">
      <c r="A79" s="93"/>
      <c r="B79" s="93"/>
      <c r="C79" s="98" t="s">
        <v>46</v>
      </c>
      <c r="D79" s="2"/>
      <c r="E79" s="2"/>
      <c r="F79" s="99"/>
      <c r="G79" s="2"/>
      <c r="H79" s="100"/>
      <c r="I79" s="99"/>
      <c r="J79" s="24"/>
      <c r="K79" s="98" t="s">
        <v>46</v>
      </c>
      <c r="L79" s="2"/>
      <c r="M79" s="2"/>
      <c r="N79" s="99"/>
      <c r="O79" s="2"/>
      <c r="P79" s="100"/>
      <c r="Q79" s="99"/>
      <c r="R79" s="2"/>
      <c r="S79" s="98" t="s">
        <v>46</v>
      </c>
      <c r="T79" s="2"/>
      <c r="U79" s="2"/>
      <c r="V79" s="99"/>
      <c r="W79" s="2"/>
      <c r="X79" s="100"/>
      <c r="Y79" s="99"/>
      <c r="Z79" s="2"/>
      <c r="AA79" s="98" t="s">
        <v>46</v>
      </c>
      <c r="AB79" s="2"/>
      <c r="AC79" s="2"/>
      <c r="AD79" s="99"/>
      <c r="AE79" s="2"/>
      <c r="AF79" s="100"/>
      <c r="AG79" s="99"/>
      <c r="AH79" s="2"/>
      <c r="AI79" s="92"/>
      <c r="AJ79" s="2"/>
      <c r="AK79" s="2"/>
      <c r="AL79" s="99"/>
      <c r="AM79" s="2"/>
      <c r="AN79" s="99"/>
      <c r="AO79" s="99"/>
    </row>
    <row r="80" ht="15.75" customHeight="1">
      <c r="A80" s="93"/>
      <c r="B80" s="93"/>
      <c r="C80" s="98" t="s">
        <v>50</v>
      </c>
      <c r="D80" s="2"/>
      <c r="E80" s="2"/>
      <c r="F80" s="99"/>
      <c r="G80" s="2"/>
      <c r="H80" s="100"/>
      <c r="I80" s="99"/>
      <c r="J80" s="2"/>
      <c r="K80" s="98" t="s">
        <v>50</v>
      </c>
      <c r="L80" s="2"/>
      <c r="M80" s="2"/>
      <c r="N80" s="99"/>
      <c r="O80" s="2"/>
      <c r="P80" s="100"/>
      <c r="Q80" s="99"/>
      <c r="R80" s="2"/>
      <c r="S80" s="98" t="s">
        <v>50</v>
      </c>
      <c r="T80" s="2"/>
      <c r="U80" s="2"/>
      <c r="V80" s="99"/>
      <c r="W80" s="2"/>
      <c r="X80" s="100"/>
      <c r="Y80" s="99"/>
      <c r="Z80" s="2"/>
      <c r="AA80" s="98" t="s">
        <v>50</v>
      </c>
      <c r="AB80" s="2"/>
      <c r="AC80" s="2"/>
      <c r="AD80" s="99"/>
      <c r="AE80" s="2"/>
      <c r="AF80" s="100"/>
      <c r="AG80" s="99"/>
      <c r="AH80" s="2"/>
      <c r="AI80" s="92"/>
      <c r="AJ80" s="2"/>
      <c r="AK80" s="2"/>
      <c r="AL80" s="99"/>
      <c r="AM80" s="2"/>
      <c r="AN80" s="99"/>
      <c r="AO80" s="99"/>
    </row>
    <row r="81" ht="15.75" customHeight="1">
      <c r="A81" s="93"/>
      <c r="B81" s="93"/>
      <c r="C81" s="98" t="s">
        <v>52</v>
      </c>
      <c r="D81" s="2"/>
      <c r="E81" s="2"/>
      <c r="F81" s="99"/>
      <c r="G81" s="2"/>
      <c r="H81" s="100"/>
      <c r="I81" s="99"/>
      <c r="J81" s="2"/>
      <c r="K81" s="98" t="s">
        <v>52</v>
      </c>
      <c r="L81" s="2"/>
      <c r="M81" s="2"/>
      <c r="N81" s="99"/>
      <c r="O81" s="2"/>
      <c r="P81" s="100"/>
      <c r="Q81" s="99"/>
      <c r="R81" s="2"/>
      <c r="S81" s="98" t="s">
        <v>52</v>
      </c>
      <c r="T81" s="2"/>
      <c r="U81" s="2"/>
      <c r="V81" s="99"/>
      <c r="W81" s="2"/>
      <c r="X81" s="100"/>
      <c r="Y81" s="99"/>
      <c r="Z81" s="2"/>
      <c r="AA81" s="98" t="s">
        <v>52</v>
      </c>
      <c r="AB81" s="2"/>
      <c r="AC81" s="2"/>
      <c r="AD81" s="99"/>
      <c r="AE81" s="2"/>
      <c r="AF81" s="100"/>
      <c r="AG81" s="99"/>
      <c r="AH81" s="2"/>
      <c r="AI81" s="92"/>
      <c r="AJ81" s="2"/>
      <c r="AK81" s="2"/>
      <c r="AL81" s="99"/>
      <c r="AM81" s="2"/>
      <c r="AN81" s="99"/>
      <c r="AO81" s="99"/>
    </row>
    <row r="82" ht="15.75" customHeight="1">
      <c r="A82" s="93"/>
      <c r="B82" s="93"/>
      <c r="C82" s="98" t="s">
        <v>53</v>
      </c>
      <c r="D82" s="2"/>
      <c r="E82" s="2"/>
      <c r="F82" s="99"/>
      <c r="G82" s="2"/>
      <c r="H82" s="100"/>
      <c r="I82" s="99"/>
      <c r="J82" s="2"/>
      <c r="K82" s="98" t="s">
        <v>53</v>
      </c>
      <c r="L82" s="2"/>
      <c r="M82" s="2"/>
      <c r="N82" s="99"/>
      <c r="O82" s="2"/>
      <c r="P82" s="100"/>
      <c r="Q82" s="99"/>
      <c r="R82" s="2"/>
      <c r="S82" s="98" t="s">
        <v>53</v>
      </c>
      <c r="T82" s="2"/>
      <c r="U82" s="2"/>
      <c r="V82" s="99"/>
      <c r="W82" s="2"/>
      <c r="X82" s="100"/>
      <c r="Y82" s="99"/>
      <c r="Z82" s="2"/>
      <c r="AA82" s="98" t="s">
        <v>53</v>
      </c>
      <c r="AB82" s="2"/>
      <c r="AC82" s="2"/>
      <c r="AD82" s="99"/>
      <c r="AE82" s="2"/>
      <c r="AF82" s="100"/>
      <c r="AG82" s="99"/>
      <c r="AH82" s="2"/>
      <c r="AI82" s="92"/>
      <c r="AJ82" s="2"/>
      <c r="AK82" s="2"/>
      <c r="AL82" s="99"/>
      <c r="AM82" s="2"/>
      <c r="AN82" s="99"/>
      <c r="AO82" s="99"/>
    </row>
    <row r="83" ht="15.75" customHeight="1">
      <c r="A83" s="93"/>
      <c r="B83" s="93"/>
      <c r="C83" s="101" t="s">
        <v>54</v>
      </c>
      <c r="D83" s="43"/>
      <c r="E83" s="43"/>
      <c r="F83" s="99"/>
      <c r="G83" s="2"/>
      <c r="H83" s="100"/>
      <c r="I83" s="24" t="s">
        <v>79</v>
      </c>
      <c r="J83" s="2"/>
      <c r="K83" s="101" t="s">
        <v>54</v>
      </c>
      <c r="L83" s="43"/>
      <c r="M83" s="43"/>
      <c r="N83" s="99"/>
      <c r="O83" s="2"/>
      <c r="P83" s="100"/>
      <c r="Q83" s="24" t="s">
        <v>79</v>
      </c>
      <c r="R83" s="2"/>
      <c r="S83" s="101" t="s">
        <v>54</v>
      </c>
      <c r="T83" s="43"/>
      <c r="U83" s="43"/>
      <c r="V83" s="99"/>
      <c r="W83" s="2"/>
      <c r="X83" s="100"/>
      <c r="Y83" s="24" t="s">
        <v>79</v>
      </c>
      <c r="Z83" s="2"/>
      <c r="AA83" s="101" t="s">
        <v>54</v>
      </c>
      <c r="AB83" s="43"/>
      <c r="AC83" s="43"/>
      <c r="AD83" s="99"/>
      <c r="AE83" s="2"/>
      <c r="AF83" s="100"/>
      <c r="AG83" s="24" t="s">
        <v>79</v>
      </c>
      <c r="AH83" s="2"/>
      <c r="AI83" s="92"/>
      <c r="AJ83" s="2"/>
      <c r="AK83" s="2"/>
      <c r="AL83" s="99"/>
      <c r="AM83" s="2"/>
      <c r="AN83" s="99"/>
      <c r="AO83" s="24"/>
    </row>
    <row r="84" ht="15.75" customHeight="1">
      <c r="A84" s="93"/>
      <c r="B84" s="93"/>
      <c r="C84" s="92"/>
      <c r="D84" s="2"/>
      <c r="E84" s="2"/>
      <c r="F84" s="107">
        <f>SUM(F75:F83)</f>
        <v>0</v>
      </c>
      <c r="G84" s="108"/>
      <c r="H84" s="109">
        <f>SUM(H75:H83)</f>
        <v>0</v>
      </c>
      <c r="I84" s="110">
        <f>IF(H84=-F84, H84, IF(H84&gt;0, H84-F84, H84+F84))</f>
        <v>0</v>
      </c>
      <c r="J84" s="2"/>
      <c r="K84" s="92"/>
      <c r="L84" s="2"/>
      <c r="M84" s="2"/>
      <c r="N84" s="107">
        <f>SUM(N75:N83)</f>
        <v>0</v>
      </c>
      <c r="O84" s="108"/>
      <c r="P84" s="109">
        <f>SUM(P75:P83)</f>
        <v>0</v>
      </c>
      <c r="Q84" s="110">
        <f>IF(P84=-N84, P84, IF(P84&gt;0, P84-N84, P84+N84))</f>
        <v>0</v>
      </c>
      <c r="R84" s="2"/>
      <c r="S84" s="92"/>
      <c r="T84" s="2"/>
      <c r="U84" s="2"/>
      <c r="V84" s="107">
        <f>SUM(V75:V83)</f>
        <v>0</v>
      </c>
      <c r="W84" s="108"/>
      <c r="X84" s="109">
        <f>SUM(X75:X83)</f>
        <v>0</v>
      </c>
      <c r="Y84" s="110">
        <f>IF(X84=-V84, X84, IF(X84&gt;0, X84-V84, X84+V84))</f>
        <v>0</v>
      </c>
      <c r="Z84" s="2"/>
      <c r="AA84" s="92"/>
      <c r="AB84" s="2"/>
      <c r="AC84" s="2"/>
      <c r="AD84" s="107">
        <f>SUM(AD75:AD83)</f>
        <v>0</v>
      </c>
      <c r="AE84" s="108"/>
      <c r="AF84" s="109">
        <f>SUM(AF75:AF83)</f>
        <v>0</v>
      </c>
      <c r="AG84" s="110">
        <f>IF(AF84=-AD84, AF84, IF(AF84&gt;0, AF84-AD84, AF84+AD84))</f>
        <v>0</v>
      </c>
      <c r="AH84" s="2"/>
      <c r="AI84" s="92"/>
      <c r="AJ84" s="2"/>
      <c r="AK84" s="2"/>
      <c r="AL84" s="99"/>
      <c r="AM84" s="2"/>
      <c r="AN84" s="99"/>
      <c r="AO84" s="99"/>
    </row>
    <row r="85" ht="15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</row>
    <row r="86" ht="15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</row>
    <row r="87" ht="15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</row>
    <row r="88" ht="15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</row>
    <row r="89" ht="15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24"/>
      <c r="N89" s="24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</row>
    <row r="90" ht="15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2"/>
      <c r="M90" s="112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</row>
    <row r="91" ht="15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2"/>
      <c r="M91" s="112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</row>
    <row r="92" ht="15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2"/>
      <c r="M92" s="112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</row>
    <row r="93" ht="15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2"/>
      <c r="M93" s="112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</row>
    <row r="94" ht="15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2"/>
      <c r="M94" s="112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</row>
    <row r="95" ht="15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2"/>
      <c r="M95" s="112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  <c r="AO95" s="93"/>
    </row>
    <row r="96" ht="15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2"/>
      <c r="M96" s="112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</row>
    <row r="97" ht="15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2"/>
      <c r="M97" s="112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</row>
    <row r="98" ht="15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</row>
    <row r="99" ht="15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93"/>
    </row>
    <row r="100" ht="15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</row>
    <row r="101" ht="15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</row>
    <row r="102" ht="15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</row>
    <row r="103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/>
    </row>
    <row r="104" ht="15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</row>
    <row r="105" ht="15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</row>
    <row r="106" ht="15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</row>
    <row r="107" ht="15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</row>
    <row r="108" ht="15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</row>
    <row r="109" ht="15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</row>
    <row r="110" ht="15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</row>
    <row r="111" ht="15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</row>
    <row r="112" ht="15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</row>
    <row r="113" ht="15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</row>
    <row r="114" ht="15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</row>
    <row r="115" ht="15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  <c r="AO115" s="93"/>
    </row>
    <row r="116" ht="15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</row>
    <row r="117" ht="15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</row>
    <row r="118" ht="15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</row>
    <row r="119" ht="15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</row>
    <row r="120" ht="15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</row>
    <row r="121" ht="15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</row>
    <row r="122" ht="15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</row>
    <row r="123" ht="15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</row>
    <row r="124" ht="15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</row>
    <row r="125" ht="15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</row>
    <row r="126" ht="15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</row>
    <row r="127" ht="15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</row>
    <row r="128" ht="15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</row>
    <row r="129" ht="15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</row>
    <row r="130" ht="15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</row>
    <row r="131" ht="15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  <c r="AO131" s="93"/>
    </row>
    <row r="132" ht="15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</row>
    <row r="133" ht="15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  <c r="AO133" s="93"/>
    </row>
    <row r="134" ht="15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</row>
    <row r="135" ht="15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  <c r="AO135" s="93"/>
    </row>
    <row r="136" ht="15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</row>
    <row r="137" ht="15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</row>
    <row r="138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  <c r="AO138" s="93"/>
    </row>
    <row r="139" ht="15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</row>
    <row r="140" ht="15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  <c r="AO140" s="93"/>
    </row>
    <row r="141" ht="15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  <c r="AO141" s="93"/>
    </row>
    <row r="142" ht="15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</row>
    <row r="143" ht="15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</row>
    <row r="144" ht="15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</row>
    <row r="145" ht="15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</row>
    <row r="146" ht="15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</row>
    <row r="147" ht="15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</row>
    <row r="148" ht="15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</row>
    <row r="149" ht="15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</row>
    <row r="150" ht="15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</row>
    <row r="151" ht="15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</row>
    <row r="152" ht="15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</row>
    <row r="153" ht="15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</row>
    <row r="154" ht="15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</row>
    <row r="155" ht="15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</row>
    <row r="156" ht="15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</row>
    <row r="157" ht="15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</row>
    <row r="158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</row>
    <row r="159" ht="15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</row>
    <row r="160" ht="15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</row>
    <row r="161" ht="15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</row>
    <row r="16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</row>
    <row r="163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</row>
    <row r="164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</row>
    <row r="165" ht="15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</row>
    <row r="166" ht="15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</row>
    <row r="167" ht="15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</row>
    <row r="168" ht="15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</row>
    <row r="169" ht="15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</row>
    <row r="170" ht="15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</row>
    <row r="171" ht="15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</row>
    <row r="172" ht="15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</row>
    <row r="173" ht="15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</row>
    <row r="174" ht="15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</row>
    <row r="175" ht="15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</row>
    <row r="176" ht="15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</row>
    <row r="177" ht="15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</row>
    <row r="178" ht="15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</row>
    <row r="179" ht="15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</row>
    <row r="180" ht="15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</row>
    <row r="181" ht="15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</row>
    <row r="182" ht="15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</row>
    <row r="183" ht="15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</row>
    <row r="184" ht="15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</row>
    <row r="185" ht="15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</row>
    <row r="186" ht="15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</row>
    <row r="187" ht="15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</row>
    <row r="188" ht="15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</row>
    <row r="189" ht="15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</row>
    <row r="190" ht="15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</row>
    <row r="191" ht="15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</row>
    <row r="192" ht="15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</row>
    <row r="193" ht="15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</row>
    <row r="194" ht="15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</row>
    <row r="195" ht="15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</row>
    <row r="196" ht="15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</row>
    <row r="197" ht="15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  <c r="AO197" s="93"/>
    </row>
    <row r="198" ht="15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  <c r="AO198" s="93"/>
    </row>
    <row r="199" ht="15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</row>
    <row r="200" ht="15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</row>
    <row r="201" ht="15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</row>
    <row r="202" ht="15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</row>
    <row r="203" ht="15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</row>
    <row r="204" ht="15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</row>
    <row r="205" ht="15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  <c r="AO205" s="93"/>
    </row>
    <row r="206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</row>
    <row r="207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</row>
    <row r="208" ht="15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</row>
    <row r="209" ht="15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</row>
    <row r="210" ht="15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</row>
    <row r="211" ht="15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</row>
    <row r="212" ht="15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</row>
    <row r="213" ht="15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  <c r="AO213" s="93"/>
    </row>
    <row r="214" ht="15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  <c r="AO214" s="93"/>
    </row>
    <row r="215" ht="15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</row>
    <row r="216" ht="15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  <c r="AO216" s="93"/>
    </row>
    <row r="217" ht="15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  <c r="AO217" s="93"/>
    </row>
    <row r="218" ht="15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</row>
    <row r="219" ht="15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</row>
    <row r="220" ht="15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  <c r="AO220" s="93"/>
    </row>
    <row r="221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  <c r="AO221" s="93"/>
    </row>
    <row r="22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  <c r="AO222" s="93"/>
    </row>
    <row r="223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  <c r="AO223" s="93"/>
    </row>
    <row r="224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  <c r="AO224" s="93"/>
    </row>
    <row r="225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  <c r="AO225" s="93"/>
    </row>
    <row r="226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  <c r="AO226" s="93"/>
    </row>
    <row r="227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</row>
    <row r="228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  <c r="AO228" s="93"/>
    </row>
    <row r="229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  <c r="AO229" s="93"/>
    </row>
    <row r="230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  <c r="AO230" s="93"/>
    </row>
    <row r="231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  <c r="AO231" s="93"/>
    </row>
    <row r="23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  <c r="AO232" s="93"/>
    </row>
    <row r="233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  <c r="AM233" s="93"/>
      <c r="AN233" s="93"/>
      <c r="AO233" s="93"/>
    </row>
    <row r="234" ht="15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  <c r="AM234" s="93"/>
      <c r="AN234" s="93"/>
      <c r="AO234" s="93"/>
    </row>
    <row r="235" ht="15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  <c r="AM235" s="93"/>
      <c r="AN235" s="93"/>
      <c r="AO235" s="93"/>
    </row>
    <row r="236" ht="15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  <c r="AM236" s="93"/>
      <c r="AN236" s="93"/>
      <c r="AO236" s="93"/>
    </row>
    <row r="237" ht="15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  <c r="AM237" s="93"/>
      <c r="AN237" s="93"/>
      <c r="AO237" s="93"/>
    </row>
    <row r="238" ht="15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  <c r="AM238" s="93"/>
      <c r="AN238" s="93"/>
      <c r="AO238" s="93"/>
    </row>
    <row r="239" ht="15.7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  <c r="AM239" s="93"/>
      <c r="AN239" s="93"/>
      <c r="AO239" s="93"/>
    </row>
    <row r="240" ht="15.7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  <c r="AM240" s="93"/>
      <c r="AN240" s="93"/>
      <c r="AO240" s="93"/>
    </row>
    <row r="241" ht="15.7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  <c r="AM241" s="93"/>
      <c r="AN241" s="93"/>
      <c r="AO241" s="93"/>
    </row>
    <row r="242" ht="15.7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  <c r="AM242" s="93"/>
      <c r="AN242" s="93"/>
      <c r="AO242" s="93"/>
    </row>
    <row r="243" ht="15.7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  <c r="AM243" s="93"/>
      <c r="AN243" s="93"/>
      <c r="AO243" s="93"/>
    </row>
    <row r="244" ht="15.7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  <c r="AM244" s="93"/>
      <c r="AN244" s="93"/>
      <c r="AO244" s="93"/>
    </row>
    <row r="245" ht="15.7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  <c r="AM245" s="93"/>
      <c r="AN245" s="93"/>
      <c r="AO245" s="93"/>
    </row>
    <row r="246" ht="15.75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  <c r="AM246" s="93"/>
      <c r="AN246" s="93"/>
      <c r="AO246" s="93"/>
    </row>
    <row r="247" ht="15.75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  <c r="AM247" s="93"/>
      <c r="AN247" s="93"/>
      <c r="AO247" s="93"/>
    </row>
    <row r="248" ht="15.75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  <c r="AM248" s="93"/>
      <c r="AN248" s="93"/>
      <c r="AO248" s="93"/>
    </row>
    <row r="249" ht="15.75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  <c r="AM249" s="93"/>
      <c r="AN249" s="93"/>
      <c r="AO249" s="93"/>
    </row>
    <row r="250" ht="15.75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  <c r="AM250" s="93"/>
      <c r="AN250" s="93"/>
      <c r="AO250" s="93"/>
    </row>
    <row r="251" ht="15.7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  <c r="AM251" s="93"/>
      <c r="AN251" s="93"/>
      <c r="AO251" s="93"/>
    </row>
    <row r="252" ht="15.7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  <c r="AM252" s="93"/>
      <c r="AN252" s="93"/>
      <c r="AO252" s="93"/>
    </row>
    <row r="253" ht="15.7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  <c r="AM253" s="93"/>
      <c r="AN253" s="93"/>
      <c r="AO253" s="93"/>
    </row>
    <row r="254" ht="15.7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  <c r="AM254" s="93"/>
      <c r="AN254" s="93"/>
      <c r="AO254" s="93"/>
    </row>
    <row r="255" ht="15.7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  <c r="AM255" s="93"/>
      <c r="AN255" s="93"/>
      <c r="AO255" s="93"/>
    </row>
    <row r="256" ht="15.7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  <c r="AM256" s="93"/>
      <c r="AN256" s="93"/>
      <c r="AO256" s="93"/>
    </row>
    <row r="257" ht="15.7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  <c r="AM257" s="93"/>
      <c r="AN257" s="93"/>
      <c r="AO257" s="93"/>
    </row>
    <row r="258" ht="15.7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  <c r="AM258" s="93"/>
      <c r="AN258" s="93"/>
      <c r="AO258" s="93"/>
    </row>
    <row r="259" ht="15.7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  <c r="AM259" s="93"/>
      <c r="AN259" s="93"/>
      <c r="AO259" s="93"/>
    </row>
    <row r="260" ht="15.7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  <c r="AM260" s="93"/>
      <c r="AN260" s="93"/>
      <c r="AO260" s="93"/>
    </row>
    <row r="261" ht="15.7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  <c r="AM261" s="93"/>
      <c r="AN261" s="93"/>
      <c r="AO261" s="93"/>
    </row>
    <row r="262" ht="15.7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  <c r="AM262" s="93"/>
      <c r="AN262" s="93"/>
      <c r="AO262" s="93"/>
    </row>
    <row r="263" ht="15.7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  <c r="AM263" s="93"/>
      <c r="AN263" s="93"/>
      <c r="AO263" s="93"/>
    </row>
    <row r="264" ht="15.7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  <c r="AM264" s="93"/>
      <c r="AN264" s="93"/>
      <c r="AO264" s="93"/>
    </row>
    <row r="265" ht="15.7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  <c r="AM265" s="93"/>
      <c r="AN265" s="93"/>
      <c r="AO265" s="93"/>
    </row>
    <row r="266" ht="15.7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  <c r="AM266" s="93"/>
      <c r="AN266" s="93"/>
      <c r="AO266" s="93"/>
    </row>
    <row r="267" ht="15.7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  <c r="AM267" s="93"/>
      <c r="AN267" s="93"/>
      <c r="AO267" s="93"/>
    </row>
    <row r="268" ht="15.7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  <c r="AM268" s="93"/>
      <c r="AN268" s="93"/>
      <c r="AO268" s="93"/>
    </row>
    <row r="269" ht="15.7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  <c r="AM269" s="93"/>
      <c r="AN269" s="93"/>
      <c r="AO269" s="93"/>
    </row>
    <row r="270" ht="15.7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  <c r="AM270" s="93"/>
      <c r="AN270" s="93"/>
      <c r="AO270" s="93"/>
    </row>
    <row r="271" ht="15.7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  <c r="AM271" s="93"/>
      <c r="AN271" s="93"/>
      <c r="AO271" s="93"/>
    </row>
    <row r="272" ht="15.7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  <c r="AM272" s="93"/>
      <c r="AN272" s="93"/>
      <c r="AO272" s="93"/>
    </row>
    <row r="273" ht="15.7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  <c r="AM273" s="93"/>
      <c r="AN273" s="93"/>
      <c r="AO273" s="93"/>
    </row>
    <row r="274" ht="15.7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  <c r="AM274" s="93"/>
      <c r="AN274" s="93"/>
      <c r="AO274" s="93"/>
    </row>
    <row r="275" ht="15.7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  <c r="AM275" s="93"/>
      <c r="AN275" s="93"/>
      <c r="AO275" s="93"/>
    </row>
    <row r="276" ht="15.7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  <c r="AM276" s="93"/>
      <c r="AN276" s="93"/>
      <c r="AO276" s="93"/>
    </row>
    <row r="277" ht="15.7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  <c r="AM277" s="93"/>
      <c r="AN277" s="93"/>
      <c r="AO277" s="93"/>
    </row>
    <row r="278" ht="15.7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  <c r="AM278" s="93"/>
      <c r="AN278" s="93"/>
      <c r="AO278" s="93"/>
    </row>
    <row r="279" ht="15.7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  <c r="AM279" s="93"/>
      <c r="AN279" s="93"/>
      <c r="AO279" s="93"/>
    </row>
    <row r="280" ht="15.7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  <c r="AM280" s="93"/>
      <c r="AN280" s="93"/>
      <c r="AO280" s="93"/>
    </row>
    <row r="281" ht="15.7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  <c r="AM281" s="93"/>
      <c r="AN281" s="93"/>
      <c r="AO281" s="93"/>
    </row>
    <row r="282" ht="15.7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  <c r="AM282" s="93"/>
      <c r="AN282" s="93"/>
      <c r="AO282" s="93"/>
    </row>
    <row r="283" ht="15.7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  <c r="AM283" s="93"/>
      <c r="AN283" s="93"/>
      <c r="AO283" s="93"/>
    </row>
    <row r="284" ht="15.7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  <c r="AM284" s="93"/>
      <c r="AN284" s="93"/>
      <c r="AO284" s="93"/>
    </row>
    <row r="285" ht="15.7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  <c r="AM285" s="93"/>
      <c r="AN285" s="93"/>
      <c r="AO285" s="93"/>
    </row>
    <row r="286" ht="15.7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  <c r="AM286" s="93"/>
      <c r="AN286" s="93"/>
      <c r="AO286" s="93"/>
    </row>
    <row r="287" ht="15.7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  <c r="AM287" s="93"/>
      <c r="AN287" s="93"/>
      <c r="AO287" s="93"/>
    </row>
    <row r="288" ht="15.7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  <c r="AM288" s="93"/>
      <c r="AN288" s="93"/>
      <c r="AO288" s="93"/>
    </row>
    <row r="289" ht="15.7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  <c r="AM289" s="93"/>
      <c r="AN289" s="93"/>
      <c r="AO289" s="93"/>
    </row>
    <row r="290" ht="15.7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  <c r="AM290" s="93"/>
      <c r="AN290" s="93"/>
      <c r="AO290" s="93"/>
    </row>
    <row r="291" ht="15.7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  <c r="AM291" s="93"/>
      <c r="AN291" s="93"/>
      <c r="AO291" s="93"/>
    </row>
    <row r="292" ht="15.7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  <c r="AM292" s="93"/>
      <c r="AN292" s="93"/>
      <c r="AO292" s="93"/>
    </row>
    <row r="293" ht="15.7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  <c r="AM293" s="93"/>
      <c r="AN293" s="93"/>
      <c r="AO293" s="93"/>
    </row>
    <row r="294" ht="15.7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  <c r="AM294" s="93"/>
      <c r="AN294" s="93"/>
      <c r="AO294" s="93"/>
    </row>
    <row r="295" ht="15.7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  <c r="AM295" s="93"/>
      <c r="AN295" s="93"/>
      <c r="AO295" s="93"/>
    </row>
    <row r="296" ht="15.7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  <c r="AM296" s="93"/>
      <c r="AN296" s="93"/>
      <c r="AO296" s="93"/>
    </row>
    <row r="297" ht="15.7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  <c r="AM297" s="93"/>
      <c r="AN297" s="93"/>
      <c r="AO297" s="93"/>
    </row>
    <row r="298" ht="15.7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</row>
    <row r="299" ht="15.7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  <c r="AM299" s="93"/>
      <c r="AN299" s="93"/>
      <c r="AO299" s="93"/>
    </row>
    <row r="300" ht="15.7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</row>
    <row r="301" ht="15.7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  <c r="AM301" s="93"/>
      <c r="AN301" s="93"/>
      <c r="AO301" s="93"/>
    </row>
    <row r="302" ht="15.7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  <c r="AM302" s="93"/>
      <c r="AN302" s="93"/>
      <c r="AO302" s="93"/>
    </row>
    <row r="303" ht="15.7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  <c r="AM303" s="93"/>
      <c r="AN303" s="93"/>
      <c r="AO303" s="93"/>
    </row>
    <row r="304" ht="15.7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  <c r="AM304" s="93"/>
      <c r="AN304" s="93"/>
      <c r="AO304" s="93"/>
    </row>
    <row r="305" ht="15.7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  <c r="AM305" s="93"/>
      <c r="AN305" s="93"/>
      <c r="AO305" s="93"/>
    </row>
    <row r="306" ht="15.7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  <c r="AN306" s="93"/>
      <c r="AO306" s="93"/>
    </row>
    <row r="307" ht="15.7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3"/>
      <c r="AJ307" s="93"/>
      <c r="AK307" s="93"/>
      <c r="AL307" s="93"/>
      <c r="AM307" s="93"/>
      <c r="AN307" s="93"/>
      <c r="AO307" s="93"/>
    </row>
    <row r="308" ht="15.7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3"/>
      <c r="AJ308" s="93"/>
      <c r="AK308" s="93"/>
      <c r="AL308" s="93"/>
      <c r="AM308" s="93"/>
      <c r="AN308" s="93"/>
      <c r="AO308" s="93"/>
    </row>
    <row r="309" ht="15.7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3"/>
      <c r="AJ309" s="93"/>
      <c r="AK309" s="93"/>
      <c r="AL309" s="93"/>
      <c r="AM309" s="93"/>
      <c r="AN309" s="93"/>
      <c r="AO309" s="93"/>
    </row>
    <row r="310" ht="15.7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  <c r="AM310" s="93"/>
      <c r="AN310" s="93"/>
      <c r="AO310" s="93"/>
    </row>
    <row r="311" ht="15.7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3"/>
      <c r="AJ311" s="93"/>
      <c r="AK311" s="93"/>
      <c r="AL311" s="93"/>
      <c r="AM311" s="93"/>
      <c r="AN311" s="93"/>
      <c r="AO311" s="93"/>
    </row>
    <row r="312" ht="15.7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3"/>
      <c r="AJ312" s="93"/>
      <c r="AK312" s="93"/>
      <c r="AL312" s="93"/>
      <c r="AM312" s="93"/>
      <c r="AN312" s="93"/>
      <c r="AO312" s="93"/>
    </row>
    <row r="313" ht="15.7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3"/>
      <c r="AJ313" s="93"/>
      <c r="AK313" s="93"/>
      <c r="AL313" s="93"/>
      <c r="AM313" s="93"/>
      <c r="AN313" s="93"/>
      <c r="AO313" s="93"/>
    </row>
    <row r="314" ht="15.7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  <c r="AM314" s="93"/>
      <c r="AN314" s="93"/>
      <c r="AO314" s="93"/>
    </row>
    <row r="315" ht="15.7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  <c r="AM315" s="93"/>
      <c r="AN315" s="93"/>
      <c r="AO315" s="93"/>
    </row>
    <row r="316" ht="15.7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  <c r="AM316" s="93"/>
      <c r="AN316" s="93"/>
      <c r="AO316" s="93"/>
    </row>
    <row r="317" ht="15.7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  <c r="AM317" s="93"/>
      <c r="AN317" s="93"/>
      <c r="AO317" s="93"/>
    </row>
    <row r="318" ht="15.7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3"/>
      <c r="AJ318" s="93"/>
      <c r="AK318" s="93"/>
      <c r="AL318" s="93"/>
      <c r="AM318" s="93"/>
      <c r="AN318" s="93"/>
      <c r="AO318" s="93"/>
    </row>
    <row r="319" ht="15.7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  <c r="AF319" s="93"/>
      <c r="AG319" s="93"/>
      <c r="AH319" s="93"/>
      <c r="AI319" s="93"/>
      <c r="AJ319" s="93"/>
      <c r="AK319" s="93"/>
      <c r="AL319" s="93"/>
      <c r="AM319" s="93"/>
      <c r="AN319" s="93"/>
      <c r="AO319" s="93"/>
    </row>
    <row r="320" ht="15.7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  <c r="AF320" s="93"/>
      <c r="AG320" s="93"/>
      <c r="AH320" s="93"/>
      <c r="AI320" s="93"/>
      <c r="AJ320" s="93"/>
      <c r="AK320" s="93"/>
      <c r="AL320" s="93"/>
      <c r="AM320" s="93"/>
      <c r="AN320" s="93"/>
      <c r="AO320" s="93"/>
    </row>
    <row r="321" ht="15.7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  <c r="AF321" s="93"/>
      <c r="AG321" s="93"/>
      <c r="AH321" s="93"/>
      <c r="AI321" s="93"/>
      <c r="AJ321" s="93"/>
      <c r="AK321" s="93"/>
      <c r="AL321" s="93"/>
      <c r="AM321" s="93"/>
      <c r="AN321" s="93"/>
      <c r="AO321" s="93"/>
    </row>
    <row r="322" ht="15.7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  <c r="AF322" s="93"/>
      <c r="AG322" s="93"/>
      <c r="AH322" s="93"/>
      <c r="AI322" s="93"/>
      <c r="AJ322" s="93"/>
      <c r="AK322" s="93"/>
      <c r="AL322" s="93"/>
      <c r="AM322" s="93"/>
      <c r="AN322" s="93"/>
      <c r="AO322" s="93"/>
    </row>
    <row r="323" ht="15.7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3"/>
      <c r="AH323" s="93"/>
      <c r="AI323" s="93"/>
      <c r="AJ323" s="93"/>
      <c r="AK323" s="93"/>
      <c r="AL323" s="93"/>
      <c r="AM323" s="93"/>
      <c r="AN323" s="93"/>
      <c r="AO323" s="93"/>
    </row>
    <row r="324" ht="15.7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  <c r="AF324" s="93"/>
      <c r="AG324" s="93"/>
      <c r="AH324" s="93"/>
      <c r="AI324" s="93"/>
      <c r="AJ324" s="93"/>
      <c r="AK324" s="93"/>
      <c r="AL324" s="93"/>
      <c r="AM324" s="93"/>
      <c r="AN324" s="93"/>
      <c r="AO324" s="93"/>
    </row>
    <row r="325" ht="15.7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3"/>
      <c r="AJ325" s="93"/>
      <c r="AK325" s="93"/>
      <c r="AL325" s="93"/>
      <c r="AM325" s="93"/>
      <c r="AN325" s="93"/>
      <c r="AO325" s="93"/>
    </row>
    <row r="326" ht="15.7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3"/>
      <c r="AJ326" s="93"/>
      <c r="AK326" s="93"/>
      <c r="AL326" s="93"/>
      <c r="AM326" s="93"/>
      <c r="AN326" s="93"/>
      <c r="AO326" s="93"/>
    </row>
    <row r="327" ht="15.7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3"/>
      <c r="AJ327" s="93"/>
      <c r="AK327" s="93"/>
      <c r="AL327" s="93"/>
      <c r="AM327" s="93"/>
      <c r="AN327" s="93"/>
      <c r="AO327" s="93"/>
    </row>
    <row r="328" ht="15.7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3"/>
      <c r="AJ328" s="93"/>
      <c r="AK328" s="93"/>
      <c r="AL328" s="93"/>
      <c r="AM328" s="93"/>
      <c r="AN328" s="93"/>
      <c r="AO328" s="93"/>
    </row>
    <row r="329" ht="15.7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3"/>
      <c r="AJ329" s="93"/>
      <c r="AK329" s="93"/>
      <c r="AL329" s="93"/>
      <c r="AM329" s="93"/>
      <c r="AN329" s="93"/>
      <c r="AO329" s="93"/>
    </row>
    <row r="330" ht="15.7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3"/>
      <c r="AJ330" s="93"/>
      <c r="AK330" s="93"/>
      <c r="AL330" s="93"/>
      <c r="AM330" s="93"/>
      <c r="AN330" s="93"/>
      <c r="AO330" s="93"/>
    </row>
    <row r="331" ht="15.7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3"/>
      <c r="AJ331" s="93"/>
      <c r="AK331" s="93"/>
      <c r="AL331" s="93"/>
      <c r="AM331" s="93"/>
      <c r="AN331" s="93"/>
      <c r="AO331" s="93"/>
    </row>
    <row r="332" ht="15.7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3"/>
      <c r="AJ332" s="93"/>
      <c r="AK332" s="93"/>
      <c r="AL332" s="93"/>
      <c r="AM332" s="93"/>
      <c r="AN332" s="93"/>
      <c r="AO332" s="93"/>
    </row>
    <row r="333" ht="15.7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3"/>
      <c r="AJ333" s="93"/>
      <c r="AK333" s="93"/>
      <c r="AL333" s="93"/>
      <c r="AM333" s="93"/>
      <c r="AN333" s="93"/>
      <c r="AO333" s="93"/>
    </row>
    <row r="334" ht="15.7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  <c r="AF334" s="93"/>
      <c r="AG334" s="93"/>
      <c r="AH334" s="93"/>
      <c r="AI334" s="93"/>
      <c r="AJ334" s="93"/>
      <c r="AK334" s="93"/>
      <c r="AL334" s="93"/>
      <c r="AM334" s="93"/>
      <c r="AN334" s="93"/>
      <c r="AO334" s="93"/>
    </row>
    <row r="335" ht="15.7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3"/>
      <c r="AH335" s="93"/>
      <c r="AI335" s="93"/>
      <c r="AJ335" s="93"/>
      <c r="AK335" s="93"/>
      <c r="AL335" s="93"/>
      <c r="AM335" s="93"/>
      <c r="AN335" s="93"/>
      <c r="AO335" s="93"/>
    </row>
    <row r="336" ht="15.7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3"/>
      <c r="AH336" s="93"/>
      <c r="AI336" s="93"/>
      <c r="AJ336" s="93"/>
      <c r="AK336" s="93"/>
      <c r="AL336" s="93"/>
      <c r="AM336" s="93"/>
      <c r="AN336" s="93"/>
      <c r="AO336" s="93"/>
    </row>
    <row r="337" ht="15.7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3"/>
      <c r="AH337" s="93"/>
      <c r="AI337" s="93"/>
      <c r="AJ337" s="93"/>
      <c r="AK337" s="93"/>
      <c r="AL337" s="93"/>
      <c r="AM337" s="93"/>
      <c r="AN337" s="93"/>
      <c r="AO337" s="93"/>
    </row>
    <row r="338" ht="15.7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</row>
    <row r="339" ht="15.7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3"/>
      <c r="AH339" s="93"/>
      <c r="AI339" s="93"/>
      <c r="AJ339" s="93"/>
      <c r="AK339" s="93"/>
      <c r="AL339" s="93"/>
      <c r="AM339" s="93"/>
      <c r="AN339" s="93"/>
      <c r="AO339" s="93"/>
    </row>
    <row r="340" ht="15.7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</row>
    <row r="341" ht="15.7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3"/>
      <c r="AH341" s="93"/>
      <c r="AI341" s="93"/>
      <c r="AJ341" s="93"/>
      <c r="AK341" s="93"/>
      <c r="AL341" s="93"/>
      <c r="AM341" s="93"/>
      <c r="AN341" s="93"/>
      <c r="AO341" s="93"/>
    </row>
    <row r="342" ht="15.7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  <c r="AF342" s="93"/>
      <c r="AG342" s="93"/>
      <c r="AH342" s="93"/>
      <c r="AI342" s="93"/>
      <c r="AJ342" s="93"/>
      <c r="AK342" s="93"/>
      <c r="AL342" s="93"/>
      <c r="AM342" s="93"/>
      <c r="AN342" s="93"/>
      <c r="AO342" s="93"/>
    </row>
    <row r="343" ht="15.7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3"/>
      <c r="AH343" s="93"/>
      <c r="AI343" s="93"/>
      <c r="AJ343" s="93"/>
      <c r="AK343" s="93"/>
      <c r="AL343" s="93"/>
      <c r="AM343" s="93"/>
      <c r="AN343" s="93"/>
      <c r="AO343" s="93"/>
    </row>
    <row r="344" ht="15.7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3"/>
      <c r="AJ344" s="93"/>
      <c r="AK344" s="93"/>
      <c r="AL344" s="93"/>
      <c r="AM344" s="93"/>
      <c r="AN344" s="93"/>
      <c r="AO344" s="93"/>
    </row>
    <row r="345" ht="15.7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3"/>
      <c r="AJ345" s="93"/>
      <c r="AK345" s="93"/>
      <c r="AL345" s="93"/>
      <c r="AM345" s="93"/>
      <c r="AN345" s="93"/>
      <c r="AO345" s="93"/>
    </row>
    <row r="346" ht="15.7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3"/>
      <c r="AJ346" s="93"/>
      <c r="AK346" s="93"/>
      <c r="AL346" s="93"/>
      <c r="AM346" s="93"/>
      <c r="AN346" s="93"/>
      <c r="AO346" s="93"/>
    </row>
    <row r="347" ht="15.7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3"/>
      <c r="AJ347" s="93"/>
      <c r="AK347" s="93"/>
      <c r="AL347" s="93"/>
      <c r="AM347" s="93"/>
      <c r="AN347" s="93"/>
      <c r="AO347" s="93"/>
    </row>
    <row r="348" ht="15.7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3"/>
      <c r="AJ348" s="93"/>
      <c r="AK348" s="93"/>
      <c r="AL348" s="93"/>
      <c r="AM348" s="93"/>
      <c r="AN348" s="93"/>
      <c r="AO348" s="93"/>
    </row>
    <row r="349" ht="15.7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  <c r="AM349" s="93"/>
      <c r="AN349" s="93"/>
      <c r="AO349" s="93"/>
    </row>
    <row r="350" ht="15.7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3"/>
      <c r="AJ350" s="93"/>
      <c r="AK350" s="93"/>
      <c r="AL350" s="93"/>
      <c r="AM350" s="93"/>
      <c r="AN350" s="93"/>
      <c r="AO350" s="93"/>
    </row>
    <row r="351" ht="15.7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3"/>
      <c r="AJ351" s="93"/>
      <c r="AK351" s="93"/>
      <c r="AL351" s="93"/>
      <c r="AM351" s="93"/>
      <c r="AN351" s="93"/>
      <c r="AO351" s="93"/>
    </row>
    <row r="352" ht="15.7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  <c r="AJ352" s="93"/>
      <c r="AK352" s="93"/>
      <c r="AL352" s="93"/>
      <c r="AM352" s="93"/>
      <c r="AN352" s="93"/>
      <c r="AO352" s="93"/>
    </row>
    <row r="353" ht="15.7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  <c r="AM353" s="93"/>
      <c r="AN353" s="93"/>
      <c r="AO353" s="93"/>
    </row>
    <row r="354" ht="15.7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3"/>
      <c r="AJ354" s="93"/>
      <c r="AK354" s="93"/>
      <c r="AL354" s="93"/>
      <c r="AM354" s="93"/>
      <c r="AN354" s="93"/>
      <c r="AO354" s="93"/>
    </row>
    <row r="355" ht="15.7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3"/>
      <c r="AJ355" s="93"/>
      <c r="AK355" s="93"/>
      <c r="AL355" s="93"/>
      <c r="AM355" s="93"/>
      <c r="AN355" s="93"/>
      <c r="AO355" s="93"/>
    </row>
    <row r="356" ht="15.7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3"/>
      <c r="AJ356" s="93"/>
      <c r="AK356" s="93"/>
      <c r="AL356" s="93"/>
      <c r="AM356" s="93"/>
      <c r="AN356" s="93"/>
      <c r="AO356" s="93"/>
    </row>
    <row r="357" ht="15.7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3"/>
      <c r="AJ357" s="93"/>
      <c r="AK357" s="93"/>
      <c r="AL357" s="93"/>
      <c r="AM357" s="93"/>
      <c r="AN357" s="93"/>
      <c r="AO357" s="93"/>
    </row>
    <row r="358" ht="15.7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3"/>
      <c r="AJ358" s="93"/>
      <c r="AK358" s="93"/>
      <c r="AL358" s="93"/>
      <c r="AM358" s="93"/>
      <c r="AN358" s="93"/>
      <c r="AO358" s="93"/>
    </row>
    <row r="359" ht="15.7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3"/>
      <c r="AJ359" s="93"/>
      <c r="AK359" s="93"/>
      <c r="AL359" s="93"/>
      <c r="AM359" s="93"/>
      <c r="AN359" s="93"/>
      <c r="AO359" s="93"/>
    </row>
    <row r="360" ht="15.7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  <c r="AM360" s="93"/>
      <c r="AN360" s="93"/>
      <c r="AO360" s="93"/>
    </row>
    <row r="361" ht="15.7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  <c r="AM361" s="93"/>
      <c r="AN361" s="93"/>
      <c r="AO361" s="93"/>
    </row>
    <row r="362" ht="15.7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  <c r="AM362" s="93"/>
      <c r="AN362" s="93"/>
      <c r="AO362" s="93"/>
    </row>
    <row r="363" ht="15.7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  <c r="AM363" s="93"/>
      <c r="AN363" s="93"/>
      <c r="AO363" s="93"/>
    </row>
    <row r="364" ht="15.7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  <c r="AM364" s="93"/>
      <c r="AN364" s="93"/>
      <c r="AO364" s="93"/>
    </row>
    <row r="365" ht="15.7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  <c r="AM365" s="93"/>
      <c r="AN365" s="93"/>
      <c r="AO365" s="93"/>
    </row>
    <row r="366" ht="15.7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  <c r="AM366" s="93"/>
      <c r="AN366" s="93"/>
      <c r="AO366" s="93"/>
    </row>
    <row r="367" ht="15.7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  <c r="AM367" s="93"/>
      <c r="AN367" s="93"/>
      <c r="AO367" s="93"/>
    </row>
    <row r="368" ht="15.7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  <c r="AM368" s="93"/>
      <c r="AN368" s="93"/>
      <c r="AO368" s="93"/>
    </row>
    <row r="369" ht="15.7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  <c r="AM369" s="93"/>
      <c r="AN369" s="93"/>
      <c r="AO369" s="93"/>
    </row>
    <row r="370" ht="15.7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  <c r="AM370" s="93"/>
      <c r="AN370" s="93"/>
      <c r="AO370" s="93"/>
    </row>
    <row r="371" ht="15.7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  <c r="AM371" s="93"/>
      <c r="AN371" s="93"/>
      <c r="AO371" s="93"/>
    </row>
    <row r="372" ht="15.7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  <c r="AM372" s="93"/>
      <c r="AN372" s="93"/>
      <c r="AO372" s="93"/>
    </row>
    <row r="373" ht="15.7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  <c r="AM373" s="93"/>
      <c r="AN373" s="93"/>
      <c r="AO373" s="93"/>
    </row>
    <row r="374" ht="15.7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  <c r="AM374" s="93"/>
      <c r="AN374" s="93"/>
      <c r="AO374" s="93"/>
    </row>
    <row r="375" ht="15.7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93"/>
      <c r="AJ375" s="93"/>
      <c r="AK375" s="93"/>
      <c r="AL375" s="93"/>
      <c r="AM375" s="93"/>
      <c r="AN375" s="93"/>
      <c r="AO375" s="93"/>
    </row>
    <row r="376" ht="15.7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93"/>
      <c r="AJ376" s="93"/>
      <c r="AK376" s="93"/>
      <c r="AL376" s="93"/>
      <c r="AM376" s="93"/>
      <c r="AN376" s="93"/>
      <c r="AO376" s="93"/>
    </row>
    <row r="377" ht="15.7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3"/>
      <c r="AH377" s="93"/>
      <c r="AI377" s="93"/>
      <c r="AJ377" s="93"/>
      <c r="AK377" s="93"/>
      <c r="AL377" s="93"/>
      <c r="AM377" s="93"/>
      <c r="AN377" s="93"/>
      <c r="AO377" s="93"/>
    </row>
    <row r="378" ht="15.7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  <c r="AF378" s="93"/>
      <c r="AG378" s="93"/>
      <c r="AH378" s="93"/>
      <c r="AI378" s="93"/>
      <c r="AJ378" s="93"/>
      <c r="AK378" s="93"/>
      <c r="AL378" s="93"/>
      <c r="AM378" s="93"/>
      <c r="AN378" s="93"/>
      <c r="AO378" s="93"/>
    </row>
    <row r="379" ht="15.7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  <c r="AF379" s="93"/>
      <c r="AG379" s="93"/>
      <c r="AH379" s="93"/>
      <c r="AI379" s="93"/>
      <c r="AJ379" s="93"/>
      <c r="AK379" s="93"/>
      <c r="AL379" s="93"/>
      <c r="AM379" s="93"/>
      <c r="AN379" s="93"/>
      <c r="AO379" s="93"/>
    </row>
    <row r="380" ht="15.7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3"/>
      <c r="AI380" s="93"/>
      <c r="AJ380" s="93"/>
      <c r="AK380" s="93"/>
      <c r="AL380" s="93"/>
      <c r="AM380" s="93"/>
      <c r="AN380" s="93"/>
      <c r="AO380" s="93"/>
    </row>
    <row r="381" ht="15.7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93"/>
      <c r="AJ381" s="93"/>
      <c r="AK381" s="93"/>
      <c r="AL381" s="93"/>
      <c r="AM381" s="93"/>
      <c r="AN381" s="93"/>
      <c r="AO381" s="93"/>
    </row>
    <row r="382" ht="15.7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3"/>
      <c r="AH382" s="93"/>
      <c r="AI382" s="93"/>
      <c r="AJ382" s="93"/>
      <c r="AK382" s="93"/>
      <c r="AL382" s="93"/>
      <c r="AM382" s="93"/>
      <c r="AN382" s="93"/>
      <c r="AO382" s="93"/>
    </row>
    <row r="383" ht="15.7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  <c r="AH383" s="93"/>
      <c r="AI383" s="93"/>
      <c r="AJ383" s="93"/>
      <c r="AK383" s="93"/>
      <c r="AL383" s="93"/>
      <c r="AM383" s="93"/>
      <c r="AN383" s="93"/>
      <c r="AO383" s="93"/>
    </row>
    <row r="384" ht="15.7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  <c r="AH384" s="93"/>
      <c r="AI384" s="93"/>
      <c r="AJ384" s="93"/>
      <c r="AK384" s="93"/>
      <c r="AL384" s="93"/>
      <c r="AM384" s="93"/>
      <c r="AN384" s="93"/>
      <c r="AO384" s="93"/>
    </row>
    <row r="385" ht="15.7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3"/>
      <c r="AI385" s="93"/>
      <c r="AJ385" s="93"/>
      <c r="AK385" s="93"/>
      <c r="AL385" s="93"/>
      <c r="AM385" s="93"/>
      <c r="AN385" s="93"/>
      <c r="AO385" s="93"/>
    </row>
    <row r="386" ht="15.7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3"/>
      <c r="AI386" s="93"/>
      <c r="AJ386" s="93"/>
      <c r="AK386" s="93"/>
      <c r="AL386" s="93"/>
      <c r="AM386" s="93"/>
      <c r="AN386" s="93"/>
      <c r="AO386" s="93"/>
    </row>
    <row r="387" ht="15.7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3"/>
      <c r="AJ387" s="93"/>
      <c r="AK387" s="93"/>
      <c r="AL387" s="93"/>
      <c r="AM387" s="93"/>
      <c r="AN387" s="93"/>
      <c r="AO387" s="93"/>
    </row>
    <row r="388" ht="15.7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  <c r="AJ388" s="93"/>
      <c r="AK388" s="93"/>
      <c r="AL388" s="93"/>
      <c r="AM388" s="93"/>
      <c r="AN388" s="93"/>
      <c r="AO388" s="93"/>
    </row>
    <row r="389" ht="15.7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  <c r="AJ389" s="93"/>
      <c r="AK389" s="93"/>
      <c r="AL389" s="93"/>
      <c r="AM389" s="93"/>
      <c r="AN389" s="93"/>
      <c r="AO389" s="93"/>
    </row>
    <row r="390" ht="15.7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</row>
    <row r="391" ht="15.7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  <c r="AJ391" s="93"/>
      <c r="AK391" s="93"/>
      <c r="AL391" s="93"/>
      <c r="AM391" s="93"/>
      <c r="AN391" s="93"/>
      <c r="AO391" s="93"/>
    </row>
    <row r="392" ht="15.7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</row>
    <row r="393" ht="15.7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  <c r="AJ393" s="93"/>
      <c r="AK393" s="93"/>
      <c r="AL393" s="93"/>
      <c r="AM393" s="93"/>
      <c r="AN393" s="93"/>
      <c r="AO393" s="93"/>
    </row>
    <row r="394" ht="15.7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  <c r="AJ394" s="93"/>
      <c r="AK394" s="93"/>
      <c r="AL394" s="93"/>
      <c r="AM394" s="93"/>
      <c r="AN394" s="93"/>
      <c r="AO394" s="93"/>
    </row>
    <row r="395" ht="15.7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  <c r="AJ395" s="93"/>
      <c r="AK395" s="93"/>
      <c r="AL395" s="93"/>
      <c r="AM395" s="93"/>
      <c r="AN395" s="93"/>
      <c r="AO395" s="93"/>
    </row>
    <row r="396" ht="15.7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  <c r="AJ396" s="93"/>
      <c r="AK396" s="93"/>
      <c r="AL396" s="93"/>
      <c r="AM396" s="93"/>
      <c r="AN396" s="93"/>
      <c r="AO396" s="93"/>
    </row>
    <row r="397" ht="15.7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</row>
    <row r="398" ht="15.7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  <c r="AJ398" s="93"/>
      <c r="AK398" s="93"/>
      <c r="AL398" s="93"/>
      <c r="AM398" s="93"/>
      <c r="AN398" s="93"/>
      <c r="AO398" s="93"/>
    </row>
    <row r="399" ht="15.7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</row>
    <row r="400" ht="15.7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</row>
    <row r="401" ht="15.7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</row>
    <row r="402" ht="15.7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</row>
    <row r="403" ht="15.7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  <c r="AJ403" s="93"/>
      <c r="AK403" s="93"/>
      <c r="AL403" s="93"/>
      <c r="AM403" s="93"/>
      <c r="AN403" s="93"/>
      <c r="AO403" s="93"/>
    </row>
    <row r="404" ht="15.7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</row>
    <row r="405" ht="15.7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  <c r="AJ405" s="93"/>
      <c r="AK405" s="93"/>
      <c r="AL405" s="93"/>
      <c r="AM405" s="93"/>
      <c r="AN405" s="93"/>
      <c r="AO405" s="93"/>
    </row>
    <row r="406" ht="15.7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  <c r="AJ406" s="93"/>
      <c r="AK406" s="93"/>
      <c r="AL406" s="93"/>
      <c r="AM406" s="93"/>
      <c r="AN406" s="93"/>
      <c r="AO406" s="93"/>
    </row>
    <row r="407" ht="15.7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  <c r="AJ407" s="93"/>
      <c r="AK407" s="93"/>
      <c r="AL407" s="93"/>
      <c r="AM407" s="93"/>
      <c r="AN407" s="93"/>
      <c r="AO407" s="93"/>
    </row>
    <row r="408" ht="15.7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  <c r="AJ408" s="93"/>
      <c r="AK408" s="93"/>
      <c r="AL408" s="93"/>
      <c r="AM408" s="93"/>
      <c r="AN408" s="93"/>
      <c r="AO408" s="93"/>
    </row>
    <row r="409" ht="15.7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  <c r="AJ409" s="93"/>
      <c r="AK409" s="93"/>
      <c r="AL409" s="93"/>
      <c r="AM409" s="93"/>
      <c r="AN409" s="93"/>
      <c r="AO409" s="93"/>
    </row>
    <row r="410" ht="15.7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  <c r="AJ410" s="93"/>
      <c r="AK410" s="93"/>
      <c r="AL410" s="93"/>
      <c r="AM410" s="93"/>
      <c r="AN410" s="93"/>
      <c r="AO410" s="93"/>
    </row>
    <row r="411" ht="15.7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  <c r="AJ411" s="93"/>
      <c r="AK411" s="93"/>
      <c r="AL411" s="93"/>
      <c r="AM411" s="93"/>
      <c r="AN411" s="93"/>
      <c r="AO411" s="93"/>
    </row>
    <row r="412" ht="15.7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  <c r="AJ412" s="93"/>
      <c r="AK412" s="93"/>
      <c r="AL412" s="93"/>
      <c r="AM412" s="93"/>
      <c r="AN412" s="93"/>
      <c r="AO412" s="93"/>
    </row>
    <row r="413" ht="15.7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</row>
    <row r="414" ht="15.7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  <c r="AJ414" s="93"/>
      <c r="AK414" s="93"/>
      <c r="AL414" s="93"/>
      <c r="AM414" s="93"/>
      <c r="AN414" s="93"/>
      <c r="AO414" s="93"/>
    </row>
    <row r="415" ht="15.7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  <c r="AJ415" s="93"/>
      <c r="AK415" s="93"/>
      <c r="AL415" s="93"/>
      <c r="AM415" s="93"/>
      <c r="AN415" s="93"/>
      <c r="AO415" s="93"/>
    </row>
    <row r="416" ht="15.7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  <c r="AJ416" s="93"/>
      <c r="AK416" s="93"/>
      <c r="AL416" s="93"/>
      <c r="AM416" s="93"/>
      <c r="AN416" s="93"/>
      <c r="AO416" s="93"/>
    </row>
    <row r="417" ht="15.7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  <c r="AJ417" s="93"/>
      <c r="AK417" s="93"/>
      <c r="AL417" s="93"/>
      <c r="AM417" s="93"/>
      <c r="AN417" s="93"/>
      <c r="AO417" s="93"/>
    </row>
    <row r="418" ht="15.7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  <c r="AJ418" s="93"/>
      <c r="AK418" s="93"/>
      <c r="AL418" s="93"/>
      <c r="AM418" s="93"/>
      <c r="AN418" s="93"/>
      <c r="AO418" s="93"/>
    </row>
    <row r="419" ht="15.7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  <c r="AJ419" s="93"/>
      <c r="AK419" s="93"/>
      <c r="AL419" s="93"/>
      <c r="AM419" s="93"/>
      <c r="AN419" s="93"/>
      <c r="AO419" s="93"/>
    </row>
    <row r="420" ht="15.7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</row>
    <row r="421" ht="15.7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</row>
    <row r="422" ht="15.7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</row>
    <row r="423" ht="15.7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</row>
    <row r="424" ht="15.7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</row>
    <row r="425" ht="15.7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</row>
    <row r="426" ht="15.7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</row>
    <row r="427" ht="15.7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</row>
    <row r="428" ht="15.7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</row>
    <row r="429" ht="15.7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</row>
    <row r="430" ht="15.7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</row>
    <row r="431" ht="15.7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</row>
    <row r="432" ht="15.7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</row>
    <row r="433" ht="15.7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</row>
    <row r="434" ht="15.7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</row>
    <row r="435" ht="15.7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</row>
    <row r="436" ht="15.7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</row>
    <row r="437" ht="15.7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</row>
    <row r="438" ht="15.7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</row>
    <row r="439" ht="15.7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</row>
    <row r="440" ht="15.7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</row>
    <row r="441" ht="15.7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</row>
    <row r="442" ht="15.7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</row>
    <row r="443" ht="15.7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</row>
    <row r="444" ht="15.7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</row>
    <row r="445" ht="15.7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</row>
    <row r="446" ht="15.7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</row>
    <row r="447" ht="15.7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</row>
    <row r="448" ht="15.7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</row>
    <row r="449" ht="15.7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</row>
    <row r="450" ht="15.7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</row>
    <row r="451" ht="15.7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</row>
    <row r="452" ht="15.7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</row>
    <row r="453" ht="15.7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</row>
    <row r="454" ht="15.7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</row>
    <row r="455" ht="15.7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</row>
    <row r="456" ht="15.7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3"/>
      <c r="AM456" s="93"/>
      <c r="AN456" s="93"/>
      <c r="AO456" s="93"/>
    </row>
    <row r="457" ht="15.7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  <c r="AJ457" s="93"/>
      <c r="AK457" s="93"/>
      <c r="AL457" s="93"/>
      <c r="AM457" s="93"/>
      <c r="AN457" s="93"/>
      <c r="AO457" s="93"/>
    </row>
    <row r="458" ht="15.7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  <c r="AJ458" s="93"/>
      <c r="AK458" s="93"/>
      <c r="AL458" s="93"/>
      <c r="AM458" s="93"/>
      <c r="AN458" s="93"/>
      <c r="AO458" s="93"/>
    </row>
    <row r="459" ht="15.7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  <c r="AJ459" s="93"/>
      <c r="AK459" s="93"/>
      <c r="AL459" s="93"/>
      <c r="AM459" s="93"/>
      <c r="AN459" s="93"/>
      <c r="AO459" s="93"/>
    </row>
    <row r="460" ht="15.7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3"/>
      <c r="AM460" s="93"/>
      <c r="AN460" s="93"/>
      <c r="AO460" s="93"/>
    </row>
    <row r="461" ht="15.7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  <c r="AJ461" s="93"/>
      <c r="AK461" s="93"/>
      <c r="AL461" s="93"/>
      <c r="AM461" s="93"/>
      <c r="AN461" s="93"/>
      <c r="AO461" s="93"/>
    </row>
    <row r="462" ht="15.7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3"/>
      <c r="AM462" s="93"/>
      <c r="AN462" s="93"/>
      <c r="AO462" s="93"/>
    </row>
    <row r="463" ht="15.7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  <c r="AJ463" s="93"/>
      <c r="AK463" s="93"/>
      <c r="AL463" s="93"/>
      <c r="AM463" s="93"/>
      <c r="AN463" s="93"/>
      <c r="AO463" s="93"/>
    </row>
    <row r="464" ht="15.7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  <c r="AJ464" s="93"/>
      <c r="AK464" s="93"/>
      <c r="AL464" s="93"/>
      <c r="AM464" s="93"/>
      <c r="AN464" s="93"/>
      <c r="AO464" s="93"/>
    </row>
    <row r="465" ht="15.7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  <c r="AJ465" s="93"/>
      <c r="AK465" s="93"/>
      <c r="AL465" s="93"/>
      <c r="AM465" s="93"/>
      <c r="AN465" s="93"/>
      <c r="AO465" s="93"/>
    </row>
    <row r="466" ht="15.7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  <c r="AJ466" s="93"/>
      <c r="AK466" s="93"/>
      <c r="AL466" s="93"/>
      <c r="AM466" s="93"/>
      <c r="AN466" s="93"/>
      <c r="AO466" s="93"/>
    </row>
    <row r="467" ht="15.7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  <c r="AJ467" s="93"/>
      <c r="AK467" s="93"/>
      <c r="AL467" s="93"/>
      <c r="AM467" s="93"/>
      <c r="AN467" s="93"/>
      <c r="AO467" s="93"/>
    </row>
    <row r="468" ht="15.7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  <c r="AJ468" s="93"/>
      <c r="AK468" s="93"/>
      <c r="AL468" s="93"/>
      <c r="AM468" s="93"/>
      <c r="AN468" s="93"/>
      <c r="AO468" s="93"/>
    </row>
    <row r="469" ht="15.7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  <c r="AJ469" s="93"/>
      <c r="AK469" s="93"/>
      <c r="AL469" s="93"/>
      <c r="AM469" s="93"/>
      <c r="AN469" s="93"/>
      <c r="AO469" s="93"/>
    </row>
    <row r="470" ht="15.7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  <c r="AJ470" s="93"/>
      <c r="AK470" s="93"/>
      <c r="AL470" s="93"/>
      <c r="AM470" s="93"/>
      <c r="AN470" s="93"/>
      <c r="AO470" s="93"/>
    </row>
    <row r="471" ht="15.7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</row>
    <row r="472" ht="15.7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  <c r="AJ472" s="93"/>
      <c r="AK472" s="93"/>
      <c r="AL472" s="93"/>
      <c r="AM472" s="93"/>
      <c r="AN472" s="93"/>
      <c r="AO472" s="93"/>
    </row>
    <row r="473" ht="15.7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</row>
    <row r="474" ht="15.7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</row>
    <row r="475" ht="15.7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</row>
    <row r="476" ht="15.7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</row>
    <row r="477" ht="15.7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  <c r="AJ477" s="93"/>
      <c r="AK477" s="93"/>
      <c r="AL477" s="93"/>
      <c r="AM477" s="93"/>
      <c r="AN477" s="93"/>
      <c r="AO477" s="93"/>
    </row>
    <row r="478" ht="15.7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  <c r="AJ478" s="93"/>
      <c r="AK478" s="93"/>
      <c r="AL478" s="93"/>
      <c r="AM478" s="93"/>
      <c r="AN478" s="93"/>
      <c r="AO478" s="93"/>
    </row>
    <row r="479" ht="15.7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</row>
    <row r="480" ht="15.7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  <c r="AJ480" s="93"/>
      <c r="AK480" s="93"/>
      <c r="AL480" s="93"/>
      <c r="AM480" s="93"/>
      <c r="AN480" s="93"/>
      <c r="AO480" s="93"/>
    </row>
    <row r="481" ht="15.7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  <c r="AJ481" s="93"/>
      <c r="AK481" s="93"/>
      <c r="AL481" s="93"/>
      <c r="AM481" s="93"/>
      <c r="AN481" s="93"/>
      <c r="AO481" s="93"/>
    </row>
    <row r="482" ht="15.7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</row>
    <row r="483" ht="15.7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93"/>
      <c r="AN483" s="93"/>
      <c r="AO483" s="93"/>
    </row>
    <row r="484" ht="15.7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  <c r="AJ484" s="93"/>
      <c r="AK484" s="93"/>
      <c r="AL484" s="93"/>
      <c r="AM484" s="93"/>
      <c r="AN484" s="93"/>
      <c r="AO484" s="93"/>
    </row>
    <row r="485" ht="15.7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</row>
    <row r="486" ht="15.7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  <c r="AJ486" s="93"/>
      <c r="AK486" s="93"/>
      <c r="AL486" s="93"/>
      <c r="AM486" s="93"/>
      <c r="AN486" s="93"/>
      <c r="AO486" s="93"/>
    </row>
    <row r="487" ht="15.7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  <c r="AJ487" s="93"/>
      <c r="AK487" s="93"/>
      <c r="AL487" s="93"/>
      <c r="AM487" s="93"/>
      <c r="AN487" s="93"/>
      <c r="AO487" s="93"/>
    </row>
    <row r="488" ht="15.7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</row>
    <row r="489" ht="15.7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  <c r="AJ489" s="93"/>
      <c r="AK489" s="93"/>
      <c r="AL489" s="93"/>
      <c r="AM489" s="93"/>
      <c r="AN489" s="93"/>
      <c r="AO489" s="93"/>
    </row>
    <row r="490" ht="15.7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</row>
    <row r="491" ht="15.7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</row>
    <row r="492" ht="15.7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</row>
    <row r="493" ht="15.7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</row>
    <row r="494" ht="15.7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</row>
    <row r="495" ht="15.7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</row>
    <row r="496" ht="15.7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</row>
    <row r="497" ht="15.7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</row>
    <row r="498" ht="15.7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</row>
    <row r="499" ht="15.7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</row>
    <row r="500" ht="15.7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</row>
    <row r="501" ht="15.7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</row>
    <row r="502" ht="15.7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</row>
    <row r="503" ht="15.7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</row>
    <row r="504" ht="15.7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</row>
    <row r="505" ht="15.7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</row>
    <row r="506" ht="15.7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  <c r="AJ506" s="93"/>
      <c r="AK506" s="93"/>
      <c r="AL506" s="93"/>
      <c r="AM506" s="93"/>
      <c r="AN506" s="93"/>
      <c r="AO506" s="93"/>
    </row>
    <row r="507" ht="15.7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  <c r="AJ507" s="93"/>
      <c r="AK507" s="93"/>
      <c r="AL507" s="93"/>
      <c r="AM507" s="93"/>
      <c r="AN507" s="93"/>
      <c r="AO507" s="93"/>
    </row>
    <row r="508" ht="15.7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  <c r="AJ508" s="93"/>
      <c r="AK508" s="93"/>
      <c r="AL508" s="93"/>
      <c r="AM508" s="93"/>
      <c r="AN508" s="93"/>
      <c r="AO508" s="93"/>
    </row>
    <row r="509" ht="15.7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  <c r="AJ509" s="93"/>
      <c r="AK509" s="93"/>
      <c r="AL509" s="93"/>
      <c r="AM509" s="93"/>
      <c r="AN509" s="93"/>
      <c r="AO509" s="93"/>
    </row>
    <row r="510" ht="15.7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  <c r="AJ510" s="93"/>
      <c r="AK510" s="93"/>
      <c r="AL510" s="93"/>
      <c r="AM510" s="93"/>
      <c r="AN510" s="93"/>
      <c r="AO510" s="93"/>
    </row>
    <row r="511" ht="15.7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  <c r="AJ511" s="93"/>
      <c r="AK511" s="93"/>
      <c r="AL511" s="93"/>
      <c r="AM511" s="93"/>
      <c r="AN511" s="93"/>
      <c r="AO511" s="93"/>
    </row>
    <row r="512" ht="15.7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</row>
    <row r="513" ht="15.7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  <c r="AJ513" s="93"/>
      <c r="AK513" s="93"/>
      <c r="AL513" s="93"/>
      <c r="AM513" s="93"/>
      <c r="AN513" s="93"/>
      <c r="AO513" s="93"/>
    </row>
    <row r="514" ht="15.7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  <c r="AJ514" s="93"/>
      <c r="AK514" s="93"/>
      <c r="AL514" s="93"/>
      <c r="AM514" s="93"/>
      <c r="AN514" s="93"/>
      <c r="AO514" s="93"/>
    </row>
    <row r="515" ht="15.7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</row>
    <row r="516" ht="15.7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  <c r="AJ516" s="93"/>
      <c r="AK516" s="93"/>
      <c r="AL516" s="93"/>
      <c r="AM516" s="93"/>
      <c r="AN516" s="93"/>
      <c r="AO516" s="93"/>
    </row>
    <row r="517" ht="15.7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  <c r="AJ517" s="93"/>
      <c r="AK517" s="93"/>
      <c r="AL517" s="93"/>
      <c r="AM517" s="93"/>
      <c r="AN517" s="93"/>
      <c r="AO517" s="93"/>
    </row>
    <row r="518" ht="15.7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</row>
    <row r="519" ht="15.7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  <c r="AJ519" s="93"/>
      <c r="AK519" s="93"/>
      <c r="AL519" s="93"/>
      <c r="AM519" s="93"/>
      <c r="AN519" s="93"/>
      <c r="AO519" s="93"/>
    </row>
    <row r="520" ht="15.7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  <c r="AJ520" s="93"/>
      <c r="AK520" s="93"/>
      <c r="AL520" s="93"/>
      <c r="AM520" s="93"/>
      <c r="AN520" s="93"/>
      <c r="AO520" s="93"/>
    </row>
    <row r="521" ht="15.7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</row>
    <row r="522" ht="15.7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  <c r="AJ522" s="93"/>
      <c r="AK522" s="93"/>
      <c r="AL522" s="93"/>
      <c r="AM522" s="93"/>
      <c r="AN522" s="93"/>
      <c r="AO522" s="93"/>
    </row>
    <row r="523" ht="15.7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</row>
    <row r="524" ht="15.7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  <c r="AJ524" s="93"/>
      <c r="AK524" s="93"/>
      <c r="AL524" s="93"/>
      <c r="AM524" s="93"/>
      <c r="AN524" s="93"/>
      <c r="AO524" s="93"/>
    </row>
    <row r="525" ht="15.7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  <c r="AJ525" s="93"/>
      <c r="AK525" s="93"/>
      <c r="AL525" s="93"/>
      <c r="AM525" s="93"/>
      <c r="AN525" s="93"/>
      <c r="AO525" s="93"/>
    </row>
    <row r="526" ht="15.7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  <c r="AJ526" s="93"/>
      <c r="AK526" s="93"/>
      <c r="AL526" s="93"/>
      <c r="AM526" s="93"/>
      <c r="AN526" s="93"/>
      <c r="AO526" s="93"/>
    </row>
    <row r="527" ht="15.7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  <c r="AJ527" s="93"/>
      <c r="AK527" s="93"/>
      <c r="AL527" s="93"/>
      <c r="AM527" s="93"/>
      <c r="AN527" s="93"/>
      <c r="AO527" s="93"/>
    </row>
    <row r="528" ht="15.7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  <c r="AJ528" s="93"/>
      <c r="AK528" s="93"/>
      <c r="AL528" s="93"/>
      <c r="AM528" s="93"/>
      <c r="AN528" s="93"/>
      <c r="AO528" s="93"/>
    </row>
    <row r="529" ht="15.7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  <c r="AJ529" s="93"/>
      <c r="AK529" s="93"/>
      <c r="AL529" s="93"/>
      <c r="AM529" s="93"/>
      <c r="AN529" s="93"/>
      <c r="AO529" s="93"/>
    </row>
    <row r="530" ht="15.7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</row>
    <row r="531" ht="15.7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  <c r="AJ531" s="93"/>
      <c r="AK531" s="93"/>
      <c r="AL531" s="93"/>
      <c r="AM531" s="93"/>
      <c r="AN531" s="93"/>
      <c r="AO531" s="93"/>
    </row>
    <row r="532" ht="15.7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/>
      <c r="AM532" s="93"/>
      <c r="AN532" s="93"/>
      <c r="AO532" s="93"/>
    </row>
    <row r="533" ht="15.7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</row>
    <row r="534" ht="15.7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  <c r="AJ534" s="93"/>
      <c r="AK534" s="93"/>
      <c r="AL534" s="93"/>
      <c r="AM534" s="93"/>
      <c r="AN534" s="93"/>
      <c r="AO534" s="93"/>
    </row>
    <row r="535" ht="15.7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  <c r="AJ535" s="93"/>
      <c r="AK535" s="93"/>
      <c r="AL535" s="93"/>
      <c r="AM535" s="93"/>
      <c r="AN535" s="93"/>
      <c r="AO535" s="93"/>
    </row>
    <row r="536" ht="15.7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  <c r="AJ536" s="93"/>
      <c r="AK536" s="93"/>
      <c r="AL536" s="93"/>
      <c r="AM536" s="93"/>
      <c r="AN536" s="93"/>
      <c r="AO536" s="93"/>
    </row>
    <row r="537" ht="15.7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  <c r="AJ537" s="93"/>
      <c r="AK537" s="93"/>
      <c r="AL537" s="93"/>
      <c r="AM537" s="93"/>
      <c r="AN537" s="93"/>
      <c r="AO537" s="93"/>
    </row>
    <row r="538" ht="15.7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  <c r="AJ538" s="93"/>
      <c r="AK538" s="93"/>
      <c r="AL538" s="93"/>
      <c r="AM538" s="93"/>
      <c r="AN538" s="93"/>
      <c r="AO538" s="93"/>
    </row>
    <row r="539" ht="15.7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  <c r="AJ539" s="93"/>
      <c r="AK539" s="93"/>
      <c r="AL539" s="93"/>
      <c r="AM539" s="93"/>
      <c r="AN539" s="93"/>
      <c r="AO539" s="93"/>
    </row>
    <row r="540" ht="15.7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  <c r="AJ540" s="93"/>
      <c r="AK540" s="93"/>
      <c r="AL540" s="93"/>
      <c r="AM540" s="93"/>
      <c r="AN540" s="93"/>
      <c r="AO540" s="93"/>
    </row>
    <row r="541" ht="15.7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  <c r="AJ541" s="93"/>
      <c r="AK541" s="93"/>
      <c r="AL541" s="93"/>
      <c r="AM541" s="93"/>
      <c r="AN541" s="93"/>
      <c r="AO541" s="93"/>
    </row>
    <row r="542" ht="15.7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</row>
    <row r="543" ht="15.7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  <c r="AJ543" s="93"/>
      <c r="AK543" s="93"/>
      <c r="AL543" s="93"/>
      <c r="AM543" s="93"/>
      <c r="AN543" s="93"/>
      <c r="AO543" s="93"/>
    </row>
    <row r="544" ht="15.7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  <c r="AJ544" s="93"/>
      <c r="AK544" s="93"/>
      <c r="AL544" s="93"/>
      <c r="AM544" s="93"/>
      <c r="AN544" s="93"/>
      <c r="AO544" s="93"/>
    </row>
    <row r="545" ht="15.7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  <c r="AJ545" s="93"/>
      <c r="AK545" s="93"/>
      <c r="AL545" s="93"/>
      <c r="AM545" s="93"/>
      <c r="AN545" s="93"/>
      <c r="AO545" s="93"/>
    </row>
    <row r="546" ht="15.7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  <c r="AJ546" s="93"/>
      <c r="AK546" s="93"/>
      <c r="AL546" s="93"/>
      <c r="AM546" s="93"/>
      <c r="AN546" s="93"/>
      <c r="AO546" s="93"/>
    </row>
    <row r="547" ht="15.7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  <c r="AJ547" s="93"/>
      <c r="AK547" s="93"/>
      <c r="AL547" s="93"/>
      <c r="AM547" s="93"/>
      <c r="AN547" s="93"/>
      <c r="AO547" s="93"/>
    </row>
    <row r="548" ht="15.7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  <c r="AJ548" s="93"/>
      <c r="AK548" s="93"/>
      <c r="AL548" s="93"/>
      <c r="AM548" s="93"/>
      <c r="AN548" s="93"/>
      <c r="AO548" s="93"/>
    </row>
    <row r="549" ht="15.7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  <c r="AJ549" s="93"/>
      <c r="AK549" s="93"/>
      <c r="AL549" s="93"/>
      <c r="AM549" s="93"/>
      <c r="AN549" s="93"/>
      <c r="AO549" s="93"/>
    </row>
    <row r="550" ht="15.7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</row>
    <row r="551" ht="15.7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  <c r="AJ551" s="93"/>
      <c r="AK551" s="93"/>
      <c r="AL551" s="93"/>
      <c r="AM551" s="93"/>
      <c r="AN551" s="93"/>
      <c r="AO551" s="93"/>
    </row>
    <row r="552" ht="15.7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  <c r="AJ552" s="93"/>
      <c r="AK552" s="93"/>
      <c r="AL552" s="93"/>
      <c r="AM552" s="93"/>
      <c r="AN552" s="93"/>
      <c r="AO552" s="93"/>
    </row>
    <row r="553" ht="15.7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  <c r="AJ553" s="93"/>
      <c r="AK553" s="93"/>
      <c r="AL553" s="93"/>
      <c r="AM553" s="93"/>
      <c r="AN553" s="93"/>
      <c r="AO553" s="93"/>
    </row>
    <row r="554" ht="15.7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  <c r="AJ554" s="93"/>
      <c r="AK554" s="93"/>
      <c r="AL554" s="93"/>
      <c r="AM554" s="93"/>
      <c r="AN554" s="93"/>
      <c r="AO554" s="93"/>
    </row>
    <row r="555" ht="15.7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  <c r="AJ555" s="93"/>
      <c r="AK555" s="93"/>
      <c r="AL555" s="93"/>
      <c r="AM555" s="93"/>
      <c r="AN555" s="93"/>
      <c r="AO555" s="93"/>
    </row>
    <row r="556" ht="15.7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  <c r="AJ556" s="93"/>
      <c r="AK556" s="93"/>
      <c r="AL556" s="93"/>
      <c r="AM556" s="93"/>
      <c r="AN556" s="93"/>
      <c r="AO556" s="93"/>
    </row>
    <row r="557" ht="15.7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  <c r="AJ557" s="93"/>
      <c r="AK557" s="93"/>
      <c r="AL557" s="93"/>
      <c r="AM557" s="93"/>
      <c r="AN557" s="93"/>
      <c r="AO557" s="93"/>
    </row>
    <row r="558" ht="15.7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  <c r="AJ558" s="93"/>
      <c r="AK558" s="93"/>
      <c r="AL558" s="93"/>
      <c r="AM558" s="93"/>
      <c r="AN558" s="93"/>
      <c r="AO558" s="93"/>
    </row>
    <row r="559" ht="15.7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  <c r="AH559" s="93"/>
      <c r="AI559" s="93"/>
      <c r="AJ559" s="93"/>
      <c r="AK559" s="93"/>
      <c r="AL559" s="93"/>
      <c r="AM559" s="93"/>
      <c r="AN559" s="93"/>
      <c r="AO559" s="93"/>
    </row>
    <row r="560" ht="15.7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  <c r="AH560" s="93"/>
      <c r="AI560" s="93"/>
      <c r="AJ560" s="93"/>
      <c r="AK560" s="93"/>
      <c r="AL560" s="93"/>
      <c r="AM560" s="93"/>
      <c r="AN560" s="93"/>
      <c r="AO560" s="93"/>
    </row>
    <row r="561" ht="15.7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  <c r="AJ561" s="93"/>
      <c r="AK561" s="93"/>
      <c r="AL561" s="93"/>
      <c r="AM561" s="93"/>
      <c r="AN561" s="93"/>
      <c r="AO561" s="93"/>
    </row>
    <row r="562" ht="15.7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  <c r="AH562" s="93"/>
      <c r="AI562" s="93"/>
      <c r="AJ562" s="93"/>
      <c r="AK562" s="93"/>
      <c r="AL562" s="93"/>
      <c r="AM562" s="93"/>
      <c r="AN562" s="93"/>
      <c r="AO562" s="93"/>
    </row>
    <row r="563" ht="15.7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  <c r="AH563" s="93"/>
      <c r="AI563" s="93"/>
      <c r="AJ563" s="93"/>
      <c r="AK563" s="93"/>
      <c r="AL563" s="93"/>
      <c r="AM563" s="93"/>
      <c r="AN563" s="93"/>
      <c r="AO563" s="93"/>
    </row>
    <row r="564" ht="15.7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  <c r="AJ564" s="93"/>
      <c r="AK564" s="93"/>
      <c r="AL564" s="93"/>
      <c r="AM564" s="93"/>
      <c r="AN564" s="93"/>
      <c r="AO564" s="93"/>
    </row>
    <row r="565" ht="15.7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  <c r="AH565" s="93"/>
      <c r="AI565" s="93"/>
      <c r="AJ565" s="93"/>
      <c r="AK565" s="93"/>
      <c r="AL565" s="93"/>
      <c r="AM565" s="93"/>
      <c r="AN565" s="93"/>
      <c r="AO565" s="93"/>
    </row>
    <row r="566" ht="15.7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  <c r="AJ566" s="93"/>
      <c r="AK566" s="93"/>
      <c r="AL566" s="93"/>
      <c r="AM566" s="93"/>
      <c r="AN566" s="93"/>
      <c r="AO566" s="93"/>
    </row>
    <row r="567" ht="15.7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  <c r="AH567" s="93"/>
      <c r="AI567" s="93"/>
      <c r="AJ567" s="93"/>
      <c r="AK567" s="93"/>
      <c r="AL567" s="93"/>
      <c r="AM567" s="93"/>
      <c r="AN567" s="93"/>
      <c r="AO567" s="93"/>
    </row>
    <row r="568" ht="15.7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  <c r="AJ568" s="93"/>
      <c r="AK568" s="93"/>
      <c r="AL568" s="93"/>
      <c r="AM568" s="93"/>
      <c r="AN568" s="93"/>
      <c r="AO568" s="93"/>
    </row>
    <row r="569" ht="15.7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  <c r="AH569" s="93"/>
      <c r="AI569" s="93"/>
      <c r="AJ569" s="93"/>
      <c r="AK569" s="93"/>
      <c r="AL569" s="93"/>
      <c r="AM569" s="93"/>
      <c r="AN569" s="93"/>
      <c r="AO569" s="93"/>
    </row>
    <row r="570" ht="15.7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  <c r="AH570" s="93"/>
      <c r="AI570" s="93"/>
      <c r="AJ570" s="93"/>
      <c r="AK570" s="93"/>
      <c r="AL570" s="93"/>
      <c r="AM570" s="93"/>
      <c r="AN570" s="93"/>
      <c r="AO570" s="93"/>
    </row>
    <row r="571" ht="15.7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  <c r="AH571" s="93"/>
      <c r="AI571" s="93"/>
      <c r="AJ571" s="93"/>
      <c r="AK571" s="93"/>
      <c r="AL571" s="93"/>
      <c r="AM571" s="93"/>
      <c r="AN571" s="93"/>
      <c r="AO571" s="93"/>
    </row>
    <row r="572" ht="15.7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  <c r="AH572" s="93"/>
      <c r="AI572" s="93"/>
      <c r="AJ572" s="93"/>
      <c r="AK572" s="93"/>
      <c r="AL572" s="93"/>
      <c r="AM572" s="93"/>
      <c r="AN572" s="93"/>
      <c r="AO572" s="93"/>
    </row>
    <row r="573" ht="15.7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  <c r="AH573" s="93"/>
      <c r="AI573" s="93"/>
      <c r="AJ573" s="93"/>
      <c r="AK573" s="93"/>
      <c r="AL573" s="93"/>
      <c r="AM573" s="93"/>
      <c r="AN573" s="93"/>
      <c r="AO573" s="93"/>
    </row>
    <row r="574" ht="15.7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  <c r="AH574" s="93"/>
      <c r="AI574" s="93"/>
      <c r="AJ574" s="93"/>
      <c r="AK574" s="93"/>
      <c r="AL574" s="93"/>
      <c r="AM574" s="93"/>
      <c r="AN574" s="93"/>
      <c r="AO574" s="93"/>
    </row>
    <row r="575" ht="15.7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  <c r="AJ575" s="93"/>
      <c r="AK575" s="93"/>
      <c r="AL575" s="93"/>
      <c r="AM575" s="93"/>
      <c r="AN575" s="93"/>
      <c r="AO575" s="93"/>
    </row>
    <row r="576" ht="15.7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  <c r="AH576" s="93"/>
      <c r="AI576" s="93"/>
      <c r="AJ576" s="93"/>
      <c r="AK576" s="93"/>
      <c r="AL576" s="93"/>
      <c r="AM576" s="93"/>
      <c r="AN576" s="93"/>
      <c r="AO576" s="93"/>
    </row>
    <row r="577" ht="15.7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  <c r="AH577" s="93"/>
      <c r="AI577" s="93"/>
      <c r="AJ577" s="93"/>
      <c r="AK577" s="93"/>
      <c r="AL577" s="93"/>
      <c r="AM577" s="93"/>
      <c r="AN577" s="93"/>
      <c r="AO577" s="93"/>
    </row>
    <row r="578" ht="15.7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  <c r="AJ578" s="93"/>
      <c r="AK578" s="93"/>
      <c r="AL578" s="93"/>
      <c r="AM578" s="93"/>
      <c r="AN578" s="93"/>
      <c r="AO578" s="93"/>
    </row>
    <row r="579" ht="15.7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3"/>
      <c r="AH579" s="93"/>
      <c r="AI579" s="93"/>
      <c r="AJ579" s="93"/>
      <c r="AK579" s="93"/>
      <c r="AL579" s="93"/>
      <c r="AM579" s="93"/>
      <c r="AN579" s="93"/>
      <c r="AO579" s="93"/>
    </row>
    <row r="580" ht="15.7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  <c r="AH580" s="93"/>
      <c r="AI580" s="93"/>
      <c r="AJ580" s="93"/>
      <c r="AK580" s="93"/>
      <c r="AL580" s="93"/>
      <c r="AM580" s="93"/>
      <c r="AN580" s="93"/>
      <c r="AO580" s="93"/>
    </row>
    <row r="581" ht="15.7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  <c r="AJ581" s="93"/>
      <c r="AK581" s="93"/>
      <c r="AL581" s="93"/>
      <c r="AM581" s="93"/>
      <c r="AN581" s="93"/>
      <c r="AO581" s="93"/>
    </row>
    <row r="582" ht="15.7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  <c r="AH582" s="93"/>
      <c r="AI582" s="93"/>
      <c r="AJ582" s="93"/>
      <c r="AK582" s="93"/>
      <c r="AL582" s="93"/>
      <c r="AM582" s="93"/>
      <c r="AN582" s="93"/>
      <c r="AO582" s="93"/>
    </row>
    <row r="583" ht="15.7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  <c r="AH583" s="93"/>
      <c r="AI583" s="93"/>
      <c r="AJ583" s="93"/>
      <c r="AK583" s="93"/>
      <c r="AL583" s="93"/>
      <c r="AM583" s="93"/>
      <c r="AN583" s="93"/>
      <c r="AO583" s="93"/>
    </row>
    <row r="584" ht="15.7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  <c r="AJ584" s="93"/>
      <c r="AK584" s="93"/>
      <c r="AL584" s="93"/>
      <c r="AM584" s="93"/>
      <c r="AN584" s="93"/>
      <c r="AO584" s="93"/>
    </row>
    <row r="585" ht="15.7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  <c r="AJ585" s="93"/>
      <c r="AK585" s="93"/>
      <c r="AL585" s="93"/>
      <c r="AM585" s="93"/>
      <c r="AN585" s="93"/>
      <c r="AO585" s="93"/>
    </row>
    <row r="586" ht="15.7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  <c r="AJ586" s="93"/>
      <c r="AK586" s="93"/>
      <c r="AL586" s="93"/>
      <c r="AM586" s="93"/>
      <c r="AN586" s="93"/>
      <c r="AO586" s="93"/>
    </row>
    <row r="587" ht="15.7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  <c r="AJ587" s="93"/>
      <c r="AK587" s="93"/>
      <c r="AL587" s="93"/>
      <c r="AM587" s="93"/>
      <c r="AN587" s="93"/>
      <c r="AO587" s="93"/>
    </row>
    <row r="588" ht="15.7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  <c r="AJ588" s="93"/>
      <c r="AK588" s="93"/>
      <c r="AL588" s="93"/>
      <c r="AM588" s="93"/>
      <c r="AN588" s="93"/>
      <c r="AO588" s="93"/>
    </row>
    <row r="589" ht="15.7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  <c r="AH589" s="93"/>
      <c r="AI589" s="93"/>
      <c r="AJ589" s="93"/>
      <c r="AK589" s="93"/>
      <c r="AL589" s="93"/>
      <c r="AM589" s="93"/>
      <c r="AN589" s="93"/>
      <c r="AO589" s="93"/>
    </row>
    <row r="590" ht="15.7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/>
      <c r="AM590" s="93"/>
      <c r="AN590" s="93"/>
      <c r="AO590" s="93"/>
    </row>
    <row r="591" ht="15.7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  <c r="AH591" s="93"/>
      <c r="AI591" s="93"/>
      <c r="AJ591" s="93"/>
      <c r="AK591" s="93"/>
      <c r="AL591" s="93"/>
      <c r="AM591" s="93"/>
      <c r="AN591" s="93"/>
      <c r="AO591" s="93"/>
    </row>
    <row r="592" ht="15.7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  <c r="AJ592" s="93"/>
      <c r="AK592" s="93"/>
      <c r="AL592" s="93"/>
      <c r="AM592" s="93"/>
      <c r="AN592" s="93"/>
      <c r="AO592" s="93"/>
    </row>
    <row r="593" ht="15.7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  <c r="AJ593" s="93"/>
      <c r="AK593" s="93"/>
      <c r="AL593" s="93"/>
      <c r="AM593" s="93"/>
      <c r="AN593" s="93"/>
      <c r="AO593" s="93"/>
    </row>
    <row r="594" ht="15.7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  <c r="AH594" s="93"/>
      <c r="AI594" s="93"/>
      <c r="AJ594" s="93"/>
      <c r="AK594" s="93"/>
      <c r="AL594" s="93"/>
      <c r="AM594" s="93"/>
      <c r="AN594" s="93"/>
      <c r="AO594" s="93"/>
    </row>
    <row r="595" ht="15.7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  <c r="AH595" s="93"/>
      <c r="AI595" s="93"/>
      <c r="AJ595" s="93"/>
      <c r="AK595" s="93"/>
      <c r="AL595" s="93"/>
      <c r="AM595" s="93"/>
      <c r="AN595" s="93"/>
      <c r="AO595" s="93"/>
    </row>
    <row r="596" ht="15.7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  <c r="AH596" s="93"/>
      <c r="AI596" s="93"/>
      <c r="AJ596" s="93"/>
      <c r="AK596" s="93"/>
      <c r="AL596" s="93"/>
      <c r="AM596" s="93"/>
      <c r="AN596" s="93"/>
      <c r="AO596" s="93"/>
    </row>
    <row r="597" ht="15.7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  <c r="AH597" s="93"/>
      <c r="AI597" s="93"/>
      <c r="AJ597" s="93"/>
      <c r="AK597" s="93"/>
      <c r="AL597" s="93"/>
      <c r="AM597" s="93"/>
      <c r="AN597" s="93"/>
      <c r="AO597" s="93"/>
    </row>
    <row r="598" ht="15.7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  <c r="AJ598" s="93"/>
      <c r="AK598" s="93"/>
      <c r="AL598" s="93"/>
      <c r="AM598" s="93"/>
      <c r="AN598" s="93"/>
      <c r="AO598" s="93"/>
    </row>
    <row r="599" ht="15.7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  <c r="AH599" s="93"/>
      <c r="AI599" s="93"/>
      <c r="AJ599" s="93"/>
      <c r="AK599" s="93"/>
      <c r="AL599" s="93"/>
      <c r="AM599" s="93"/>
      <c r="AN599" s="93"/>
      <c r="AO599" s="93"/>
    </row>
    <row r="600" ht="15.7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  <c r="AH600" s="93"/>
      <c r="AI600" s="93"/>
      <c r="AJ600" s="93"/>
      <c r="AK600" s="93"/>
      <c r="AL600" s="93"/>
      <c r="AM600" s="93"/>
      <c r="AN600" s="93"/>
      <c r="AO600" s="93"/>
    </row>
    <row r="601" ht="15.7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  <c r="AH601" s="93"/>
      <c r="AI601" s="93"/>
      <c r="AJ601" s="93"/>
      <c r="AK601" s="93"/>
      <c r="AL601" s="93"/>
      <c r="AM601" s="93"/>
      <c r="AN601" s="93"/>
      <c r="AO601" s="93"/>
    </row>
    <row r="602" ht="15.7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  <c r="AH602" s="93"/>
      <c r="AI602" s="93"/>
      <c r="AJ602" s="93"/>
      <c r="AK602" s="93"/>
      <c r="AL602" s="93"/>
      <c r="AM602" s="93"/>
      <c r="AN602" s="93"/>
      <c r="AO602" s="93"/>
    </row>
    <row r="603" ht="15.7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  <c r="AH603" s="93"/>
      <c r="AI603" s="93"/>
      <c r="AJ603" s="93"/>
      <c r="AK603" s="93"/>
      <c r="AL603" s="93"/>
      <c r="AM603" s="93"/>
      <c r="AN603" s="93"/>
      <c r="AO603" s="93"/>
    </row>
    <row r="604" ht="15.7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  <c r="AH604" s="93"/>
      <c r="AI604" s="93"/>
      <c r="AJ604" s="93"/>
      <c r="AK604" s="93"/>
      <c r="AL604" s="93"/>
      <c r="AM604" s="93"/>
      <c r="AN604" s="93"/>
      <c r="AO604" s="93"/>
    </row>
    <row r="605" ht="15.7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  <c r="AH605" s="93"/>
      <c r="AI605" s="93"/>
      <c r="AJ605" s="93"/>
      <c r="AK605" s="93"/>
      <c r="AL605" s="93"/>
      <c r="AM605" s="93"/>
      <c r="AN605" s="93"/>
      <c r="AO605" s="93"/>
    </row>
    <row r="606" ht="15.7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  <c r="AH606" s="93"/>
      <c r="AI606" s="93"/>
      <c r="AJ606" s="93"/>
      <c r="AK606" s="93"/>
      <c r="AL606" s="93"/>
      <c r="AM606" s="93"/>
      <c r="AN606" s="93"/>
      <c r="AO606" s="93"/>
    </row>
    <row r="607" ht="15.7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  <c r="AJ607" s="93"/>
      <c r="AK607" s="93"/>
      <c r="AL607" s="93"/>
      <c r="AM607" s="93"/>
      <c r="AN607" s="93"/>
      <c r="AO607" s="93"/>
    </row>
    <row r="608" ht="15.7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  <c r="AH608" s="93"/>
      <c r="AI608" s="93"/>
      <c r="AJ608" s="93"/>
      <c r="AK608" s="93"/>
      <c r="AL608" s="93"/>
      <c r="AM608" s="93"/>
      <c r="AN608" s="93"/>
      <c r="AO608" s="93"/>
    </row>
    <row r="609" ht="15.7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  <c r="AH609" s="93"/>
      <c r="AI609" s="93"/>
      <c r="AJ609" s="93"/>
      <c r="AK609" s="93"/>
      <c r="AL609" s="93"/>
      <c r="AM609" s="93"/>
      <c r="AN609" s="93"/>
      <c r="AO609" s="93"/>
    </row>
    <row r="610" ht="15.7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  <c r="AH610" s="93"/>
      <c r="AI610" s="93"/>
      <c r="AJ610" s="93"/>
      <c r="AK610" s="93"/>
      <c r="AL610" s="93"/>
      <c r="AM610" s="93"/>
      <c r="AN610" s="93"/>
      <c r="AO610" s="93"/>
    </row>
    <row r="611" ht="15.7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</row>
    <row r="612" ht="15.7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</row>
    <row r="613" ht="15.7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  <c r="AJ613" s="93"/>
      <c r="AK613" s="93"/>
      <c r="AL613" s="93"/>
      <c r="AM613" s="93"/>
      <c r="AN613" s="93"/>
      <c r="AO613" s="93"/>
    </row>
    <row r="614" ht="15.7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</row>
    <row r="615" ht="15.7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</row>
    <row r="616" ht="15.7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  <c r="AJ616" s="93"/>
      <c r="AK616" s="93"/>
      <c r="AL616" s="93"/>
      <c r="AM616" s="93"/>
      <c r="AN616" s="93"/>
      <c r="AO616" s="93"/>
    </row>
    <row r="617" ht="15.7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  <c r="AJ617" s="93"/>
      <c r="AK617" s="93"/>
      <c r="AL617" s="93"/>
      <c r="AM617" s="93"/>
      <c r="AN617" s="93"/>
      <c r="AO617" s="93"/>
    </row>
    <row r="618" ht="15.7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  <c r="AJ618" s="93"/>
      <c r="AK618" s="93"/>
      <c r="AL618" s="93"/>
      <c r="AM618" s="93"/>
      <c r="AN618" s="93"/>
      <c r="AO618" s="93"/>
    </row>
    <row r="619" ht="15.7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  <c r="AH619" s="93"/>
      <c r="AI619" s="93"/>
      <c r="AJ619" s="93"/>
      <c r="AK619" s="93"/>
      <c r="AL619" s="93"/>
      <c r="AM619" s="93"/>
      <c r="AN619" s="93"/>
      <c r="AO619" s="93"/>
    </row>
    <row r="620" ht="15.7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  <c r="AJ620" s="93"/>
      <c r="AK620" s="93"/>
      <c r="AL620" s="93"/>
      <c r="AM620" s="93"/>
      <c r="AN620" s="93"/>
      <c r="AO620" s="93"/>
    </row>
    <row r="621" ht="15.7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  <c r="AH621" s="93"/>
      <c r="AI621" s="93"/>
      <c r="AJ621" s="93"/>
      <c r="AK621" s="93"/>
      <c r="AL621" s="93"/>
      <c r="AM621" s="93"/>
      <c r="AN621" s="93"/>
      <c r="AO621" s="93"/>
    </row>
    <row r="622" ht="15.7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  <c r="AH622" s="93"/>
      <c r="AI622" s="93"/>
      <c r="AJ622" s="93"/>
      <c r="AK622" s="93"/>
      <c r="AL622" s="93"/>
      <c r="AM622" s="93"/>
      <c r="AN622" s="93"/>
      <c r="AO622" s="93"/>
    </row>
    <row r="623" ht="15.7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  <c r="AH623" s="93"/>
      <c r="AI623" s="93"/>
      <c r="AJ623" s="93"/>
      <c r="AK623" s="93"/>
      <c r="AL623" s="93"/>
      <c r="AM623" s="93"/>
      <c r="AN623" s="93"/>
      <c r="AO623" s="93"/>
    </row>
    <row r="624" ht="15.7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  <c r="AH624" s="93"/>
      <c r="AI624" s="93"/>
      <c r="AJ624" s="93"/>
      <c r="AK624" s="93"/>
      <c r="AL624" s="93"/>
      <c r="AM624" s="93"/>
      <c r="AN624" s="93"/>
      <c r="AO624" s="93"/>
    </row>
    <row r="625" ht="15.7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  <c r="AH625" s="93"/>
      <c r="AI625" s="93"/>
      <c r="AJ625" s="93"/>
      <c r="AK625" s="93"/>
      <c r="AL625" s="93"/>
      <c r="AM625" s="93"/>
      <c r="AN625" s="93"/>
      <c r="AO625" s="93"/>
    </row>
    <row r="626" ht="15.7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  <c r="AH626" s="93"/>
      <c r="AI626" s="93"/>
      <c r="AJ626" s="93"/>
      <c r="AK626" s="93"/>
      <c r="AL626" s="93"/>
      <c r="AM626" s="93"/>
      <c r="AN626" s="93"/>
      <c r="AO626" s="93"/>
    </row>
    <row r="627" ht="15.7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  <c r="AH627" s="93"/>
      <c r="AI627" s="93"/>
      <c r="AJ627" s="93"/>
      <c r="AK627" s="93"/>
      <c r="AL627" s="93"/>
      <c r="AM627" s="93"/>
      <c r="AN627" s="93"/>
      <c r="AO627" s="93"/>
    </row>
    <row r="628" ht="15.7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  <c r="AH628" s="93"/>
      <c r="AI628" s="93"/>
      <c r="AJ628" s="93"/>
      <c r="AK628" s="93"/>
      <c r="AL628" s="93"/>
      <c r="AM628" s="93"/>
      <c r="AN628" s="93"/>
      <c r="AO628" s="93"/>
    </row>
    <row r="629" ht="15.7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  <c r="AJ629" s="93"/>
      <c r="AK629" s="93"/>
      <c r="AL629" s="93"/>
      <c r="AM629" s="93"/>
      <c r="AN629" s="93"/>
      <c r="AO629" s="93"/>
    </row>
    <row r="630" ht="15.7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  <c r="AJ630" s="93"/>
      <c r="AK630" s="93"/>
      <c r="AL630" s="93"/>
      <c r="AM630" s="93"/>
      <c r="AN630" s="93"/>
      <c r="AO630" s="93"/>
    </row>
    <row r="631" ht="15.7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</row>
    <row r="632" ht="15.7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</row>
    <row r="633" ht="15.7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  <c r="AH633" s="93"/>
      <c r="AI633" s="93"/>
      <c r="AJ633" s="93"/>
      <c r="AK633" s="93"/>
      <c r="AL633" s="93"/>
      <c r="AM633" s="93"/>
      <c r="AN633" s="93"/>
      <c r="AO633" s="93"/>
    </row>
    <row r="634" ht="15.7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  <c r="AJ634" s="93"/>
      <c r="AK634" s="93"/>
      <c r="AL634" s="93"/>
      <c r="AM634" s="93"/>
      <c r="AN634" s="93"/>
      <c r="AO634" s="93"/>
    </row>
    <row r="635" ht="15.7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  <c r="AJ635" s="93"/>
      <c r="AK635" s="93"/>
      <c r="AL635" s="93"/>
      <c r="AM635" s="93"/>
      <c r="AN635" s="93"/>
      <c r="AO635" s="93"/>
    </row>
    <row r="636" ht="15.7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  <c r="AH636" s="93"/>
      <c r="AI636" s="93"/>
      <c r="AJ636" s="93"/>
      <c r="AK636" s="93"/>
      <c r="AL636" s="93"/>
      <c r="AM636" s="93"/>
      <c r="AN636" s="93"/>
      <c r="AO636" s="93"/>
    </row>
    <row r="637" ht="15.7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  <c r="AH637" s="93"/>
      <c r="AI637" s="93"/>
      <c r="AJ637" s="93"/>
      <c r="AK637" s="93"/>
      <c r="AL637" s="93"/>
      <c r="AM637" s="93"/>
      <c r="AN637" s="93"/>
      <c r="AO637" s="93"/>
    </row>
    <row r="638" ht="15.7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  <c r="AJ638" s="93"/>
      <c r="AK638" s="93"/>
      <c r="AL638" s="93"/>
      <c r="AM638" s="93"/>
      <c r="AN638" s="93"/>
      <c r="AO638" s="93"/>
    </row>
    <row r="639" ht="15.7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  <c r="AH639" s="93"/>
      <c r="AI639" s="93"/>
      <c r="AJ639" s="93"/>
      <c r="AK639" s="93"/>
      <c r="AL639" s="93"/>
      <c r="AM639" s="93"/>
      <c r="AN639" s="93"/>
      <c r="AO639" s="93"/>
    </row>
    <row r="640" ht="15.7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  <c r="AH640" s="93"/>
      <c r="AI640" s="93"/>
      <c r="AJ640" s="93"/>
      <c r="AK640" s="93"/>
      <c r="AL640" s="93"/>
      <c r="AM640" s="93"/>
      <c r="AN640" s="93"/>
      <c r="AO640" s="93"/>
    </row>
    <row r="641" ht="15.7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  <c r="AJ641" s="93"/>
      <c r="AK641" s="93"/>
      <c r="AL641" s="93"/>
      <c r="AM641" s="93"/>
      <c r="AN641" s="93"/>
      <c r="AO641" s="93"/>
    </row>
    <row r="642" ht="15.7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  <c r="AH642" s="93"/>
      <c r="AI642" s="93"/>
      <c r="AJ642" s="93"/>
      <c r="AK642" s="93"/>
      <c r="AL642" s="93"/>
      <c r="AM642" s="93"/>
      <c r="AN642" s="93"/>
      <c r="AO642" s="93"/>
    </row>
    <row r="643" ht="15.7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  <c r="AH643" s="93"/>
      <c r="AI643" s="93"/>
      <c r="AJ643" s="93"/>
      <c r="AK643" s="93"/>
      <c r="AL643" s="93"/>
      <c r="AM643" s="93"/>
      <c r="AN643" s="93"/>
      <c r="AO643" s="93"/>
    </row>
    <row r="644" ht="15.7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  <c r="AH644" s="93"/>
      <c r="AI644" s="93"/>
      <c r="AJ644" s="93"/>
      <c r="AK644" s="93"/>
      <c r="AL644" s="93"/>
      <c r="AM644" s="93"/>
      <c r="AN644" s="93"/>
      <c r="AO644" s="93"/>
    </row>
    <row r="645" ht="15.7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  <c r="AH645" s="93"/>
      <c r="AI645" s="93"/>
      <c r="AJ645" s="93"/>
      <c r="AK645" s="93"/>
      <c r="AL645" s="93"/>
      <c r="AM645" s="93"/>
      <c r="AN645" s="93"/>
      <c r="AO645" s="93"/>
    </row>
    <row r="646" ht="15.7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  <c r="AH646" s="93"/>
      <c r="AI646" s="93"/>
      <c r="AJ646" s="93"/>
      <c r="AK646" s="93"/>
      <c r="AL646" s="93"/>
      <c r="AM646" s="93"/>
      <c r="AN646" s="93"/>
      <c r="AO646" s="93"/>
    </row>
    <row r="647" ht="15.7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  <c r="AJ647" s="93"/>
      <c r="AK647" s="93"/>
      <c r="AL647" s="93"/>
      <c r="AM647" s="93"/>
      <c r="AN647" s="93"/>
      <c r="AO647" s="93"/>
    </row>
    <row r="648" ht="15.7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  <c r="AJ648" s="93"/>
      <c r="AK648" s="93"/>
      <c r="AL648" s="93"/>
      <c r="AM648" s="93"/>
      <c r="AN648" s="93"/>
      <c r="AO648" s="93"/>
    </row>
    <row r="649" ht="15.7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  <c r="AJ649" s="93"/>
      <c r="AK649" s="93"/>
      <c r="AL649" s="93"/>
      <c r="AM649" s="93"/>
      <c r="AN649" s="93"/>
      <c r="AO649" s="93"/>
    </row>
    <row r="650" ht="15.7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  <c r="AJ650" s="93"/>
      <c r="AK650" s="93"/>
      <c r="AL650" s="93"/>
      <c r="AM650" s="93"/>
      <c r="AN650" s="93"/>
      <c r="AO650" s="93"/>
    </row>
    <row r="651" ht="15.7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  <c r="AH651" s="93"/>
      <c r="AI651" s="93"/>
      <c r="AJ651" s="93"/>
      <c r="AK651" s="93"/>
      <c r="AL651" s="93"/>
      <c r="AM651" s="93"/>
      <c r="AN651" s="93"/>
      <c r="AO651" s="93"/>
    </row>
    <row r="652" ht="15.7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  <c r="AH652" s="93"/>
      <c r="AI652" s="93"/>
      <c r="AJ652" s="93"/>
      <c r="AK652" s="93"/>
      <c r="AL652" s="93"/>
      <c r="AM652" s="93"/>
      <c r="AN652" s="93"/>
      <c r="AO652" s="93"/>
    </row>
    <row r="653" ht="15.7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  <c r="AH653" s="93"/>
      <c r="AI653" s="93"/>
      <c r="AJ653" s="93"/>
      <c r="AK653" s="93"/>
      <c r="AL653" s="93"/>
      <c r="AM653" s="93"/>
      <c r="AN653" s="93"/>
      <c r="AO653" s="93"/>
    </row>
    <row r="654" ht="15.7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  <c r="AH654" s="93"/>
      <c r="AI654" s="93"/>
      <c r="AJ654" s="93"/>
      <c r="AK654" s="93"/>
      <c r="AL654" s="93"/>
      <c r="AM654" s="93"/>
      <c r="AN654" s="93"/>
      <c r="AO654" s="93"/>
    </row>
    <row r="655" ht="15.7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  <c r="AH655" s="93"/>
      <c r="AI655" s="93"/>
      <c r="AJ655" s="93"/>
      <c r="AK655" s="93"/>
      <c r="AL655" s="93"/>
      <c r="AM655" s="93"/>
      <c r="AN655" s="93"/>
      <c r="AO655" s="93"/>
    </row>
    <row r="656" ht="15.7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  <c r="AJ656" s="93"/>
      <c r="AK656" s="93"/>
      <c r="AL656" s="93"/>
      <c r="AM656" s="93"/>
      <c r="AN656" s="93"/>
      <c r="AO656" s="93"/>
    </row>
    <row r="657" ht="15.7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  <c r="AJ657" s="93"/>
      <c r="AK657" s="93"/>
      <c r="AL657" s="93"/>
      <c r="AM657" s="93"/>
      <c r="AN657" s="93"/>
      <c r="AO657" s="93"/>
    </row>
    <row r="658" ht="15.7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  <c r="AJ658" s="93"/>
      <c r="AK658" s="93"/>
      <c r="AL658" s="93"/>
      <c r="AM658" s="93"/>
      <c r="AN658" s="93"/>
      <c r="AO658" s="93"/>
    </row>
    <row r="659" ht="15.7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  <c r="AJ659" s="93"/>
      <c r="AK659" s="93"/>
      <c r="AL659" s="93"/>
      <c r="AM659" s="93"/>
      <c r="AN659" s="93"/>
      <c r="AO659" s="93"/>
    </row>
    <row r="660" ht="15.7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  <c r="AJ660" s="93"/>
      <c r="AK660" s="93"/>
      <c r="AL660" s="93"/>
      <c r="AM660" s="93"/>
      <c r="AN660" s="93"/>
      <c r="AO660" s="93"/>
    </row>
    <row r="661" ht="15.7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  <c r="AJ661" s="93"/>
      <c r="AK661" s="93"/>
      <c r="AL661" s="93"/>
      <c r="AM661" s="93"/>
      <c r="AN661" s="93"/>
      <c r="AO661" s="93"/>
    </row>
    <row r="662" ht="15.7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  <c r="AJ662" s="93"/>
      <c r="AK662" s="93"/>
      <c r="AL662" s="93"/>
      <c r="AM662" s="93"/>
      <c r="AN662" s="93"/>
      <c r="AO662" s="93"/>
    </row>
    <row r="663" ht="15.7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  <c r="AJ663" s="93"/>
      <c r="AK663" s="93"/>
      <c r="AL663" s="93"/>
      <c r="AM663" s="93"/>
      <c r="AN663" s="93"/>
      <c r="AO663" s="93"/>
    </row>
    <row r="664" ht="15.7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  <c r="AJ664" s="93"/>
      <c r="AK664" s="93"/>
      <c r="AL664" s="93"/>
      <c r="AM664" s="93"/>
      <c r="AN664" s="93"/>
      <c r="AO664" s="93"/>
    </row>
    <row r="665" ht="15.7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  <c r="AL665" s="93"/>
      <c r="AM665" s="93"/>
      <c r="AN665" s="93"/>
      <c r="AO665" s="93"/>
    </row>
    <row r="666" ht="15.7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  <c r="AJ666" s="93"/>
      <c r="AK666" s="93"/>
      <c r="AL666" s="93"/>
      <c r="AM666" s="93"/>
      <c r="AN666" s="93"/>
      <c r="AO666" s="93"/>
    </row>
    <row r="667" ht="15.7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  <c r="AJ667" s="93"/>
      <c r="AK667" s="93"/>
      <c r="AL667" s="93"/>
      <c r="AM667" s="93"/>
      <c r="AN667" s="93"/>
      <c r="AO667" s="93"/>
    </row>
    <row r="668" ht="15.7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93"/>
      <c r="AN668" s="93"/>
      <c r="AO668" s="93"/>
    </row>
    <row r="669" ht="15.7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  <c r="AJ669" s="93"/>
      <c r="AK669" s="93"/>
      <c r="AL669" s="93"/>
      <c r="AM669" s="93"/>
      <c r="AN669" s="93"/>
      <c r="AO669" s="93"/>
    </row>
    <row r="670" ht="15.7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  <c r="AJ670" s="93"/>
      <c r="AK670" s="93"/>
      <c r="AL670" s="93"/>
      <c r="AM670" s="93"/>
      <c r="AN670" s="93"/>
      <c r="AO670" s="93"/>
    </row>
    <row r="671" ht="15.7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  <c r="AJ671" s="93"/>
      <c r="AK671" s="93"/>
      <c r="AL671" s="93"/>
      <c r="AM671" s="93"/>
      <c r="AN671" s="93"/>
      <c r="AO671" s="93"/>
    </row>
    <row r="672" ht="15.7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  <c r="AJ672" s="93"/>
      <c r="AK672" s="93"/>
      <c r="AL672" s="93"/>
      <c r="AM672" s="93"/>
      <c r="AN672" s="93"/>
      <c r="AO672" s="93"/>
    </row>
    <row r="673" ht="15.7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  <c r="AJ673" s="93"/>
      <c r="AK673" s="93"/>
      <c r="AL673" s="93"/>
      <c r="AM673" s="93"/>
      <c r="AN673" s="93"/>
      <c r="AO673" s="93"/>
    </row>
    <row r="674" ht="15.7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  <c r="AJ674" s="93"/>
      <c r="AK674" s="93"/>
      <c r="AL674" s="93"/>
      <c r="AM674" s="93"/>
      <c r="AN674" s="93"/>
      <c r="AO674" s="93"/>
    </row>
    <row r="675" ht="15.7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  <c r="AJ675" s="93"/>
      <c r="AK675" s="93"/>
      <c r="AL675" s="93"/>
      <c r="AM675" s="93"/>
      <c r="AN675" s="93"/>
      <c r="AO675" s="93"/>
    </row>
    <row r="676" ht="15.7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  <c r="AL676" s="93"/>
      <c r="AM676" s="93"/>
      <c r="AN676" s="93"/>
      <c r="AO676" s="93"/>
    </row>
    <row r="677" ht="15.7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</row>
    <row r="678" ht="15.7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  <c r="AL678" s="93"/>
      <c r="AM678" s="93"/>
      <c r="AN678" s="93"/>
      <c r="AO678" s="93"/>
    </row>
    <row r="679" ht="15.7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  <c r="AL679" s="93"/>
      <c r="AM679" s="93"/>
      <c r="AN679" s="93"/>
      <c r="AO679" s="93"/>
    </row>
    <row r="680" ht="15.7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  <c r="AL680" s="93"/>
      <c r="AM680" s="93"/>
      <c r="AN680" s="93"/>
      <c r="AO680" s="93"/>
    </row>
    <row r="681" ht="15.7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  <c r="AL681" s="93"/>
      <c r="AM681" s="93"/>
      <c r="AN681" s="93"/>
      <c r="AO681" s="93"/>
    </row>
    <row r="682" ht="15.7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  <c r="AJ682" s="93"/>
      <c r="AK682" s="93"/>
      <c r="AL682" s="93"/>
      <c r="AM682" s="93"/>
      <c r="AN682" s="93"/>
      <c r="AO682" s="93"/>
    </row>
    <row r="683" ht="15.7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  <c r="AL683" s="93"/>
      <c r="AM683" s="93"/>
      <c r="AN683" s="93"/>
      <c r="AO683" s="93"/>
    </row>
    <row r="684" ht="15.7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  <c r="AJ684" s="93"/>
      <c r="AK684" s="93"/>
      <c r="AL684" s="93"/>
      <c r="AM684" s="93"/>
      <c r="AN684" s="93"/>
      <c r="AO684" s="93"/>
    </row>
    <row r="685" ht="15.7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  <c r="AJ685" s="93"/>
      <c r="AK685" s="93"/>
      <c r="AL685" s="93"/>
      <c r="AM685" s="93"/>
      <c r="AN685" s="93"/>
      <c r="AO685" s="93"/>
    </row>
    <row r="686" ht="15.7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  <c r="AL686" s="93"/>
      <c r="AM686" s="93"/>
      <c r="AN686" s="93"/>
      <c r="AO686" s="93"/>
    </row>
    <row r="687" ht="15.7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  <c r="AJ687" s="93"/>
      <c r="AK687" s="93"/>
      <c r="AL687" s="93"/>
      <c r="AM687" s="93"/>
      <c r="AN687" s="93"/>
      <c r="AO687" s="93"/>
    </row>
    <row r="688" ht="15.7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  <c r="AJ688" s="93"/>
      <c r="AK688" s="93"/>
      <c r="AL688" s="93"/>
      <c r="AM688" s="93"/>
      <c r="AN688" s="93"/>
      <c r="AO688" s="93"/>
    </row>
    <row r="689" ht="15.7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  <c r="AL689" s="93"/>
      <c r="AM689" s="93"/>
      <c r="AN689" s="93"/>
      <c r="AO689" s="93"/>
    </row>
    <row r="690" ht="15.7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  <c r="AJ690" s="93"/>
      <c r="AK690" s="93"/>
      <c r="AL690" s="93"/>
      <c r="AM690" s="93"/>
      <c r="AN690" s="93"/>
      <c r="AO690" s="93"/>
    </row>
    <row r="691" ht="15.7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  <c r="AJ691" s="93"/>
      <c r="AK691" s="93"/>
      <c r="AL691" s="93"/>
      <c r="AM691" s="93"/>
      <c r="AN691" s="93"/>
      <c r="AO691" s="93"/>
    </row>
    <row r="692" ht="15.7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  <c r="AL692" s="93"/>
      <c r="AM692" s="93"/>
      <c r="AN692" s="93"/>
      <c r="AO692" s="93"/>
    </row>
    <row r="693" ht="15.7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  <c r="AJ693" s="93"/>
      <c r="AK693" s="93"/>
      <c r="AL693" s="93"/>
      <c r="AM693" s="93"/>
      <c r="AN693" s="93"/>
      <c r="AO693" s="93"/>
    </row>
    <row r="694" ht="15.7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  <c r="AJ694" s="93"/>
      <c r="AK694" s="93"/>
      <c r="AL694" s="93"/>
      <c r="AM694" s="93"/>
      <c r="AN694" s="93"/>
      <c r="AO694" s="93"/>
    </row>
    <row r="695" ht="15.7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  <c r="AL695" s="93"/>
      <c r="AM695" s="93"/>
      <c r="AN695" s="93"/>
      <c r="AO695" s="93"/>
    </row>
    <row r="696" ht="15.7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  <c r="AJ696" s="93"/>
      <c r="AK696" s="93"/>
      <c r="AL696" s="93"/>
      <c r="AM696" s="93"/>
      <c r="AN696" s="93"/>
      <c r="AO696" s="93"/>
    </row>
    <row r="697" ht="15.7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  <c r="AJ697" s="93"/>
      <c r="AK697" s="93"/>
      <c r="AL697" s="93"/>
      <c r="AM697" s="93"/>
      <c r="AN697" s="93"/>
      <c r="AO697" s="93"/>
    </row>
    <row r="698" ht="15.7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  <c r="AJ698" s="93"/>
      <c r="AK698" s="93"/>
      <c r="AL698" s="93"/>
      <c r="AM698" s="93"/>
      <c r="AN698" s="93"/>
      <c r="AO698" s="93"/>
    </row>
    <row r="699" ht="15.7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  <c r="AJ699" s="93"/>
      <c r="AK699" s="93"/>
      <c r="AL699" s="93"/>
      <c r="AM699" s="93"/>
      <c r="AN699" s="93"/>
      <c r="AO699" s="93"/>
    </row>
    <row r="700" ht="15.7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  <c r="AJ700" s="93"/>
      <c r="AK700" s="93"/>
      <c r="AL700" s="93"/>
      <c r="AM700" s="93"/>
      <c r="AN700" s="93"/>
      <c r="AO700" s="93"/>
    </row>
    <row r="701" ht="15.7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</row>
    <row r="702" ht="15.7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  <c r="AJ702" s="93"/>
      <c r="AK702" s="93"/>
      <c r="AL702" s="93"/>
      <c r="AM702" s="93"/>
      <c r="AN702" s="93"/>
      <c r="AO702" s="93"/>
    </row>
    <row r="703" ht="15.7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  <c r="AJ703" s="93"/>
      <c r="AK703" s="93"/>
      <c r="AL703" s="93"/>
      <c r="AM703" s="93"/>
      <c r="AN703" s="93"/>
      <c r="AO703" s="93"/>
    </row>
    <row r="704" ht="15.7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  <c r="AJ704" s="93"/>
      <c r="AK704" s="93"/>
      <c r="AL704" s="93"/>
      <c r="AM704" s="93"/>
      <c r="AN704" s="93"/>
      <c r="AO704" s="93"/>
    </row>
    <row r="705" ht="15.7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  <c r="AJ705" s="93"/>
      <c r="AK705" s="93"/>
      <c r="AL705" s="93"/>
      <c r="AM705" s="93"/>
      <c r="AN705" s="93"/>
      <c r="AO705" s="93"/>
    </row>
    <row r="706" ht="15.7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  <c r="AJ706" s="93"/>
      <c r="AK706" s="93"/>
      <c r="AL706" s="93"/>
      <c r="AM706" s="93"/>
      <c r="AN706" s="93"/>
      <c r="AO706" s="93"/>
    </row>
    <row r="707" ht="15.7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  <c r="AL707" s="93"/>
      <c r="AM707" s="93"/>
      <c r="AN707" s="93"/>
      <c r="AO707" s="93"/>
    </row>
    <row r="708" ht="15.7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  <c r="AJ708" s="93"/>
      <c r="AK708" s="93"/>
      <c r="AL708" s="93"/>
      <c r="AM708" s="93"/>
      <c r="AN708" s="93"/>
      <c r="AO708" s="93"/>
    </row>
    <row r="709" ht="15.7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  <c r="AJ709" s="93"/>
      <c r="AK709" s="93"/>
      <c r="AL709" s="93"/>
      <c r="AM709" s="93"/>
      <c r="AN709" s="93"/>
      <c r="AO709" s="93"/>
    </row>
    <row r="710" ht="15.7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/>
      <c r="AM710" s="93"/>
      <c r="AN710" s="93"/>
      <c r="AO710" s="93"/>
    </row>
    <row r="711" ht="15.7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  <c r="AL711" s="93"/>
      <c r="AM711" s="93"/>
      <c r="AN711" s="93"/>
      <c r="AO711" s="93"/>
    </row>
    <row r="712" ht="15.7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  <c r="AJ712" s="93"/>
      <c r="AK712" s="93"/>
      <c r="AL712" s="93"/>
      <c r="AM712" s="93"/>
      <c r="AN712" s="93"/>
      <c r="AO712" s="93"/>
    </row>
    <row r="713" ht="15.7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  <c r="AL713" s="93"/>
      <c r="AM713" s="93"/>
      <c r="AN713" s="93"/>
      <c r="AO713" s="93"/>
    </row>
    <row r="714" ht="15.7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  <c r="AL714" s="93"/>
      <c r="AM714" s="93"/>
      <c r="AN714" s="93"/>
      <c r="AO714" s="93"/>
    </row>
    <row r="715" ht="15.7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  <c r="AJ715" s="93"/>
      <c r="AK715" s="93"/>
      <c r="AL715" s="93"/>
      <c r="AM715" s="93"/>
      <c r="AN715" s="93"/>
      <c r="AO715" s="93"/>
    </row>
    <row r="716" ht="15.7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  <c r="AJ716" s="93"/>
      <c r="AK716" s="93"/>
      <c r="AL716" s="93"/>
      <c r="AM716" s="93"/>
      <c r="AN716" s="93"/>
      <c r="AO716" s="93"/>
    </row>
    <row r="717" ht="15.7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  <c r="AJ717" s="93"/>
      <c r="AK717" s="93"/>
      <c r="AL717" s="93"/>
      <c r="AM717" s="93"/>
      <c r="AN717" s="93"/>
      <c r="AO717" s="93"/>
    </row>
    <row r="718" ht="15.7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  <c r="AJ718" s="93"/>
      <c r="AK718" s="93"/>
      <c r="AL718" s="93"/>
      <c r="AM718" s="93"/>
      <c r="AN718" s="93"/>
      <c r="AO718" s="93"/>
    </row>
    <row r="719" ht="15.7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  <c r="AJ719" s="93"/>
      <c r="AK719" s="93"/>
      <c r="AL719" s="93"/>
      <c r="AM719" s="93"/>
      <c r="AN719" s="93"/>
      <c r="AO719" s="93"/>
    </row>
    <row r="720" ht="15.7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  <c r="AJ720" s="93"/>
      <c r="AK720" s="93"/>
      <c r="AL720" s="93"/>
      <c r="AM720" s="93"/>
      <c r="AN720" s="93"/>
      <c r="AO720" s="93"/>
    </row>
    <row r="721" ht="15.7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  <c r="AJ721" s="93"/>
      <c r="AK721" s="93"/>
      <c r="AL721" s="93"/>
      <c r="AM721" s="93"/>
      <c r="AN721" s="93"/>
      <c r="AO721" s="93"/>
    </row>
    <row r="722" ht="15.7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  <c r="AL722" s="93"/>
      <c r="AM722" s="93"/>
      <c r="AN722" s="93"/>
      <c r="AO722" s="93"/>
    </row>
    <row r="723" ht="15.7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  <c r="AJ723" s="93"/>
      <c r="AK723" s="93"/>
      <c r="AL723" s="93"/>
      <c r="AM723" s="93"/>
      <c r="AN723" s="93"/>
      <c r="AO723" s="93"/>
    </row>
    <row r="724" ht="15.7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  <c r="AJ724" s="93"/>
      <c r="AK724" s="93"/>
      <c r="AL724" s="93"/>
      <c r="AM724" s="93"/>
      <c r="AN724" s="93"/>
      <c r="AO724" s="93"/>
    </row>
    <row r="725" ht="15.7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  <c r="AL725" s="93"/>
      <c r="AM725" s="93"/>
      <c r="AN725" s="93"/>
      <c r="AO725" s="93"/>
    </row>
    <row r="726" ht="15.7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  <c r="AL726" s="93"/>
      <c r="AM726" s="93"/>
      <c r="AN726" s="93"/>
      <c r="AO726" s="93"/>
    </row>
    <row r="727" ht="15.7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  <c r="AJ727" s="93"/>
      <c r="AK727" s="93"/>
      <c r="AL727" s="93"/>
      <c r="AM727" s="93"/>
      <c r="AN727" s="93"/>
      <c r="AO727" s="93"/>
    </row>
    <row r="728" ht="15.7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  <c r="AJ728" s="93"/>
      <c r="AK728" s="93"/>
      <c r="AL728" s="93"/>
      <c r="AM728" s="93"/>
      <c r="AN728" s="93"/>
      <c r="AO728" s="93"/>
    </row>
    <row r="729" ht="15.7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  <c r="AJ729" s="93"/>
      <c r="AK729" s="93"/>
      <c r="AL729" s="93"/>
      <c r="AM729" s="93"/>
      <c r="AN729" s="93"/>
      <c r="AO729" s="93"/>
    </row>
    <row r="730" ht="15.7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  <c r="AJ730" s="93"/>
      <c r="AK730" s="93"/>
      <c r="AL730" s="93"/>
      <c r="AM730" s="93"/>
      <c r="AN730" s="93"/>
      <c r="AO730" s="93"/>
    </row>
    <row r="731" ht="15.7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  <c r="AL731" s="93"/>
      <c r="AM731" s="93"/>
      <c r="AN731" s="93"/>
      <c r="AO731" s="93"/>
    </row>
    <row r="732" ht="15.7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  <c r="AJ732" s="93"/>
      <c r="AK732" s="93"/>
      <c r="AL732" s="93"/>
      <c r="AM732" s="93"/>
      <c r="AN732" s="93"/>
      <c r="AO732" s="93"/>
    </row>
    <row r="733" ht="15.7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  <c r="AL733" s="93"/>
      <c r="AM733" s="93"/>
      <c r="AN733" s="93"/>
      <c r="AO733" s="93"/>
    </row>
    <row r="734" ht="15.7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  <c r="AJ734" s="93"/>
      <c r="AK734" s="93"/>
      <c r="AL734" s="93"/>
      <c r="AM734" s="93"/>
      <c r="AN734" s="93"/>
      <c r="AO734" s="93"/>
    </row>
    <row r="735" ht="15.7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  <c r="AJ735" s="93"/>
      <c r="AK735" s="93"/>
      <c r="AL735" s="93"/>
      <c r="AM735" s="93"/>
      <c r="AN735" s="93"/>
      <c r="AO735" s="93"/>
    </row>
    <row r="736" ht="15.7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  <c r="AJ736" s="93"/>
      <c r="AK736" s="93"/>
      <c r="AL736" s="93"/>
      <c r="AM736" s="93"/>
      <c r="AN736" s="93"/>
      <c r="AO736" s="93"/>
    </row>
    <row r="737" ht="15.7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  <c r="AL737" s="93"/>
      <c r="AM737" s="93"/>
      <c r="AN737" s="93"/>
      <c r="AO737" s="93"/>
    </row>
    <row r="738" ht="15.7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  <c r="AJ738" s="93"/>
      <c r="AK738" s="93"/>
      <c r="AL738" s="93"/>
      <c r="AM738" s="93"/>
      <c r="AN738" s="93"/>
      <c r="AO738" s="93"/>
    </row>
    <row r="739" ht="15.7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  <c r="AJ739" s="93"/>
      <c r="AK739" s="93"/>
      <c r="AL739" s="93"/>
      <c r="AM739" s="93"/>
      <c r="AN739" s="93"/>
      <c r="AO739" s="93"/>
    </row>
    <row r="740" ht="15.7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  <c r="AL740" s="93"/>
      <c r="AM740" s="93"/>
      <c r="AN740" s="93"/>
      <c r="AO740" s="93"/>
    </row>
    <row r="741" ht="15.7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  <c r="AJ741" s="93"/>
      <c r="AK741" s="93"/>
      <c r="AL741" s="93"/>
      <c r="AM741" s="93"/>
      <c r="AN741" s="93"/>
      <c r="AO741" s="93"/>
    </row>
    <row r="742" ht="15.7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  <c r="AL742" s="93"/>
      <c r="AM742" s="93"/>
      <c r="AN742" s="93"/>
      <c r="AO742" s="93"/>
    </row>
    <row r="743" ht="15.7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  <c r="AL743" s="93"/>
      <c r="AM743" s="93"/>
      <c r="AN743" s="93"/>
      <c r="AO743" s="93"/>
    </row>
    <row r="744" ht="15.7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  <c r="AJ744" s="93"/>
      <c r="AK744" s="93"/>
      <c r="AL744" s="93"/>
      <c r="AM744" s="93"/>
      <c r="AN744" s="93"/>
      <c r="AO744" s="93"/>
    </row>
    <row r="745" ht="15.7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  <c r="AJ745" s="93"/>
      <c r="AK745" s="93"/>
      <c r="AL745" s="93"/>
      <c r="AM745" s="93"/>
      <c r="AN745" s="93"/>
      <c r="AO745" s="93"/>
    </row>
    <row r="746" ht="15.7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  <c r="AJ746" s="93"/>
      <c r="AK746" s="93"/>
      <c r="AL746" s="93"/>
      <c r="AM746" s="93"/>
      <c r="AN746" s="93"/>
      <c r="AO746" s="93"/>
    </row>
    <row r="747" ht="15.7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  <c r="AJ747" s="93"/>
      <c r="AK747" s="93"/>
      <c r="AL747" s="93"/>
      <c r="AM747" s="93"/>
      <c r="AN747" s="93"/>
      <c r="AO747" s="93"/>
    </row>
    <row r="748" ht="15.7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  <c r="AJ748" s="93"/>
      <c r="AK748" s="93"/>
      <c r="AL748" s="93"/>
      <c r="AM748" s="93"/>
      <c r="AN748" s="93"/>
      <c r="AO748" s="93"/>
    </row>
    <row r="749" ht="15.7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  <c r="AJ749" s="93"/>
      <c r="AK749" s="93"/>
      <c r="AL749" s="93"/>
      <c r="AM749" s="93"/>
      <c r="AN749" s="93"/>
      <c r="AO749" s="93"/>
    </row>
    <row r="750" ht="15.7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  <c r="AJ750" s="93"/>
      <c r="AK750" s="93"/>
      <c r="AL750" s="93"/>
      <c r="AM750" s="93"/>
      <c r="AN750" s="93"/>
      <c r="AO750" s="93"/>
    </row>
    <row r="751" ht="15.7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  <c r="AJ751" s="93"/>
      <c r="AK751" s="93"/>
      <c r="AL751" s="93"/>
      <c r="AM751" s="93"/>
      <c r="AN751" s="93"/>
      <c r="AO751" s="93"/>
    </row>
    <row r="752" ht="15.7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</row>
    <row r="753" ht="15.7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  <c r="AJ753" s="93"/>
      <c r="AK753" s="93"/>
      <c r="AL753" s="93"/>
      <c r="AM753" s="93"/>
      <c r="AN753" s="93"/>
      <c r="AO753" s="93"/>
    </row>
    <row r="754" ht="15.7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  <c r="AJ754" s="93"/>
      <c r="AK754" s="93"/>
      <c r="AL754" s="93"/>
      <c r="AM754" s="93"/>
      <c r="AN754" s="93"/>
      <c r="AO754" s="93"/>
    </row>
    <row r="755" ht="15.7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</row>
    <row r="756" ht="15.7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  <c r="AJ756" s="93"/>
      <c r="AK756" s="93"/>
      <c r="AL756" s="93"/>
      <c r="AM756" s="93"/>
      <c r="AN756" s="93"/>
      <c r="AO756" s="93"/>
    </row>
    <row r="757" ht="15.7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</row>
    <row r="758" ht="15.7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</row>
    <row r="759" ht="15.7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</row>
    <row r="760" ht="15.7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  <c r="AJ760" s="93"/>
      <c r="AK760" s="93"/>
      <c r="AL760" s="93"/>
      <c r="AM760" s="93"/>
      <c r="AN760" s="93"/>
      <c r="AO760" s="93"/>
    </row>
    <row r="761" ht="15.7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</row>
    <row r="762" ht="15.7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  <c r="AJ762" s="93"/>
      <c r="AK762" s="93"/>
      <c r="AL762" s="93"/>
      <c r="AM762" s="93"/>
      <c r="AN762" s="93"/>
      <c r="AO762" s="93"/>
    </row>
    <row r="763" ht="15.7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  <c r="AJ763" s="93"/>
      <c r="AK763" s="93"/>
      <c r="AL763" s="93"/>
      <c r="AM763" s="93"/>
      <c r="AN763" s="93"/>
      <c r="AO763" s="93"/>
    </row>
    <row r="764" ht="15.7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  <c r="AJ764" s="93"/>
      <c r="AK764" s="93"/>
      <c r="AL764" s="93"/>
      <c r="AM764" s="93"/>
      <c r="AN764" s="93"/>
      <c r="AO764" s="93"/>
    </row>
    <row r="765" ht="15.7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  <c r="AJ765" s="93"/>
      <c r="AK765" s="93"/>
      <c r="AL765" s="93"/>
      <c r="AM765" s="93"/>
      <c r="AN765" s="93"/>
      <c r="AO765" s="93"/>
    </row>
    <row r="766" ht="15.7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  <c r="AJ766" s="93"/>
      <c r="AK766" s="93"/>
      <c r="AL766" s="93"/>
      <c r="AM766" s="93"/>
      <c r="AN766" s="93"/>
      <c r="AO766" s="93"/>
    </row>
    <row r="767" ht="15.7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  <c r="AJ767" s="93"/>
      <c r="AK767" s="93"/>
      <c r="AL767" s="93"/>
      <c r="AM767" s="93"/>
      <c r="AN767" s="93"/>
      <c r="AO767" s="93"/>
    </row>
    <row r="768" ht="15.7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  <c r="AJ768" s="93"/>
      <c r="AK768" s="93"/>
      <c r="AL768" s="93"/>
      <c r="AM768" s="93"/>
      <c r="AN768" s="93"/>
      <c r="AO768" s="93"/>
    </row>
    <row r="769" ht="15.7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  <c r="AJ769" s="93"/>
      <c r="AK769" s="93"/>
      <c r="AL769" s="93"/>
      <c r="AM769" s="93"/>
      <c r="AN769" s="93"/>
      <c r="AO769" s="93"/>
    </row>
    <row r="770" ht="15.7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</row>
    <row r="771" ht="15.7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  <c r="AJ771" s="93"/>
      <c r="AK771" s="93"/>
      <c r="AL771" s="93"/>
      <c r="AM771" s="93"/>
      <c r="AN771" s="93"/>
      <c r="AO771" s="93"/>
    </row>
    <row r="772" ht="15.7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  <c r="AJ772" s="93"/>
      <c r="AK772" s="93"/>
      <c r="AL772" s="93"/>
      <c r="AM772" s="93"/>
      <c r="AN772" s="93"/>
      <c r="AO772" s="93"/>
    </row>
    <row r="773" ht="15.7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</row>
    <row r="774" ht="15.7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  <c r="AJ774" s="93"/>
      <c r="AK774" s="93"/>
      <c r="AL774" s="93"/>
      <c r="AM774" s="93"/>
      <c r="AN774" s="93"/>
      <c r="AO774" s="93"/>
    </row>
    <row r="775" ht="15.7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  <c r="AJ775" s="93"/>
      <c r="AK775" s="93"/>
      <c r="AL775" s="93"/>
      <c r="AM775" s="93"/>
      <c r="AN775" s="93"/>
      <c r="AO775" s="93"/>
    </row>
    <row r="776" ht="15.7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</row>
    <row r="777" ht="15.7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  <c r="AJ777" s="93"/>
      <c r="AK777" s="93"/>
      <c r="AL777" s="93"/>
      <c r="AM777" s="93"/>
      <c r="AN777" s="93"/>
      <c r="AO777" s="93"/>
    </row>
    <row r="778" ht="15.7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  <c r="AJ778" s="93"/>
      <c r="AK778" s="93"/>
      <c r="AL778" s="93"/>
      <c r="AM778" s="93"/>
      <c r="AN778" s="93"/>
      <c r="AO778" s="93"/>
    </row>
    <row r="779" ht="15.7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</row>
    <row r="780" ht="15.7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  <c r="AJ780" s="93"/>
      <c r="AK780" s="93"/>
      <c r="AL780" s="93"/>
      <c r="AM780" s="93"/>
      <c r="AN780" s="93"/>
      <c r="AO780" s="93"/>
    </row>
    <row r="781" ht="15.7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  <c r="AJ781" s="93"/>
      <c r="AK781" s="93"/>
      <c r="AL781" s="93"/>
      <c r="AM781" s="93"/>
      <c r="AN781" s="93"/>
      <c r="AO781" s="93"/>
    </row>
    <row r="782" ht="15.7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</row>
    <row r="783" ht="15.7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  <c r="AJ783" s="93"/>
      <c r="AK783" s="93"/>
      <c r="AL783" s="93"/>
      <c r="AM783" s="93"/>
      <c r="AN783" s="93"/>
      <c r="AO783" s="93"/>
    </row>
    <row r="784" ht="15.7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  <c r="AJ784" s="93"/>
      <c r="AK784" s="93"/>
      <c r="AL784" s="93"/>
      <c r="AM784" s="93"/>
      <c r="AN784" s="93"/>
      <c r="AO784" s="93"/>
    </row>
    <row r="785" ht="15.7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  <c r="AJ785" s="93"/>
      <c r="AK785" s="93"/>
      <c r="AL785" s="93"/>
      <c r="AM785" s="93"/>
      <c r="AN785" s="93"/>
      <c r="AO785" s="93"/>
    </row>
    <row r="786" ht="15.7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  <c r="AJ786" s="93"/>
      <c r="AK786" s="93"/>
      <c r="AL786" s="93"/>
      <c r="AM786" s="93"/>
      <c r="AN786" s="93"/>
      <c r="AO786" s="93"/>
    </row>
    <row r="787" ht="15.7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  <c r="AJ787" s="93"/>
      <c r="AK787" s="93"/>
      <c r="AL787" s="93"/>
      <c r="AM787" s="93"/>
      <c r="AN787" s="93"/>
      <c r="AO787" s="93"/>
    </row>
    <row r="788" ht="15.7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  <c r="AJ788" s="93"/>
      <c r="AK788" s="93"/>
      <c r="AL788" s="93"/>
      <c r="AM788" s="93"/>
      <c r="AN788" s="93"/>
      <c r="AO788" s="93"/>
    </row>
    <row r="789" ht="15.7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  <c r="AJ789" s="93"/>
      <c r="AK789" s="93"/>
      <c r="AL789" s="93"/>
      <c r="AM789" s="93"/>
      <c r="AN789" s="93"/>
      <c r="AO789" s="93"/>
    </row>
    <row r="790" ht="15.7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</row>
    <row r="791" ht="15.7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</row>
    <row r="792" ht="15.7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  <c r="AJ792" s="93"/>
      <c r="AK792" s="93"/>
      <c r="AL792" s="93"/>
      <c r="AM792" s="93"/>
      <c r="AN792" s="93"/>
      <c r="AO792" s="93"/>
    </row>
    <row r="793" ht="15.7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  <c r="AJ793" s="93"/>
      <c r="AK793" s="93"/>
      <c r="AL793" s="93"/>
      <c r="AM793" s="93"/>
      <c r="AN793" s="93"/>
      <c r="AO793" s="93"/>
    </row>
    <row r="794" ht="15.7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</row>
    <row r="795" ht="15.7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  <c r="AJ795" s="93"/>
      <c r="AK795" s="93"/>
      <c r="AL795" s="93"/>
      <c r="AM795" s="93"/>
      <c r="AN795" s="93"/>
      <c r="AO795" s="93"/>
    </row>
    <row r="796" ht="15.7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  <c r="AJ796" s="93"/>
      <c r="AK796" s="93"/>
      <c r="AL796" s="93"/>
      <c r="AM796" s="93"/>
      <c r="AN796" s="93"/>
      <c r="AO796" s="93"/>
    </row>
    <row r="797" ht="15.7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</row>
    <row r="798" ht="15.7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  <c r="AJ798" s="93"/>
      <c r="AK798" s="93"/>
      <c r="AL798" s="93"/>
      <c r="AM798" s="93"/>
      <c r="AN798" s="93"/>
      <c r="AO798" s="93"/>
    </row>
    <row r="799" ht="15.7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  <c r="AJ799" s="93"/>
      <c r="AK799" s="93"/>
      <c r="AL799" s="93"/>
      <c r="AM799" s="93"/>
      <c r="AN799" s="93"/>
      <c r="AO799" s="93"/>
    </row>
    <row r="800" ht="15.7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</row>
    <row r="801" ht="15.7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  <c r="AJ801" s="93"/>
      <c r="AK801" s="93"/>
      <c r="AL801" s="93"/>
      <c r="AM801" s="93"/>
      <c r="AN801" s="93"/>
      <c r="AO801" s="93"/>
    </row>
    <row r="802" ht="15.7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  <c r="AJ802" s="93"/>
      <c r="AK802" s="93"/>
      <c r="AL802" s="93"/>
      <c r="AM802" s="93"/>
      <c r="AN802" s="93"/>
      <c r="AO802" s="93"/>
    </row>
    <row r="803" ht="15.7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</row>
    <row r="804" ht="15.7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  <c r="AJ804" s="93"/>
      <c r="AK804" s="93"/>
      <c r="AL804" s="93"/>
      <c r="AM804" s="93"/>
      <c r="AN804" s="93"/>
      <c r="AO804" s="93"/>
    </row>
    <row r="805" ht="15.7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  <c r="AJ805" s="93"/>
      <c r="AK805" s="93"/>
      <c r="AL805" s="93"/>
      <c r="AM805" s="93"/>
      <c r="AN805" s="93"/>
      <c r="AO805" s="93"/>
    </row>
    <row r="806" ht="15.7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</row>
    <row r="807" ht="15.7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  <c r="AJ807" s="93"/>
      <c r="AK807" s="93"/>
      <c r="AL807" s="93"/>
      <c r="AM807" s="93"/>
      <c r="AN807" s="93"/>
      <c r="AO807" s="93"/>
    </row>
    <row r="808" ht="15.7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  <c r="AJ808" s="93"/>
      <c r="AK808" s="93"/>
      <c r="AL808" s="93"/>
      <c r="AM808" s="93"/>
      <c r="AN808" s="93"/>
      <c r="AO808" s="93"/>
    </row>
    <row r="809" ht="15.7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  <c r="AJ809" s="93"/>
      <c r="AK809" s="93"/>
      <c r="AL809" s="93"/>
      <c r="AM809" s="93"/>
      <c r="AN809" s="93"/>
      <c r="AO809" s="93"/>
    </row>
    <row r="810" ht="15.7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  <c r="AJ810" s="93"/>
      <c r="AK810" s="93"/>
      <c r="AL810" s="93"/>
      <c r="AM810" s="93"/>
      <c r="AN810" s="93"/>
      <c r="AO810" s="93"/>
    </row>
    <row r="811" ht="15.7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  <c r="AJ811" s="93"/>
      <c r="AK811" s="93"/>
      <c r="AL811" s="93"/>
      <c r="AM811" s="93"/>
      <c r="AN811" s="93"/>
      <c r="AO811" s="93"/>
    </row>
    <row r="812" ht="15.7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  <c r="AJ812" s="93"/>
      <c r="AK812" s="93"/>
      <c r="AL812" s="93"/>
      <c r="AM812" s="93"/>
      <c r="AN812" s="93"/>
      <c r="AO812" s="93"/>
    </row>
    <row r="813" ht="15.7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  <c r="AJ813" s="93"/>
      <c r="AK813" s="93"/>
      <c r="AL813" s="93"/>
      <c r="AM813" s="93"/>
      <c r="AN813" s="93"/>
      <c r="AO813" s="93"/>
    </row>
    <row r="814" ht="15.7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  <c r="AJ814" s="93"/>
      <c r="AK814" s="93"/>
      <c r="AL814" s="93"/>
      <c r="AM814" s="93"/>
      <c r="AN814" s="93"/>
      <c r="AO814" s="93"/>
    </row>
    <row r="815" ht="15.7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  <c r="AJ815" s="93"/>
      <c r="AK815" s="93"/>
      <c r="AL815" s="93"/>
      <c r="AM815" s="93"/>
      <c r="AN815" s="93"/>
      <c r="AO815" s="93"/>
    </row>
    <row r="816" ht="15.7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  <c r="AJ816" s="93"/>
      <c r="AK816" s="93"/>
      <c r="AL816" s="93"/>
      <c r="AM816" s="93"/>
      <c r="AN816" s="93"/>
      <c r="AO816" s="93"/>
    </row>
    <row r="817" ht="15.7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  <c r="AJ817" s="93"/>
      <c r="AK817" s="93"/>
      <c r="AL817" s="93"/>
      <c r="AM817" s="93"/>
      <c r="AN817" s="93"/>
      <c r="AO817" s="93"/>
    </row>
    <row r="818" ht="15.7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</row>
    <row r="819" ht="15.7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  <c r="AJ819" s="93"/>
      <c r="AK819" s="93"/>
      <c r="AL819" s="93"/>
      <c r="AM819" s="93"/>
      <c r="AN819" s="93"/>
      <c r="AO819" s="93"/>
    </row>
    <row r="820" ht="15.7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  <c r="AJ820" s="93"/>
      <c r="AK820" s="93"/>
      <c r="AL820" s="93"/>
      <c r="AM820" s="93"/>
      <c r="AN820" s="93"/>
      <c r="AO820" s="93"/>
    </row>
    <row r="821" ht="15.7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</row>
    <row r="822" ht="15.7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  <c r="AJ822" s="93"/>
      <c r="AK822" s="93"/>
      <c r="AL822" s="93"/>
      <c r="AM822" s="93"/>
      <c r="AN822" s="93"/>
      <c r="AO822" s="93"/>
    </row>
    <row r="823" ht="15.7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  <c r="AJ823" s="93"/>
      <c r="AK823" s="93"/>
      <c r="AL823" s="93"/>
      <c r="AM823" s="93"/>
      <c r="AN823" s="93"/>
      <c r="AO823" s="93"/>
    </row>
    <row r="824" ht="15.7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</row>
    <row r="825" ht="15.7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  <c r="AJ825" s="93"/>
      <c r="AK825" s="93"/>
      <c r="AL825" s="93"/>
      <c r="AM825" s="93"/>
      <c r="AN825" s="93"/>
      <c r="AO825" s="93"/>
    </row>
    <row r="826" ht="15.7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  <c r="AJ826" s="93"/>
      <c r="AK826" s="93"/>
      <c r="AL826" s="93"/>
      <c r="AM826" s="93"/>
      <c r="AN826" s="93"/>
      <c r="AO826" s="93"/>
    </row>
    <row r="827" ht="15.7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  <c r="AJ827" s="93"/>
      <c r="AK827" s="93"/>
      <c r="AL827" s="93"/>
      <c r="AM827" s="93"/>
      <c r="AN827" s="93"/>
      <c r="AO827" s="93"/>
    </row>
    <row r="828" ht="15.7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  <c r="AJ828" s="93"/>
      <c r="AK828" s="93"/>
      <c r="AL828" s="93"/>
      <c r="AM828" s="93"/>
      <c r="AN828" s="93"/>
      <c r="AO828" s="93"/>
    </row>
    <row r="829" ht="15.7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  <c r="AJ829" s="93"/>
      <c r="AK829" s="93"/>
      <c r="AL829" s="93"/>
      <c r="AM829" s="93"/>
      <c r="AN829" s="93"/>
      <c r="AO829" s="93"/>
    </row>
    <row r="830" ht="15.7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  <c r="AJ830" s="93"/>
      <c r="AK830" s="93"/>
      <c r="AL830" s="93"/>
      <c r="AM830" s="93"/>
      <c r="AN830" s="93"/>
      <c r="AO830" s="93"/>
    </row>
    <row r="831" ht="15.7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  <c r="AJ831" s="93"/>
      <c r="AK831" s="93"/>
      <c r="AL831" s="93"/>
      <c r="AM831" s="93"/>
      <c r="AN831" s="93"/>
      <c r="AO831" s="93"/>
    </row>
    <row r="832" ht="15.7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  <c r="AJ832" s="93"/>
      <c r="AK832" s="93"/>
      <c r="AL832" s="93"/>
      <c r="AM832" s="93"/>
      <c r="AN832" s="93"/>
      <c r="AO832" s="93"/>
    </row>
    <row r="833" ht="15.7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  <c r="AJ833" s="93"/>
      <c r="AK833" s="93"/>
      <c r="AL833" s="93"/>
      <c r="AM833" s="93"/>
      <c r="AN833" s="93"/>
      <c r="AO833" s="93"/>
    </row>
    <row r="834" ht="15.7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  <c r="AJ834" s="93"/>
      <c r="AK834" s="93"/>
      <c r="AL834" s="93"/>
      <c r="AM834" s="93"/>
      <c r="AN834" s="93"/>
      <c r="AO834" s="93"/>
    </row>
    <row r="835" ht="15.7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  <c r="AJ835" s="93"/>
      <c r="AK835" s="93"/>
      <c r="AL835" s="93"/>
      <c r="AM835" s="93"/>
      <c r="AN835" s="93"/>
      <c r="AO835" s="93"/>
    </row>
    <row r="836" ht="15.7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  <c r="AJ836" s="93"/>
      <c r="AK836" s="93"/>
      <c r="AL836" s="93"/>
      <c r="AM836" s="93"/>
      <c r="AN836" s="93"/>
      <c r="AO836" s="93"/>
    </row>
    <row r="837" ht="15.7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  <c r="AJ837" s="93"/>
      <c r="AK837" s="93"/>
      <c r="AL837" s="93"/>
      <c r="AM837" s="93"/>
      <c r="AN837" s="93"/>
      <c r="AO837" s="93"/>
    </row>
    <row r="838" ht="15.7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  <c r="AJ838" s="93"/>
      <c r="AK838" s="93"/>
      <c r="AL838" s="93"/>
      <c r="AM838" s="93"/>
      <c r="AN838" s="93"/>
      <c r="AO838" s="93"/>
    </row>
    <row r="839" ht="15.7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  <c r="AJ839" s="93"/>
      <c r="AK839" s="93"/>
      <c r="AL839" s="93"/>
      <c r="AM839" s="93"/>
      <c r="AN839" s="93"/>
      <c r="AO839" s="93"/>
    </row>
    <row r="840" ht="15.7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  <c r="AJ840" s="93"/>
      <c r="AK840" s="93"/>
      <c r="AL840" s="93"/>
      <c r="AM840" s="93"/>
      <c r="AN840" s="93"/>
      <c r="AO840" s="93"/>
    </row>
    <row r="841" ht="15.7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  <c r="AJ841" s="93"/>
      <c r="AK841" s="93"/>
      <c r="AL841" s="93"/>
      <c r="AM841" s="93"/>
      <c r="AN841" s="93"/>
      <c r="AO841" s="93"/>
    </row>
    <row r="842" ht="15.7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  <c r="AJ842" s="93"/>
      <c r="AK842" s="93"/>
      <c r="AL842" s="93"/>
      <c r="AM842" s="93"/>
      <c r="AN842" s="93"/>
      <c r="AO842" s="93"/>
    </row>
    <row r="843" ht="15.7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  <c r="AJ843" s="93"/>
      <c r="AK843" s="93"/>
      <c r="AL843" s="93"/>
      <c r="AM843" s="93"/>
      <c r="AN843" s="93"/>
      <c r="AO843" s="93"/>
    </row>
    <row r="844" ht="15.7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  <c r="AJ844" s="93"/>
      <c r="AK844" s="93"/>
      <c r="AL844" s="93"/>
      <c r="AM844" s="93"/>
      <c r="AN844" s="93"/>
      <c r="AO844" s="93"/>
    </row>
    <row r="845" ht="15.7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  <c r="AJ845" s="93"/>
      <c r="AK845" s="93"/>
      <c r="AL845" s="93"/>
      <c r="AM845" s="93"/>
      <c r="AN845" s="93"/>
      <c r="AO845" s="93"/>
    </row>
    <row r="846" ht="15.7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  <c r="AJ846" s="93"/>
      <c r="AK846" s="93"/>
      <c r="AL846" s="93"/>
      <c r="AM846" s="93"/>
      <c r="AN846" s="93"/>
      <c r="AO846" s="93"/>
    </row>
    <row r="847" ht="15.7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  <c r="AJ847" s="93"/>
      <c r="AK847" s="93"/>
      <c r="AL847" s="93"/>
      <c r="AM847" s="93"/>
      <c r="AN847" s="93"/>
      <c r="AO847" s="93"/>
    </row>
    <row r="848" ht="15.7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</row>
    <row r="849" ht="15.7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  <c r="AJ849" s="93"/>
      <c r="AK849" s="93"/>
      <c r="AL849" s="93"/>
      <c r="AM849" s="93"/>
      <c r="AN849" s="93"/>
      <c r="AO849" s="93"/>
    </row>
    <row r="850" ht="15.7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  <c r="AJ850" s="93"/>
      <c r="AK850" s="93"/>
      <c r="AL850" s="93"/>
      <c r="AM850" s="93"/>
      <c r="AN850" s="93"/>
      <c r="AO850" s="93"/>
    </row>
    <row r="851" ht="15.7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</row>
    <row r="852" ht="15.7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  <c r="AJ852" s="93"/>
      <c r="AK852" s="93"/>
      <c r="AL852" s="93"/>
      <c r="AM852" s="93"/>
      <c r="AN852" s="93"/>
      <c r="AO852" s="93"/>
    </row>
    <row r="853" ht="15.7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  <c r="AJ853" s="93"/>
      <c r="AK853" s="93"/>
      <c r="AL853" s="93"/>
      <c r="AM853" s="93"/>
      <c r="AN853" s="93"/>
      <c r="AO853" s="93"/>
    </row>
    <row r="854" ht="15.7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  <c r="AJ854" s="93"/>
      <c r="AK854" s="93"/>
      <c r="AL854" s="93"/>
      <c r="AM854" s="93"/>
      <c r="AN854" s="93"/>
      <c r="AO854" s="93"/>
    </row>
    <row r="855" ht="15.7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  <c r="AJ855" s="93"/>
      <c r="AK855" s="93"/>
      <c r="AL855" s="93"/>
      <c r="AM855" s="93"/>
      <c r="AN855" s="93"/>
      <c r="AO855" s="93"/>
    </row>
    <row r="856" ht="15.7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  <c r="AJ856" s="93"/>
      <c r="AK856" s="93"/>
      <c r="AL856" s="93"/>
      <c r="AM856" s="93"/>
      <c r="AN856" s="93"/>
      <c r="AO856" s="93"/>
    </row>
    <row r="857" ht="15.7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  <c r="AJ857" s="93"/>
      <c r="AK857" s="93"/>
      <c r="AL857" s="93"/>
      <c r="AM857" s="93"/>
      <c r="AN857" s="93"/>
      <c r="AO857" s="93"/>
    </row>
    <row r="858" ht="15.7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</row>
    <row r="859" ht="15.7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  <c r="AJ859" s="93"/>
      <c r="AK859" s="93"/>
      <c r="AL859" s="93"/>
      <c r="AM859" s="93"/>
      <c r="AN859" s="93"/>
      <c r="AO859" s="93"/>
    </row>
    <row r="860" ht="15.7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</row>
    <row r="861" ht="15.7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  <c r="AJ861" s="93"/>
      <c r="AK861" s="93"/>
      <c r="AL861" s="93"/>
      <c r="AM861" s="93"/>
      <c r="AN861" s="93"/>
      <c r="AO861" s="93"/>
    </row>
    <row r="862" ht="15.7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  <c r="AJ862" s="93"/>
      <c r="AK862" s="93"/>
      <c r="AL862" s="93"/>
      <c r="AM862" s="93"/>
      <c r="AN862" s="93"/>
      <c r="AO862" s="93"/>
    </row>
    <row r="863" ht="15.7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  <c r="AJ863" s="93"/>
      <c r="AK863" s="93"/>
      <c r="AL863" s="93"/>
      <c r="AM863" s="93"/>
      <c r="AN863" s="93"/>
      <c r="AO863" s="93"/>
    </row>
    <row r="864" ht="15.7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  <c r="AJ864" s="93"/>
      <c r="AK864" s="93"/>
      <c r="AL864" s="93"/>
      <c r="AM864" s="93"/>
      <c r="AN864" s="93"/>
      <c r="AO864" s="93"/>
    </row>
    <row r="865" ht="15.7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</row>
    <row r="866" ht="15.7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</row>
    <row r="867" ht="15.7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  <c r="AJ867" s="93"/>
      <c r="AK867" s="93"/>
      <c r="AL867" s="93"/>
      <c r="AM867" s="93"/>
      <c r="AN867" s="93"/>
      <c r="AO867" s="93"/>
    </row>
    <row r="868" ht="15.7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  <c r="AJ868" s="93"/>
      <c r="AK868" s="93"/>
      <c r="AL868" s="93"/>
      <c r="AM868" s="93"/>
      <c r="AN868" s="93"/>
      <c r="AO868" s="93"/>
    </row>
    <row r="869" ht="15.7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</row>
    <row r="870" ht="15.7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  <c r="AJ870" s="93"/>
      <c r="AK870" s="93"/>
      <c r="AL870" s="93"/>
      <c r="AM870" s="93"/>
      <c r="AN870" s="93"/>
      <c r="AO870" s="93"/>
    </row>
    <row r="871" ht="15.7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  <c r="AJ871" s="93"/>
      <c r="AK871" s="93"/>
      <c r="AL871" s="93"/>
      <c r="AM871" s="93"/>
      <c r="AN871" s="93"/>
      <c r="AO871" s="93"/>
    </row>
    <row r="872" ht="15.7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</row>
    <row r="873" ht="15.7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  <c r="AJ873" s="93"/>
      <c r="AK873" s="93"/>
      <c r="AL873" s="93"/>
      <c r="AM873" s="93"/>
      <c r="AN873" s="93"/>
      <c r="AO873" s="93"/>
    </row>
    <row r="874" ht="15.7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</row>
    <row r="875" ht="15.7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</row>
    <row r="876" ht="15.7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  <c r="AJ876" s="93"/>
      <c r="AK876" s="93"/>
      <c r="AL876" s="93"/>
      <c r="AM876" s="93"/>
      <c r="AN876" s="93"/>
      <c r="AO876" s="93"/>
    </row>
    <row r="877" ht="15.7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  <c r="AJ877" s="93"/>
      <c r="AK877" s="93"/>
      <c r="AL877" s="93"/>
      <c r="AM877" s="93"/>
      <c r="AN877" s="93"/>
      <c r="AO877" s="93"/>
    </row>
    <row r="878" ht="15.7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</row>
    <row r="879" ht="15.7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</row>
    <row r="880" ht="15.7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  <c r="AJ880" s="93"/>
      <c r="AK880" s="93"/>
      <c r="AL880" s="93"/>
      <c r="AM880" s="93"/>
      <c r="AN880" s="93"/>
      <c r="AO880" s="93"/>
    </row>
    <row r="881" ht="15.7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  <c r="AJ881" s="93"/>
      <c r="AK881" s="93"/>
      <c r="AL881" s="93"/>
      <c r="AM881" s="93"/>
      <c r="AN881" s="93"/>
      <c r="AO881" s="93"/>
    </row>
    <row r="882" ht="15.7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  <c r="AJ882" s="93"/>
      <c r="AK882" s="93"/>
      <c r="AL882" s="93"/>
      <c r="AM882" s="93"/>
      <c r="AN882" s="93"/>
      <c r="AO882" s="93"/>
    </row>
    <row r="883" ht="15.7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  <c r="AJ883" s="93"/>
      <c r="AK883" s="93"/>
      <c r="AL883" s="93"/>
      <c r="AM883" s="93"/>
      <c r="AN883" s="93"/>
      <c r="AO883" s="93"/>
    </row>
    <row r="884" ht="15.7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  <c r="AJ884" s="93"/>
      <c r="AK884" s="93"/>
      <c r="AL884" s="93"/>
      <c r="AM884" s="93"/>
      <c r="AN884" s="93"/>
      <c r="AO884" s="93"/>
    </row>
    <row r="885" ht="15.7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  <c r="AJ885" s="93"/>
      <c r="AK885" s="93"/>
      <c r="AL885" s="93"/>
      <c r="AM885" s="93"/>
      <c r="AN885" s="93"/>
      <c r="AO885" s="93"/>
    </row>
    <row r="886" ht="15.7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  <c r="AJ886" s="93"/>
      <c r="AK886" s="93"/>
      <c r="AL886" s="93"/>
      <c r="AM886" s="93"/>
      <c r="AN886" s="93"/>
      <c r="AO886" s="93"/>
    </row>
    <row r="887" ht="15.7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</row>
    <row r="888" ht="15.7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  <c r="AJ888" s="93"/>
      <c r="AK888" s="93"/>
      <c r="AL888" s="93"/>
      <c r="AM888" s="93"/>
      <c r="AN888" s="93"/>
      <c r="AO888" s="93"/>
    </row>
    <row r="889" ht="15.7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  <c r="AJ889" s="93"/>
      <c r="AK889" s="93"/>
      <c r="AL889" s="93"/>
      <c r="AM889" s="93"/>
      <c r="AN889" s="93"/>
      <c r="AO889" s="93"/>
    </row>
    <row r="890" ht="15.7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  <c r="AJ890" s="93"/>
      <c r="AK890" s="93"/>
      <c r="AL890" s="93"/>
      <c r="AM890" s="93"/>
      <c r="AN890" s="93"/>
      <c r="AO890" s="93"/>
    </row>
    <row r="891" ht="15.7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  <c r="AJ891" s="93"/>
      <c r="AK891" s="93"/>
      <c r="AL891" s="93"/>
      <c r="AM891" s="93"/>
      <c r="AN891" s="93"/>
      <c r="AO891" s="93"/>
    </row>
    <row r="892" ht="15.7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  <c r="AJ892" s="93"/>
      <c r="AK892" s="93"/>
      <c r="AL892" s="93"/>
      <c r="AM892" s="93"/>
      <c r="AN892" s="93"/>
      <c r="AO892" s="93"/>
    </row>
    <row r="893" ht="15.7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  <c r="AJ893" s="93"/>
      <c r="AK893" s="93"/>
      <c r="AL893" s="93"/>
      <c r="AM893" s="93"/>
      <c r="AN893" s="93"/>
      <c r="AO893" s="93"/>
    </row>
    <row r="894" ht="15.7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  <c r="AJ894" s="93"/>
      <c r="AK894" s="93"/>
      <c r="AL894" s="93"/>
      <c r="AM894" s="93"/>
      <c r="AN894" s="93"/>
      <c r="AO894" s="93"/>
    </row>
    <row r="895" ht="15.7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  <c r="AJ895" s="93"/>
      <c r="AK895" s="93"/>
      <c r="AL895" s="93"/>
      <c r="AM895" s="93"/>
      <c r="AN895" s="93"/>
      <c r="AO895" s="93"/>
    </row>
    <row r="896" ht="15.7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</row>
    <row r="897" ht="15.7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  <c r="AJ897" s="93"/>
      <c r="AK897" s="93"/>
      <c r="AL897" s="93"/>
      <c r="AM897" s="93"/>
      <c r="AN897" s="93"/>
      <c r="AO897" s="93"/>
    </row>
    <row r="898" ht="15.7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  <c r="AJ898" s="93"/>
      <c r="AK898" s="93"/>
      <c r="AL898" s="93"/>
      <c r="AM898" s="93"/>
      <c r="AN898" s="93"/>
      <c r="AO898" s="93"/>
    </row>
    <row r="899" ht="15.7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  <c r="AJ899" s="93"/>
      <c r="AK899" s="93"/>
      <c r="AL899" s="93"/>
      <c r="AM899" s="93"/>
      <c r="AN899" s="93"/>
      <c r="AO899" s="93"/>
    </row>
    <row r="900" ht="15.7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  <c r="AJ900" s="93"/>
      <c r="AK900" s="93"/>
      <c r="AL900" s="93"/>
      <c r="AM900" s="93"/>
      <c r="AN900" s="93"/>
      <c r="AO900" s="93"/>
    </row>
    <row r="901" ht="15.7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  <c r="AJ901" s="93"/>
      <c r="AK901" s="93"/>
      <c r="AL901" s="93"/>
      <c r="AM901" s="93"/>
      <c r="AN901" s="93"/>
      <c r="AO901" s="93"/>
    </row>
    <row r="902" ht="15.7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  <c r="AJ902" s="93"/>
      <c r="AK902" s="93"/>
      <c r="AL902" s="93"/>
      <c r="AM902" s="93"/>
      <c r="AN902" s="93"/>
      <c r="AO902" s="93"/>
    </row>
    <row r="903" ht="15.7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  <c r="AJ903" s="93"/>
      <c r="AK903" s="93"/>
      <c r="AL903" s="93"/>
      <c r="AM903" s="93"/>
      <c r="AN903" s="93"/>
      <c r="AO903" s="93"/>
    </row>
    <row r="904" ht="15.7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  <c r="AJ904" s="93"/>
      <c r="AK904" s="93"/>
      <c r="AL904" s="93"/>
      <c r="AM904" s="93"/>
      <c r="AN904" s="93"/>
      <c r="AO904" s="93"/>
    </row>
    <row r="905" ht="15.7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</row>
    <row r="906" ht="15.7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  <c r="AJ906" s="93"/>
      <c r="AK906" s="93"/>
      <c r="AL906" s="93"/>
      <c r="AM906" s="93"/>
      <c r="AN906" s="93"/>
      <c r="AO906" s="93"/>
    </row>
    <row r="907" ht="15.7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  <c r="AJ907" s="93"/>
      <c r="AK907" s="93"/>
      <c r="AL907" s="93"/>
      <c r="AM907" s="93"/>
      <c r="AN907" s="93"/>
      <c r="AO907" s="93"/>
    </row>
    <row r="908" ht="15.7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  <c r="AJ908" s="93"/>
      <c r="AK908" s="93"/>
      <c r="AL908" s="93"/>
      <c r="AM908" s="93"/>
      <c r="AN908" s="93"/>
      <c r="AO908" s="93"/>
    </row>
    <row r="909" ht="15.7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  <c r="AJ909" s="93"/>
      <c r="AK909" s="93"/>
      <c r="AL909" s="93"/>
      <c r="AM909" s="93"/>
      <c r="AN909" s="93"/>
      <c r="AO909" s="93"/>
    </row>
    <row r="910" ht="15.7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  <c r="AJ910" s="93"/>
      <c r="AK910" s="93"/>
      <c r="AL910" s="93"/>
      <c r="AM910" s="93"/>
      <c r="AN910" s="93"/>
      <c r="AO910" s="93"/>
    </row>
    <row r="911" ht="15.7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</row>
    <row r="912" ht="15.7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  <c r="AJ912" s="93"/>
      <c r="AK912" s="93"/>
      <c r="AL912" s="93"/>
      <c r="AM912" s="93"/>
      <c r="AN912" s="93"/>
      <c r="AO912" s="93"/>
    </row>
    <row r="913" ht="15.7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  <c r="AJ913" s="93"/>
      <c r="AK913" s="93"/>
      <c r="AL913" s="93"/>
      <c r="AM913" s="93"/>
      <c r="AN913" s="93"/>
      <c r="AO913" s="93"/>
    </row>
    <row r="914" ht="15.7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</row>
    <row r="915" ht="15.7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  <c r="AJ915" s="93"/>
      <c r="AK915" s="93"/>
      <c r="AL915" s="93"/>
      <c r="AM915" s="93"/>
      <c r="AN915" s="93"/>
      <c r="AO915" s="93"/>
    </row>
    <row r="916" ht="15.7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  <c r="AJ916" s="93"/>
      <c r="AK916" s="93"/>
      <c r="AL916" s="93"/>
      <c r="AM916" s="93"/>
      <c r="AN916" s="93"/>
      <c r="AO916" s="93"/>
    </row>
    <row r="917" ht="15.7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</row>
    <row r="918" ht="15.7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  <c r="AJ918" s="93"/>
      <c r="AK918" s="93"/>
      <c r="AL918" s="93"/>
      <c r="AM918" s="93"/>
      <c r="AN918" s="93"/>
      <c r="AO918" s="93"/>
    </row>
    <row r="919" ht="15.7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  <c r="AJ919" s="93"/>
      <c r="AK919" s="93"/>
      <c r="AL919" s="93"/>
      <c r="AM919" s="93"/>
      <c r="AN919" s="93"/>
      <c r="AO919" s="93"/>
    </row>
    <row r="920" ht="15.7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</row>
    <row r="921" ht="15.7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  <c r="AJ921" s="93"/>
      <c r="AK921" s="93"/>
      <c r="AL921" s="93"/>
      <c r="AM921" s="93"/>
      <c r="AN921" s="93"/>
      <c r="AO921" s="93"/>
    </row>
    <row r="922" ht="15.7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  <c r="AJ922" s="93"/>
      <c r="AK922" s="93"/>
      <c r="AL922" s="93"/>
      <c r="AM922" s="93"/>
      <c r="AN922" s="93"/>
      <c r="AO922" s="93"/>
    </row>
    <row r="923" ht="15.75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</row>
    <row r="924" ht="15.75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  <c r="AJ924" s="93"/>
      <c r="AK924" s="93"/>
      <c r="AL924" s="93"/>
      <c r="AM924" s="93"/>
      <c r="AN924" s="93"/>
      <c r="AO924" s="93"/>
    </row>
    <row r="925" ht="15.75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  <c r="AJ925" s="93"/>
      <c r="AK925" s="93"/>
      <c r="AL925" s="93"/>
      <c r="AM925" s="93"/>
      <c r="AN925" s="93"/>
      <c r="AO925" s="93"/>
    </row>
    <row r="926" ht="15.75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</row>
    <row r="927" ht="15.75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  <c r="AJ927" s="93"/>
      <c r="AK927" s="93"/>
      <c r="AL927" s="93"/>
      <c r="AM927" s="93"/>
      <c r="AN927" s="93"/>
      <c r="AO927" s="93"/>
    </row>
    <row r="928" ht="15.75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  <c r="AJ928" s="93"/>
      <c r="AK928" s="93"/>
      <c r="AL928" s="93"/>
      <c r="AM928" s="93"/>
      <c r="AN928" s="93"/>
      <c r="AO928" s="93"/>
    </row>
    <row r="929" ht="15.75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  <c r="AJ929" s="93"/>
      <c r="AK929" s="93"/>
      <c r="AL929" s="93"/>
      <c r="AM929" s="93"/>
      <c r="AN929" s="93"/>
      <c r="AO929" s="93"/>
    </row>
    <row r="930" ht="15.75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  <c r="AJ930" s="93"/>
      <c r="AK930" s="93"/>
      <c r="AL930" s="93"/>
      <c r="AM930" s="93"/>
      <c r="AN930" s="93"/>
      <c r="AO930" s="93"/>
    </row>
    <row r="931" ht="15.75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  <c r="AJ931" s="93"/>
      <c r="AK931" s="93"/>
      <c r="AL931" s="93"/>
      <c r="AM931" s="93"/>
      <c r="AN931" s="93"/>
      <c r="AO931" s="93"/>
    </row>
    <row r="932" ht="15.75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</row>
    <row r="933" ht="15.75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  <c r="AJ933" s="93"/>
      <c r="AK933" s="93"/>
      <c r="AL933" s="93"/>
      <c r="AM933" s="93"/>
      <c r="AN933" s="93"/>
      <c r="AO933" s="93"/>
    </row>
    <row r="934" ht="15.75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  <c r="AJ934" s="93"/>
      <c r="AK934" s="93"/>
      <c r="AL934" s="93"/>
      <c r="AM934" s="93"/>
      <c r="AN934" s="93"/>
      <c r="AO934" s="93"/>
    </row>
    <row r="935" ht="15.75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  <c r="AJ935" s="93"/>
      <c r="AK935" s="93"/>
      <c r="AL935" s="93"/>
      <c r="AM935" s="93"/>
      <c r="AN935" s="93"/>
      <c r="AO935" s="93"/>
    </row>
    <row r="936" ht="15.75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  <c r="AJ936" s="93"/>
      <c r="AK936" s="93"/>
      <c r="AL936" s="93"/>
      <c r="AM936" s="93"/>
      <c r="AN936" s="93"/>
      <c r="AO936" s="93"/>
    </row>
    <row r="937" ht="15.75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  <c r="AJ937" s="93"/>
      <c r="AK937" s="93"/>
      <c r="AL937" s="93"/>
      <c r="AM937" s="93"/>
      <c r="AN937" s="93"/>
      <c r="AO937" s="93"/>
    </row>
    <row r="938" ht="15.75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</row>
    <row r="939" ht="15.75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  <c r="AJ939" s="93"/>
      <c r="AK939" s="93"/>
      <c r="AL939" s="93"/>
      <c r="AM939" s="93"/>
      <c r="AN939" s="93"/>
      <c r="AO939" s="93"/>
    </row>
    <row r="940" ht="15.75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  <c r="AJ940" s="93"/>
      <c r="AK940" s="93"/>
      <c r="AL940" s="93"/>
      <c r="AM940" s="93"/>
      <c r="AN940" s="93"/>
      <c r="AO940" s="93"/>
    </row>
    <row r="941" ht="15.75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  <c r="AJ941" s="93"/>
      <c r="AK941" s="93"/>
      <c r="AL941" s="93"/>
      <c r="AM941" s="93"/>
      <c r="AN941" s="93"/>
      <c r="AO941" s="93"/>
    </row>
    <row r="942" ht="15.75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  <c r="AJ942" s="93"/>
      <c r="AK942" s="93"/>
      <c r="AL942" s="93"/>
      <c r="AM942" s="93"/>
      <c r="AN942" s="93"/>
      <c r="AO942" s="93"/>
    </row>
    <row r="943" ht="15.75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  <c r="AJ943" s="93"/>
      <c r="AK943" s="93"/>
      <c r="AL943" s="93"/>
      <c r="AM943" s="93"/>
      <c r="AN943" s="93"/>
      <c r="AO943" s="93"/>
    </row>
    <row r="944" ht="15.75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  <c r="AJ944" s="93"/>
      <c r="AK944" s="93"/>
      <c r="AL944" s="93"/>
      <c r="AM944" s="93"/>
      <c r="AN944" s="93"/>
      <c r="AO944" s="93"/>
    </row>
    <row r="945" ht="15.75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  <c r="AJ945" s="93"/>
      <c r="AK945" s="93"/>
      <c r="AL945" s="93"/>
      <c r="AM945" s="93"/>
      <c r="AN945" s="93"/>
      <c r="AO945" s="93"/>
    </row>
    <row r="946" ht="15.75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  <c r="AJ946" s="93"/>
      <c r="AK946" s="93"/>
      <c r="AL946" s="93"/>
      <c r="AM946" s="93"/>
      <c r="AN946" s="93"/>
      <c r="AO946" s="93"/>
    </row>
    <row r="947" ht="15.75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</row>
    <row r="948" ht="15.75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  <c r="AJ948" s="93"/>
      <c r="AK948" s="93"/>
      <c r="AL948" s="93"/>
      <c r="AM948" s="93"/>
      <c r="AN948" s="93"/>
      <c r="AO948" s="93"/>
    </row>
    <row r="949" ht="15.75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  <c r="AJ949" s="93"/>
      <c r="AK949" s="93"/>
      <c r="AL949" s="93"/>
      <c r="AM949" s="93"/>
      <c r="AN949" s="93"/>
      <c r="AO949" s="93"/>
    </row>
    <row r="950" ht="15.75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  <c r="AJ950" s="93"/>
      <c r="AK950" s="93"/>
      <c r="AL950" s="93"/>
      <c r="AM950" s="93"/>
      <c r="AN950" s="93"/>
      <c r="AO950" s="93"/>
    </row>
    <row r="951" ht="15.75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3"/>
      <c r="AH951" s="93"/>
      <c r="AI951" s="93"/>
      <c r="AJ951" s="93"/>
      <c r="AK951" s="93"/>
      <c r="AL951" s="93"/>
      <c r="AM951" s="93"/>
      <c r="AN951" s="93"/>
      <c r="AO951" s="93"/>
    </row>
    <row r="952" ht="15.75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3"/>
      <c r="AH952" s="93"/>
      <c r="AI952" s="93"/>
      <c r="AJ952" s="93"/>
      <c r="AK952" s="93"/>
      <c r="AL952" s="93"/>
      <c r="AM952" s="93"/>
      <c r="AN952" s="93"/>
      <c r="AO952" s="93"/>
    </row>
    <row r="953" ht="15.75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  <c r="AH953" s="93"/>
      <c r="AI953" s="93"/>
      <c r="AJ953" s="93"/>
      <c r="AK953" s="93"/>
      <c r="AL953" s="93"/>
      <c r="AM953" s="93"/>
      <c r="AN953" s="93"/>
      <c r="AO953" s="93"/>
    </row>
    <row r="954" ht="15.75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3"/>
      <c r="AH954" s="93"/>
      <c r="AI954" s="93"/>
      <c r="AJ954" s="93"/>
      <c r="AK954" s="93"/>
      <c r="AL954" s="93"/>
      <c r="AM954" s="93"/>
      <c r="AN954" s="93"/>
      <c r="AO954" s="93"/>
    </row>
    <row r="955" ht="15.75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3"/>
      <c r="AH955" s="93"/>
      <c r="AI955" s="93"/>
      <c r="AJ955" s="93"/>
      <c r="AK955" s="93"/>
      <c r="AL955" s="93"/>
      <c r="AM955" s="93"/>
      <c r="AN955" s="93"/>
      <c r="AO955" s="93"/>
    </row>
    <row r="956" ht="15.75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  <c r="AH956" s="93"/>
      <c r="AI956" s="93"/>
      <c r="AJ956" s="93"/>
      <c r="AK956" s="93"/>
      <c r="AL956" s="93"/>
      <c r="AM956" s="93"/>
      <c r="AN956" s="93"/>
      <c r="AO956" s="93"/>
    </row>
    <row r="957" ht="15.75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3"/>
      <c r="AH957" s="93"/>
      <c r="AI957" s="93"/>
      <c r="AJ957" s="93"/>
      <c r="AK957" s="93"/>
      <c r="AL957" s="93"/>
      <c r="AM957" s="93"/>
      <c r="AN957" s="93"/>
      <c r="AO957" s="93"/>
    </row>
    <row r="958" ht="15.75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3"/>
      <c r="AH958" s="93"/>
      <c r="AI958" s="93"/>
      <c r="AJ958" s="93"/>
      <c r="AK958" s="93"/>
      <c r="AL958" s="93"/>
      <c r="AM958" s="93"/>
      <c r="AN958" s="93"/>
      <c r="AO958" s="93"/>
    </row>
    <row r="959" ht="15.75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  <c r="AH959" s="93"/>
      <c r="AI959" s="93"/>
      <c r="AJ959" s="93"/>
      <c r="AK959" s="93"/>
      <c r="AL959" s="93"/>
      <c r="AM959" s="93"/>
      <c r="AN959" s="93"/>
      <c r="AO959" s="93"/>
    </row>
    <row r="960" ht="15.75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3"/>
      <c r="AH960" s="93"/>
      <c r="AI960" s="93"/>
      <c r="AJ960" s="93"/>
      <c r="AK960" s="93"/>
      <c r="AL960" s="93"/>
      <c r="AM960" s="93"/>
      <c r="AN960" s="93"/>
      <c r="AO960" s="93"/>
    </row>
    <row r="961" ht="15.75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3"/>
      <c r="AH961" s="93"/>
      <c r="AI961" s="93"/>
      <c r="AJ961" s="93"/>
      <c r="AK961" s="93"/>
      <c r="AL961" s="93"/>
      <c r="AM961" s="93"/>
      <c r="AN961" s="93"/>
      <c r="AO961" s="93"/>
    </row>
    <row r="962" ht="15.75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  <c r="AH962" s="93"/>
      <c r="AI962" s="93"/>
      <c r="AJ962" s="93"/>
      <c r="AK962" s="93"/>
      <c r="AL962" s="93"/>
      <c r="AM962" s="93"/>
      <c r="AN962" s="93"/>
      <c r="AO962" s="93"/>
    </row>
    <row r="963" ht="15.75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3"/>
      <c r="AH963" s="93"/>
      <c r="AI963" s="93"/>
      <c r="AJ963" s="93"/>
      <c r="AK963" s="93"/>
      <c r="AL963" s="93"/>
      <c r="AM963" s="93"/>
      <c r="AN963" s="93"/>
      <c r="AO963" s="93"/>
    </row>
    <row r="964" ht="15.75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3"/>
      <c r="AH964" s="93"/>
      <c r="AI964" s="93"/>
      <c r="AJ964" s="93"/>
      <c r="AK964" s="93"/>
      <c r="AL964" s="93"/>
      <c r="AM964" s="93"/>
      <c r="AN964" s="93"/>
      <c r="AO964" s="93"/>
    </row>
    <row r="965" ht="15.75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  <c r="AH965" s="93"/>
      <c r="AI965" s="93"/>
      <c r="AJ965" s="93"/>
      <c r="AK965" s="93"/>
      <c r="AL965" s="93"/>
      <c r="AM965" s="93"/>
      <c r="AN965" s="93"/>
      <c r="AO965" s="93"/>
    </row>
    <row r="966" ht="15.75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3"/>
      <c r="AG966" s="93"/>
      <c r="AH966" s="93"/>
      <c r="AI966" s="93"/>
      <c r="AJ966" s="93"/>
      <c r="AK966" s="93"/>
      <c r="AL966" s="93"/>
      <c r="AM966" s="93"/>
      <c r="AN966" s="93"/>
      <c r="AO966" s="93"/>
    </row>
    <row r="967" ht="15.75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3"/>
      <c r="AG967" s="93"/>
      <c r="AH967" s="93"/>
      <c r="AI967" s="93"/>
      <c r="AJ967" s="93"/>
      <c r="AK967" s="93"/>
      <c r="AL967" s="93"/>
      <c r="AM967" s="93"/>
      <c r="AN967" s="93"/>
      <c r="AO967" s="93"/>
    </row>
    <row r="968" ht="15.75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  <c r="AH968" s="93"/>
      <c r="AI968" s="93"/>
      <c r="AJ968" s="93"/>
      <c r="AK968" s="93"/>
      <c r="AL968" s="93"/>
      <c r="AM968" s="93"/>
      <c r="AN968" s="93"/>
      <c r="AO968" s="93"/>
    </row>
    <row r="969" ht="15.75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3"/>
      <c r="AG969" s="93"/>
      <c r="AH969" s="93"/>
      <c r="AI969" s="93"/>
      <c r="AJ969" s="93"/>
      <c r="AK969" s="93"/>
      <c r="AL969" s="93"/>
      <c r="AM969" s="93"/>
      <c r="AN969" s="93"/>
      <c r="AO969" s="93"/>
    </row>
    <row r="970" ht="15.75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3"/>
      <c r="AG970" s="93"/>
      <c r="AH970" s="93"/>
      <c r="AI970" s="93"/>
      <c r="AJ970" s="93"/>
      <c r="AK970" s="93"/>
      <c r="AL970" s="93"/>
      <c r="AM970" s="93"/>
      <c r="AN970" s="93"/>
      <c r="AO970" s="93"/>
    </row>
    <row r="971" ht="15.75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3"/>
      <c r="AG971" s="93"/>
      <c r="AH971" s="93"/>
      <c r="AI971" s="93"/>
      <c r="AJ971" s="93"/>
      <c r="AK971" s="93"/>
      <c r="AL971" s="93"/>
      <c r="AM971" s="93"/>
      <c r="AN971" s="93"/>
      <c r="AO971" s="93"/>
    </row>
    <row r="972" ht="15.75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3"/>
      <c r="AG972" s="93"/>
      <c r="AH972" s="93"/>
      <c r="AI972" s="93"/>
      <c r="AJ972" s="93"/>
      <c r="AK972" s="93"/>
      <c r="AL972" s="93"/>
      <c r="AM972" s="93"/>
      <c r="AN972" s="93"/>
      <c r="AO972" s="93"/>
    </row>
    <row r="973" ht="15.75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3"/>
      <c r="AG973" s="93"/>
      <c r="AH973" s="93"/>
      <c r="AI973" s="93"/>
      <c r="AJ973" s="93"/>
      <c r="AK973" s="93"/>
      <c r="AL973" s="93"/>
      <c r="AM973" s="93"/>
      <c r="AN973" s="93"/>
      <c r="AO973" s="93"/>
    </row>
    <row r="974" ht="15.75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3"/>
      <c r="AG974" s="93"/>
      <c r="AH974" s="93"/>
      <c r="AI974" s="93"/>
      <c r="AJ974" s="93"/>
      <c r="AK974" s="93"/>
      <c r="AL974" s="93"/>
      <c r="AM974" s="93"/>
      <c r="AN974" s="93"/>
      <c r="AO974" s="93"/>
    </row>
    <row r="975" ht="15.75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3"/>
      <c r="AG975" s="93"/>
      <c r="AH975" s="93"/>
      <c r="AI975" s="93"/>
      <c r="AJ975" s="93"/>
      <c r="AK975" s="93"/>
      <c r="AL975" s="93"/>
      <c r="AM975" s="93"/>
      <c r="AN975" s="93"/>
      <c r="AO975" s="93"/>
    </row>
    <row r="976" ht="15.75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3"/>
      <c r="AG976" s="93"/>
      <c r="AH976" s="93"/>
      <c r="AI976" s="93"/>
      <c r="AJ976" s="93"/>
      <c r="AK976" s="93"/>
      <c r="AL976" s="93"/>
      <c r="AM976" s="93"/>
      <c r="AN976" s="93"/>
      <c r="AO976" s="93"/>
    </row>
    <row r="977" ht="15.75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3"/>
      <c r="AG977" s="93"/>
      <c r="AH977" s="93"/>
      <c r="AI977" s="93"/>
      <c r="AJ977" s="93"/>
      <c r="AK977" s="93"/>
      <c r="AL977" s="93"/>
      <c r="AM977" s="93"/>
      <c r="AN977" s="93"/>
      <c r="AO977" s="93"/>
    </row>
    <row r="978" ht="15.75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3"/>
      <c r="AG978" s="93"/>
      <c r="AH978" s="93"/>
      <c r="AI978" s="93"/>
      <c r="AJ978" s="93"/>
      <c r="AK978" s="93"/>
      <c r="AL978" s="93"/>
      <c r="AM978" s="93"/>
      <c r="AN978" s="93"/>
      <c r="AO978" s="93"/>
    </row>
    <row r="979" ht="15.75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3"/>
      <c r="AG979" s="93"/>
      <c r="AH979" s="93"/>
      <c r="AI979" s="93"/>
      <c r="AJ979" s="93"/>
      <c r="AK979" s="93"/>
      <c r="AL979" s="93"/>
      <c r="AM979" s="93"/>
      <c r="AN979" s="93"/>
      <c r="AO979" s="93"/>
    </row>
    <row r="980" ht="15.75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3"/>
      <c r="AG980" s="93"/>
      <c r="AH980" s="93"/>
      <c r="AI980" s="93"/>
      <c r="AJ980" s="93"/>
      <c r="AK980" s="93"/>
      <c r="AL980" s="93"/>
      <c r="AM980" s="93"/>
      <c r="AN980" s="93"/>
      <c r="AO980" s="93"/>
    </row>
    <row r="981" ht="15.75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3"/>
      <c r="AG981" s="93"/>
      <c r="AH981" s="93"/>
      <c r="AI981" s="93"/>
      <c r="AJ981" s="93"/>
      <c r="AK981" s="93"/>
      <c r="AL981" s="93"/>
      <c r="AM981" s="93"/>
      <c r="AN981" s="93"/>
      <c r="AO981" s="93"/>
    </row>
    <row r="982" ht="15.75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3"/>
      <c r="AG982" s="93"/>
      <c r="AH982" s="93"/>
      <c r="AI982" s="93"/>
      <c r="AJ982" s="93"/>
      <c r="AK982" s="93"/>
      <c r="AL982" s="93"/>
      <c r="AM982" s="93"/>
      <c r="AN982" s="93"/>
      <c r="AO982" s="93"/>
    </row>
    <row r="983" ht="15.75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3"/>
      <c r="AG983" s="93"/>
      <c r="AH983" s="93"/>
      <c r="AI983" s="93"/>
      <c r="AJ983" s="93"/>
      <c r="AK983" s="93"/>
      <c r="AL983" s="93"/>
      <c r="AM983" s="93"/>
      <c r="AN983" s="93"/>
      <c r="AO983" s="93"/>
    </row>
    <row r="984" ht="15.75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3"/>
      <c r="AG984" s="93"/>
      <c r="AH984" s="93"/>
      <c r="AI984" s="93"/>
      <c r="AJ984" s="93"/>
      <c r="AK984" s="93"/>
      <c r="AL984" s="93"/>
      <c r="AM984" s="93"/>
      <c r="AN984" s="93"/>
      <c r="AO984" s="93"/>
    </row>
    <row r="985" ht="15.75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3"/>
      <c r="AG985" s="93"/>
      <c r="AH985" s="93"/>
      <c r="AI985" s="93"/>
      <c r="AJ985" s="93"/>
      <c r="AK985" s="93"/>
      <c r="AL985" s="93"/>
      <c r="AM985" s="93"/>
      <c r="AN985" s="93"/>
      <c r="AO985" s="93"/>
    </row>
    <row r="986" ht="15.75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3"/>
      <c r="AG986" s="93"/>
      <c r="AH986" s="93"/>
      <c r="AI986" s="93"/>
      <c r="AJ986" s="93"/>
      <c r="AK986" s="93"/>
      <c r="AL986" s="93"/>
      <c r="AM986" s="93"/>
      <c r="AN986" s="93"/>
      <c r="AO986" s="93"/>
    </row>
    <row r="987" ht="15.75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3"/>
      <c r="AG987" s="93"/>
      <c r="AH987" s="93"/>
      <c r="AI987" s="93"/>
      <c r="AJ987" s="93"/>
      <c r="AK987" s="93"/>
      <c r="AL987" s="93"/>
      <c r="AM987" s="93"/>
      <c r="AN987" s="93"/>
      <c r="AO987" s="93"/>
    </row>
    <row r="988" ht="15.75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3"/>
      <c r="AG988" s="93"/>
      <c r="AH988" s="93"/>
      <c r="AI988" s="93"/>
      <c r="AJ988" s="93"/>
      <c r="AK988" s="93"/>
      <c r="AL988" s="93"/>
      <c r="AM988" s="93"/>
      <c r="AN988" s="93"/>
      <c r="AO988" s="93"/>
    </row>
    <row r="989" ht="15.75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3"/>
      <c r="AG989" s="93"/>
      <c r="AH989" s="93"/>
      <c r="AI989" s="93"/>
      <c r="AJ989" s="93"/>
      <c r="AK989" s="93"/>
      <c r="AL989" s="93"/>
      <c r="AM989" s="93"/>
      <c r="AN989" s="93"/>
      <c r="AO989" s="93"/>
    </row>
    <row r="990" ht="15.75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3"/>
      <c r="AG990" s="93"/>
      <c r="AH990" s="93"/>
      <c r="AI990" s="93"/>
      <c r="AJ990" s="93"/>
      <c r="AK990" s="93"/>
      <c r="AL990" s="93"/>
      <c r="AM990" s="93"/>
      <c r="AN990" s="93"/>
      <c r="AO990" s="93"/>
    </row>
    <row r="991" ht="15.75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3"/>
      <c r="AG991" s="93"/>
      <c r="AH991" s="93"/>
      <c r="AI991" s="93"/>
      <c r="AJ991" s="93"/>
      <c r="AK991" s="93"/>
      <c r="AL991" s="93"/>
      <c r="AM991" s="93"/>
      <c r="AN991" s="93"/>
      <c r="AO991" s="93"/>
    </row>
    <row r="992" ht="15.75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3"/>
      <c r="AG992" s="93"/>
      <c r="AH992" s="93"/>
      <c r="AI992" s="93"/>
      <c r="AJ992" s="93"/>
      <c r="AK992" s="93"/>
      <c r="AL992" s="93"/>
      <c r="AM992" s="93"/>
      <c r="AN992" s="93"/>
      <c r="AO992" s="93"/>
    </row>
    <row r="993" ht="15.75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3"/>
      <c r="AG993" s="93"/>
      <c r="AH993" s="93"/>
      <c r="AI993" s="93"/>
      <c r="AJ993" s="93"/>
      <c r="AK993" s="93"/>
      <c r="AL993" s="93"/>
      <c r="AM993" s="93"/>
      <c r="AN993" s="93"/>
      <c r="AO993" s="93"/>
    </row>
    <row r="994" ht="15.75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3"/>
      <c r="AG994" s="93"/>
      <c r="AH994" s="93"/>
      <c r="AI994" s="93"/>
      <c r="AJ994" s="93"/>
      <c r="AK994" s="93"/>
      <c r="AL994" s="93"/>
      <c r="AM994" s="93"/>
      <c r="AN994" s="93"/>
      <c r="AO994" s="93"/>
    </row>
    <row r="995" ht="15.75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3"/>
      <c r="AG995" s="93"/>
      <c r="AH995" s="93"/>
      <c r="AI995" s="93"/>
      <c r="AJ995" s="93"/>
      <c r="AK995" s="93"/>
      <c r="AL995" s="93"/>
      <c r="AM995" s="93"/>
      <c r="AN995" s="93"/>
      <c r="AO995" s="93"/>
    </row>
    <row r="996" ht="15.75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3"/>
      <c r="AG996" s="93"/>
      <c r="AH996" s="93"/>
      <c r="AI996" s="93"/>
      <c r="AJ996" s="93"/>
      <c r="AK996" s="93"/>
      <c r="AL996" s="93"/>
      <c r="AM996" s="93"/>
      <c r="AN996" s="93"/>
      <c r="AO996" s="93"/>
    </row>
    <row r="997" ht="15.75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3"/>
      <c r="AG997" s="93"/>
      <c r="AH997" s="93"/>
      <c r="AI997" s="93"/>
      <c r="AJ997" s="93"/>
      <c r="AK997" s="93"/>
      <c r="AL997" s="93"/>
      <c r="AM997" s="93"/>
      <c r="AN997" s="93"/>
      <c r="AO997" s="93"/>
    </row>
    <row r="998" ht="15.75" customHeight="1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3"/>
      <c r="AG998" s="93"/>
      <c r="AH998" s="93"/>
      <c r="AI998" s="93"/>
      <c r="AJ998" s="93"/>
      <c r="AK998" s="93"/>
      <c r="AL998" s="93"/>
      <c r="AM998" s="93"/>
      <c r="AN998" s="93"/>
      <c r="AO998" s="93"/>
    </row>
    <row r="999" ht="15.75" customHeight="1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3"/>
      <c r="AG999" s="93"/>
      <c r="AH999" s="93"/>
      <c r="AI999" s="93"/>
      <c r="AJ999" s="93"/>
      <c r="AK999" s="93"/>
      <c r="AL999" s="93"/>
      <c r="AM999" s="93"/>
      <c r="AN999" s="93"/>
      <c r="AO999" s="93"/>
    </row>
    <row r="1000" ht="15.75" customHeight="1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  <c r="AE1000" s="93"/>
      <c r="AF1000" s="93"/>
      <c r="AG1000" s="93"/>
      <c r="AH1000" s="93"/>
      <c r="AI1000" s="93"/>
      <c r="AJ1000" s="93"/>
      <c r="AK1000" s="93"/>
      <c r="AL1000" s="93"/>
      <c r="AM1000" s="93"/>
      <c r="AN1000" s="93"/>
      <c r="AO1000" s="93"/>
    </row>
    <row r="1001" ht="15.75" customHeight="1">
      <c r="A1001" s="93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  <c r="AD1001" s="93"/>
      <c r="AE1001" s="93"/>
      <c r="AF1001" s="93"/>
      <c r="AG1001" s="93"/>
      <c r="AH1001" s="93"/>
      <c r="AI1001" s="93"/>
      <c r="AJ1001" s="93"/>
      <c r="AK1001" s="93"/>
      <c r="AL1001" s="93"/>
      <c r="AM1001" s="93"/>
      <c r="AN1001" s="93"/>
      <c r="AO1001" s="93"/>
    </row>
    <row r="1002" ht="15.75" customHeight="1">
      <c r="A1002" s="93"/>
      <c r="B1002" s="93"/>
      <c r="C1002" s="93"/>
      <c r="D1002" s="93"/>
      <c r="E1002" s="93"/>
      <c r="F1002" s="93"/>
      <c r="G1002" s="93"/>
      <c r="H1002" s="93"/>
      <c r="I1002" s="93"/>
      <c r="J1002" s="93"/>
      <c r="K1002" s="93"/>
      <c r="L1002" s="93"/>
      <c r="M1002" s="93"/>
      <c r="N1002" s="93"/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  <c r="AD1002" s="93"/>
      <c r="AE1002" s="93"/>
      <c r="AF1002" s="93"/>
      <c r="AG1002" s="93"/>
      <c r="AH1002" s="93"/>
      <c r="AI1002" s="93"/>
      <c r="AJ1002" s="93"/>
      <c r="AK1002" s="93"/>
      <c r="AL1002" s="93"/>
      <c r="AM1002" s="93"/>
      <c r="AN1002" s="93"/>
      <c r="AO1002" s="93"/>
    </row>
    <row r="1003" ht="15.75" customHeight="1">
      <c r="A1003" s="93"/>
      <c r="B1003" s="93"/>
      <c r="C1003" s="93"/>
      <c r="D1003" s="93"/>
      <c r="E1003" s="93"/>
      <c r="F1003" s="93"/>
      <c r="G1003" s="93"/>
      <c r="H1003" s="93"/>
      <c r="I1003" s="93"/>
      <c r="J1003" s="93"/>
      <c r="K1003" s="93"/>
      <c r="L1003" s="93"/>
      <c r="M1003" s="93"/>
      <c r="N1003" s="93"/>
      <c r="O1003" s="93"/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  <c r="AA1003" s="93"/>
      <c r="AB1003" s="93"/>
      <c r="AC1003" s="93"/>
      <c r="AD1003" s="93"/>
      <c r="AE1003" s="93"/>
      <c r="AF1003" s="93"/>
      <c r="AG1003" s="93"/>
      <c r="AH1003" s="93"/>
      <c r="AI1003" s="93"/>
      <c r="AJ1003" s="93"/>
      <c r="AK1003" s="93"/>
      <c r="AL1003" s="93"/>
      <c r="AM1003" s="93"/>
      <c r="AN1003" s="93"/>
      <c r="AO1003" s="93"/>
    </row>
    <row r="1004" ht="15.75" customHeight="1">
      <c r="A1004" s="93"/>
      <c r="B1004" s="93"/>
      <c r="C1004" s="93"/>
      <c r="D1004" s="93"/>
      <c r="E1004" s="93"/>
      <c r="F1004" s="93"/>
      <c r="G1004" s="93"/>
      <c r="H1004" s="93"/>
      <c r="I1004" s="93"/>
      <c r="J1004" s="93"/>
      <c r="K1004" s="93"/>
      <c r="L1004" s="93"/>
      <c r="M1004" s="93"/>
      <c r="N1004" s="93"/>
      <c r="O1004" s="93"/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  <c r="AA1004" s="93"/>
      <c r="AB1004" s="93"/>
      <c r="AC1004" s="93"/>
      <c r="AD1004" s="93"/>
      <c r="AE1004" s="93"/>
      <c r="AF1004" s="93"/>
      <c r="AG1004" s="93"/>
      <c r="AH1004" s="93"/>
      <c r="AI1004" s="93"/>
      <c r="AJ1004" s="93"/>
      <c r="AK1004" s="93"/>
      <c r="AL1004" s="93"/>
      <c r="AM1004" s="93"/>
      <c r="AN1004" s="93"/>
      <c r="AO1004" s="93"/>
    </row>
    <row r="1005" ht="15.75" customHeight="1">
      <c r="A1005" s="93"/>
      <c r="B1005" s="93"/>
      <c r="C1005" s="93"/>
      <c r="D1005" s="93"/>
      <c r="E1005" s="93"/>
      <c r="F1005" s="93"/>
      <c r="G1005" s="93"/>
      <c r="H1005" s="93"/>
      <c r="I1005" s="93"/>
      <c r="J1005" s="93"/>
      <c r="K1005" s="93"/>
      <c r="L1005" s="93"/>
      <c r="M1005" s="93"/>
      <c r="N1005" s="93"/>
      <c r="O1005" s="93"/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  <c r="AA1005" s="93"/>
      <c r="AB1005" s="93"/>
      <c r="AC1005" s="93"/>
      <c r="AD1005" s="93"/>
      <c r="AE1005" s="93"/>
      <c r="AF1005" s="93"/>
      <c r="AG1005" s="93"/>
      <c r="AH1005" s="93"/>
      <c r="AI1005" s="93"/>
      <c r="AJ1005" s="93"/>
      <c r="AK1005" s="93"/>
      <c r="AL1005" s="93"/>
      <c r="AM1005" s="93"/>
      <c r="AN1005" s="93"/>
      <c r="AO1005" s="93"/>
    </row>
    <row r="1006" ht="15.75" customHeight="1">
      <c r="A1006" s="93"/>
      <c r="B1006" s="93"/>
      <c r="C1006" s="93"/>
      <c r="D1006" s="93"/>
      <c r="E1006" s="93"/>
      <c r="F1006" s="93"/>
      <c r="G1006" s="93"/>
      <c r="H1006" s="93"/>
      <c r="I1006" s="93"/>
      <c r="J1006" s="93"/>
      <c r="K1006" s="93"/>
      <c r="L1006" s="93"/>
      <c r="M1006" s="93"/>
      <c r="N1006" s="93"/>
      <c r="O1006" s="93"/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  <c r="AA1006" s="93"/>
      <c r="AB1006" s="93"/>
      <c r="AC1006" s="93"/>
      <c r="AD1006" s="93"/>
      <c r="AE1006" s="93"/>
      <c r="AF1006" s="93"/>
      <c r="AG1006" s="93"/>
      <c r="AH1006" s="93"/>
      <c r="AI1006" s="93"/>
      <c r="AJ1006" s="93"/>
      <c r="AK1006" s="93"/>
      <c r="AL1006" s="93"/>
      <c r="AM1006" s="93"/>
      <c r="AN1006" s="93"/>
      <c r="AO1006" s="93"/>
    </row>
  </sheetData>
  <mergeCells count="25">
    <mergeCell ref="AA29:AF29"/>
    <mergeCell ref="AI29:AN29"/>
    <mergeCell ref="L2:O2"/>
    <mergeCell ref="C15:H15"/>
    <mergeCell ref="K15:P15"/>
    <mergeCell ref="S15:X15"/>
    <mergeCell ref="AA15:AF15"/>
    <mergeCell ref="AI15:AN15"/>
    <mergeCell ref="C29:H29"/>
    <mergeCell ref="K29:P29"/>
    <mergeCell ref="S29:X29"/>
    <mergeCell ref="C44:H44"/>
    <mergeCell ref="K44:P44"/>
    <mergeCell ref="S44:X44"/>
    <mergeCell ref="AA44:AF44"/>
    <mergeCell ref="AI44:AN44"/>
    <mergeCell ref="S73:X73"/>
    <mergeCell ref="AA73:AF73"/>
    <mergeCell ref="C58:H58"/>
    <mergeCell ref="K58:P58"/>
    <mergeCell ref="S58:X58"/>
    <mergeCell ref="AA58:AF58"/>
    <mergeCell ref="AI58:AN58"/>
    <mergeCell ref="C73:H73"/>
    <mergeCell ref="K73:P73"/>
  </mergeCells>
  <conditionalFormatting sqref="G17:G25">
    <cfRule type="cellIs" dxfId="0" priority="1" operator="equal">
      <formula>"X"</formula>
    </cfRule>
  </conditionalFormatting>
  <conditionalFormatting sqref="G17:G25">
    <cfRule type="cellIs" dxfId="1" priority="2" operator="equal">
      <formula>"V"</formula>
    </cfRule>
  </conditionalFormatting>
  <conditionalFormatting sqref="G31:G39">
    <cfRule type="cellIs" dxfId="0" priority="3" operator="equal">
      <formula>"X"</formula>
    </cfRule>
  </conditionalFormatting>
  <conditionalFormatting sqref="G31:G39">
    <cfRule type="cellIs" dxfId="1" priority="4" operator="equal">
      <formula>"V"</formula>
    </cfRule>
  </conditionalFormatting>
  <conditionalFormatting sqref="G46:G54">
    <cfRule type="cellIs" dxfId="0" priority="5" operator="equal">
      <formula>"X"</formula>
    </cfRule>
  </conditionalFormatting>
  <conditionalFormatting sqref="G46:G54">
    <cfRule type="cellIs" dxfId="1" priority="6" operator="equal">
      <formula>"V"</formula>
    </cfRule>
  </conditionalFormatting>
  <conditionalFormatting sqref="G60:G68">
    <cfRule type="cellIs" dxfId="0" priority="7" operator="equal">
      <formula>"X"</formula>
    </cfRule>
  </conditionalFormatting>
  <conditionalFormatting sqref="G60:G68">
    <cfRule type="cellIs" dxfId="1" priority="8" operator="equal">
      <formula>"V"</formula>
    </cfRule>
  </conditionalFormatting>
  <conditionalFormatting sqref="G75:G83">
    <cfRule type="cellIs" dxfId="0" priority="9" operator="equal">
      <formula>"X"</formula>
    </cfRule>
  </conditionalFormatting>
  <conditionalFormatting sqref="G75:G83">
    <cfRule type="cellIs" dxfId="1" priority="10" operator="equal">
      <formula>"V"</formula>
    </cfRule>
  </conditionalFormatting>
  <conditionalFormatting sqref="I26">
    <cfRule type="cellIs" dxfId="0" priority="11" operator="lessThan">
      <formula>0</formula>
    </cfRule>
  </conditionalFormatting>
  <conditionalFormatting sqref="I26">
    <cfRule type="cellIs" dxfId="1" priority="12" operator="greaterThan">
      <formula>0</formula>
    </cfRule>
  </conditionalFormatting>
  <conditionalFormatting sqref="I40">
    <cfRule type="cellIs" dxfId="0" priority="13" operator="lessThan">
      <formula>0</formula>
    </cfRule>
  </conditionalFormatting>
  <conditionalFormatting sqref="I40">
    <cfRule type="cellIs" dxfId="1" priority="14" operator="greaterThan">
      <formula>0</formula>
    </cfRule>
  </conditionalFormatting>
  <conditionalFormatting sqref="I55:I57">
    <cfRule type="cellIs" dxfId="0" priority="15" operator="lessThan">
      <formula>0</formula>
    </cfRule>
  </conditionalFormatting>
  <conditionalFormatting sqref="I55:I57">
    <cfRule type="cellIs" dxfId="1" priority="16" operator="greaterThan">
      <formula>0</formula>
    </cfRule>
  </conditionalFormatting>
  <conditionalFormatting sqref="I69">
    <cfRule type="cellIs" dxfId="0" priority="17" operator="lessThan">
      <formula>0</formula>
    </cfRule>
  </conditionalFormatting>
  <conditionalFormatting sqref="I69">
    <cfRule type="cellIs" dxfId="1" priority="18" operator="greaterThan">
      <formula>0</formula>
    </cfRule>
  </conditionalFormatting>
  <conditionalFormatting sqref="I84">
    <cfRule type="cellIs" dxfId="0" priority="19" operator="lessThan">
      <formula>0</formula>
    </cfRule>
  </conditionalFormatting>
  <conditionalFormatting sqref="I84">
    <cfRule type="cellIs" dxfId="1" priority="20" operator="greaterThan">
      <formula>0</formula>
    </cfRule>
  </conditionalFormatting>
  <conditionalFormatting sqref="O4:O12">
    <cfRule type="cellIs" dxfId="0" priority="21" operator="lessThan">
      <formula>0</formula>
    </cfRule>
  </conditionalFormatting>
  <conditionalFormatting sqref="O4:O12">
    <cfRule type="cellIs" dxfId="1" priority="22" operator="greaterThan">
      <formula>0</formula>
    </cfRule>
  </conditionalFormatting>
  <conditionalFormatting sqref="O17:O25">
    <cfRule type="cellIs" dxfId="0" priority="23" operator="equal">
      <formula>"X"</formula>
    </cfRule>
  </conditionalFormatting>
  <conditionalFormatting sqref="O17:O25">
    <cfRule type="cellIs" dxfId="1" priority="24" operator="equal">
      <formula>"V"</formula>
    </cfRule>
  </conditionalFormatting>
  <conditionalFormatting sqref="O31:O39">
    <cfRule type="cellIs" dxfId="0" priority="25" operator="equal">
      <formula>"X"</formula>
    </cfRule>
  </conditionalFormatting>
  <conditionalFormatting sqref="O31:O39">
    <cfRule type="cellIs" dxfId="1" priority="26" operator="equal">
      <formula>"V"</formula>
    </cfRule>
  </conditionalFormatting>
  <conditionalFormatting sqref="O46:O54">
    <cfRule type="cellIs" dxfId="0" priority="27" operator="equal">
      <formula>"X"</formula>
    </cfRule>
  </conditionalFormatting>
  <conditionalFormatting sqref="O46:O54">
    <cfRule type="cellIs" dxfId="1" priority="28" operator="equal">
      <formula>"V"</formula>
    </cfRule>
  </conditionalFormatting>
  <conditionalFormatting sqref="O60:O68">
    <cfRule type="cellIs" dxfId="0" priority="29" operator="equal">
      <formula>"X"</formula>
    </cfRule>
  </conditionalFormatting>
  <conditionalFormatting sqref="O60:O68">
    <cfRule type="cellIs" dxfId="1" priority="30" operator="equal">
      <formula>"V"</formula>
    </cfRule>
  </conditionalFormatting>
  <conditionalFormatting sqref="O75:O83">
    <cfRule type="cellIs" dxfId="0" priority="31" operator="equal">
      <formula>"X"</formula>
    </cfRule>
  </conditionalFormatting>
  <conditionalFormatting sqref="O75:O83">
    <cfRule type="cellIs" dxfId="1" priority="32" operator="equal">
      <formula>"V"</formula>
    </cfRule>
  </conditionalFormatting>
  <conditionalFormatting sqref="Q26">
    <cfRule type="cellIs" dxfId="0" priority="33" operator="lessThan">
      <formula>0</formula>
    </cfRule>
  </conditionalFormatting>
  <conditionalFormatting sqref="Q26">
    <cfRule type="cellIs" dxfId="1" priority="34" operator="greaterThan">
      <formula>0</formula>
    </cfRule>
  </conditionalFormatting>
  <conditionalFormatting sqref="Q40">
    <cfRule type="cellIs" dxfId="0" priority="35" operator="lessThan">
      <formula>0</formula>
    </cfRule>
  </conditionalFormatting>
  <conditionalFormatting sqref="Q40">
    <cfRule type="cellIs" dxfId="1" priority="36" operator="greaterThan">
      <formula>0</formula>
    </cfRule>
  </conditionalFormatting>
  <conditionalFormatting sqref="Q55:Q57">
    <cfRule type="cellIs" dxfId="0" priority="37" operator="lessThan">
      <formula>0</formula>
    </cfRule>
  </conditionalFormatting>
  <conditionalFormatting sqref="Q55:Q57">
    <cfRule type="cellIs" dxfId="1" priority="38" operator="greaterThan">
      <formula>0</formula>
    </cfRule>
  </conditionalFormatting>
  <conditionalFormatting sqref="Q69">
    <cfRule type="cellIs" dxfId="0" priority="39" operator="lessThan">
      <formula>0</formula>
    </cfRule>
  </conditionalFormatting>
  <conditionalFormatting sqref="Q69">
    <cfRule type="cellIs" dxfId="1" priority="40" operator="greaterThan">
      <formula>0</formula>
    </cfRule>
  </conditionalFormatting>
  <conditionalFormatting sqref="Q84">
    <cfRule type="cellIs" dxfId="0" priority="41" operator="lessThan">
      <formula>0</formula>
    </cfRule>
  </conditionalFormatting>
  <conditionalFormatting sqref="Q84">
    <cfRule type="cellIs" dxfId="1" priority="42" operator="greaterThan">
      <formula>0</formula>
    </cfRule>
  </conditionalFormatting>
  <conditionalFormatting sqref="W17:W25">
    <cfRule type="cellIs" dxfId="0" priority="43" operator="equal">
      <formula>"X"</formula>
    </cfRule>
  </conditionalFormatting>
  <conditionalFormatting sqref="W17:W25">
    <cfRule type="cellIs" dxfId="1" priority="44" operator="equal">
      <formula>"V"</formula>
    </cfRule>
  </conditionalFormatting>
  <conditionalFormatting sqref="W31:W39">
    <cfRule type="cellIs" dxfId="0" priority="45" operator="equal">
      <formula>"X"</formula>
    </cfRule>
  </conditionalFormatting>
  <conditionalFormatting sqref="W31:W39">
    <cfRule type="cellIs" dxfId="1" priority="46" operator="equal">
      <formula>"V"</formula>
    </cfRule>
  </conditionalFormatting>
  <conditionalFormatting sqref="W46:W54">
    <cfRule type="cellIs" dxfId="0" priority="47" operator="equal">
      <formula>"X"</formula>
    </cfRule>
  </conditionalFormatting>
  <conditionalFormatting sqref="W46:W54">
    <cfRule type="cellIs" dxfId="1" priority="48" operator="equal">
      <formula>"V"</formula>
    </cfRule>
  </conditionalFormatting>
  <conditionalFormatting sqref="W60:W68">
    <cfRule type="cellIs" dxfId="0" priority="49" operator="equal">
      <formula>"X"</formula>
    </cfRule>
  </conditionalFormatting>
  <conditionalFormatting sqref="W60:W68">
    <cfRule type="cellIs" dxfId="1" priority="50" operator="equal">
      <formula>"V"</formula>
    </cfRule>
  </conditionalFormatting>
  <conditionalFormatting sqref="W75:W83">
    <cfRule type="cellIs" dxfId="0" priority="51" operator="equal">
      <formula>"X"</formula>
    </cfRule>
  </conditionalFormatting>
  <conditionalFormatting sqref="W75:W83">
    <cfRule type="cellIs" dxfId="1" priority="52" operator="equal">
      <formula>"V"</formula>
    </cfRule>
  </conditionalFormatting>
  <conditionalFormatting sqref="Y26">
    <cfRule type="cellIs" dxfId="0" priority="53" operator="lessThan">
      <formula>0</formula>
    </cfRule>
  </conditionalFormatting>
  <conditionalFormatting sqref="Y26">
    <cfRule type="cellIs" dxfId="1" priority="54" operator="greaterThan">
      <formula>0</formula>
    </cfRule>
  </conditionalFormatting>
  <conditionalFormatting sqref="Y40">
    <cfRule type="cellIs" dxfId="0" priority="55" operator="lessThan">
      <formula>0</formula>
    </cfRule>
  </conditionalFormatting>
  <conditionalFormatting sqref="Y40">
    <cfRule type="cellIs" dxfId="1" priority="56" operator="greaterThan">
      <formula>0</formula>
    </cfRule>
  </conditionalFormatting>
  <conditionalFormatting sqref="Y55:Y57">
    <cfRule type="cellIs" dxfId="0" priority="57" operator="lessThan">
      <formula>0</formula>
    </cfRule>
  </conditionalFormatting>
  <conditionalFormatting sqref="Y55:Y57">
    <cfRule type="cellIs" dxfId="1" priority="58" operator="greaterThan">
      <formula>0</formula>
    </cfRule>
  </conditionalFormatting>
  <conditionalFormatting sqref="Y69">
    <cfRule type="cellIs" dxfId="0" priority="59" operator="lessThan">
      <formula>0</formula>
    </cfRule>
  </conditionalFormatting>
  <conditionalFormatting sqref="Y69">
    <cfRule type="cellIs" dxfId="1" priority="60" operator="greaterThan">
      <formula>0</formula>
    </cfRule>
  </conditionalFormatting>
  <conditionalFormatting sqref="Y84">
    <cfRule type="cellIs" dxfId="0" priority="61" operator="lessThan">
      <formula>0</formula>
    </cfRule>
  </conditionalFormatting>
  <conditionalFormatting sqref="Y84">
    <cfRule type="cellIs" dxfId="1" priority="62" operator="greaterThan">
      <formula>0</formula>
    </cfRule>
  </conditionalFormatting>
  <conditionalFormatting sqref="AE17:AE25">
    <cfRule type="cellIs" dxfId="0" priority="63" operator="equal">
      <formula>"X"</formula>
    </cfRule>
  </conditionalFormatting>
  <conditionalFormatting sqref="AE17:AE25">
    <cfRule type="cellIs" dxfId="1" priority="64" operator="equal">
      <formula>"V"</formula>
    </cfRule>
  </conditionalFormatting>
  <conditionalFormatting sqref="AE31:AE39">
    <cfRule type="cellIs" dxfId="0" priority="65" operator="equal">
      <formula>"X"</formula>
    </cfRule>
  </conditionalFormatting>
  <conditionalFormatting sqref="AE31:AE39">
    <cfRule type="cellIs" dxfId="1" priority="66" operator="equal">
      <formula>"V"</formula>
    </cfRule>
  </conditionalFormatting>
  <conditionalFormatting sqref="AE46:AE54">
    <cfRule type="cellIs" dxfId="0" priority="67" operator="equal">
      <formula>"X"</formula>
    </cfRule>
  </conditionalFormatting>
  <conditionalFormatting sqref="AE46:AE54">
    <cfRule type="cellIs" dxfId="1" priority="68" operator="equal">
      <formula>"V"</formula>
    </cfRule>
  </conditionalFormatting>
  <conditionalFormatting sqref="AE60:AE68">
    <cfRule type="cellIs" dxfId="0" priority="69" operator="equal">
      <formula>"X"</formula>
    </cfRule>
  </conditionalFormatting>
  <conditionalFormatting sqref="AE60:AE68">
    <cfRule type="cellIs" dxfId="1" priority="70" operator="equal">
      <formula>"V"</formula>
    </cfRule>
  </conditionalFormatting>
  <conditionalFormatting sqref="AE75:AE83">
    <cfRule type="cellIs" dxfId="0" priority="71" operator="equal">
      <formula>"X"</formula>
    </cfRule>
  </conditionalFormatting>
  <conditionalFormatting sqref="AE75:AE83">
    <cfRule type="cellIs" dxfId="1" priority="72" operator="equal">
      <formula>"V"</formula>
    </cfRule>
  </conditionalFormatting>
  <conditionalFormatting sqref="AG26">
    <cfRule type="cellIs" dxfId="0" priority="73" operator="lessThan">
      <formula>0</formula>
    </cfRule>
  </conditionalFormatting>
  <conditionalFormatting sqref="AG26">
    <cfRule type="cellIs" dxfId="1" priority="74" operator="greaterThan">
      <formula>0</formula>
    </cfRule>
  </conditionalFormatting>
  <conditionalFormatting sqref="AG40">
    <cfRule type="cellIs" dxfId="0" priority="75" operator="lessThan">
      <formula>0</formula>
    </cfRule>
  </conditionalFormatting>
  <conditionalFormatting sqref="AG40">
    <cfRule type="cellIs" dxfId="1" priority="76" operator="greaterThan">
      <formula>0</formula>
    </cfRule>
  </conditionalFormatting>
  <conditionalFormatting sqref="AG55:AG57">
    <cfRule type="cellIs" dxfId="0" priority="77" operator="lessThan">
      <formula>0</formula>
    </cfRule>
  </conditionalFormatting>
  <conditionalFormatting sqref="AG55:AG57">
    <cfRule type="cellIs" dxfId="1" priority="78" operator="greaterThan">
      <formula>0</formula>
    </cfRule>
  </conditionalFormatting>
  <conditionalFormatting sqref="AG69">
    <cfRule type="cellIs" dxfId="0" priority="79" operator="lessThan">
      <formula>0</formula>
    </cfRule>
  </conditionalFormatting>
  <conditionalFormatting sqref="AG69">
    <cfRule type="cellIs" dxfId="1" priority="80" operator="greaterThan">
      <formula>0</formula>
    </cfRule>
  </conditionalFormatting>
  <conditionalFormatting sqref="AG84">
    <cfRule type="cellIs" dxfId="0" priority="81" operator="lessThan">
      <formula>0</formula>
    </cfRule>
  </conditionalFormatting>
  <conditionalFormatting sqref="AG84">
    <cfRule type="cellIs" dxfId="1" priority="82" operator="greaterThan">
      <formula>0</formula>
    </cfRule>
  </conditionalFormatting>
  <conditionalFormatting sqref="AM17:AM25">
    <cfRule type="cellIs" dxfId="0" priority="83" operator="equal">
      <formula>"X"</formula>
    </cfRule>
  </conditionalFormatting>
  <conditionalFormatting sqref="AM17:AM25">
    <cfRule type="cellIs" dxfId="1" priority="84" operator="equal">
      <formula>"V"</formula>
    </cfRule>
  </conditionalFormatting>
  <conditionalFormatting sqref="AM31:AM39">
    <cfRule type="cellIs" dxfId="0" priority="85" operator="equal">
      <formula>"X"</formula>
    </cfRule>
  </conditionalFormatting>
  <conditionalFormatting sqref="AM31:AM39">
    <cfRule type="cellIs" dxfId="1" priority="86" operator="equal">
      <formula>"V"</formula>
    </cfRule>
  </conditionalFormatting>
  <conditionalFormatting sqref="AM46:AM54">
    <cfRule type="cellIs" dxfId="0" priority="87" operator="equal">
      <formula>"X"</formula>
    </cfRule>
  </conditionalFormatting>
  <conditionalFormatting sqref="AM46:AM54">
    <cfRule type="cellIs" dxfId="1" priority="88" operator="equal">
      <formula>"V"</formula>
    </cfRule>
  </conditionalFormatting>
  <conditionalFormatting sqref="AM60:AM68">
    <cfRule type="cellIs" dxfId="0" priority="89" operator="equal">
      <formula>"X"</formula>
    </cfRule>
  </conditionalFormatting>
  <conditionalFormatting sqref="AM60:AM68">
    <cfRule type="cellIs" dxfId="1" priority="90" operator="equal">
      <formula>"V"</formula>
    </cfRule>
  </conditionalFormatting>
  <conditionalFormatting sqref="AM75:AM83">
    <cfRule type="cellIs" dxfId="0" priority="91" operator="equal">
      <formula>"X"</formula>
    </cfRule>
  </conditionalFormatting>
  <conditionalFormatting sqref="AM75:AM83">
    <cfRule type="cellIs" dxfId="1" priority="92" operator="equal">
      <formula>"V"</formula>
    </cfRule>
  </conditionalFormatting>
  <conditionalFormatting sqref="AO26">
    <cfRule type="cellIs" dxfId="0" priority="93" operator="lessThan">
      <formula>0</formula>
    </cfRule>
  </conditionalFormatting>
  <conditionalFormatting sqref="AO26">
    <cfRule type="cellIs" dxfId="1" priority="94" operator="greaterThan">
      <formula>0</formula>
    </cfRule>
  </conditionalFormatting>
  <conditionalFormatting sqref="AO40">
    <cfRule type="cellIs" dxfId="0" priority="95" operator="lessThan">
      <formula>0</formula>
    </cfRule>
  </conditionalFormatting>
  <conditionalFormatting sqref="AO40">
    <cfRule type="cellIs" dxfId="1" priority="96" operator="greaterThan">
      <formula>0</formula>
    </cfRule>
  </conditionalFormatting>
  <conditionalFormatting sqref="AO55:AO57">
    <cfRule type="cellIs" dxfId="0" priority="97" operator="lessThan">
      <formula>0</formula>
    </cfRule>
  </conditionalFormatting>
  <conditionalFormatting sqref="AO55:AO57">
    <cfRule type="cellIs" dxfId="1" priority="98" operator="greaterThan">
      <formula>0</formula>
    </cfRule>
  </conditionalFormatting>
  <conditionalFormatting sqref="AO69">
    <cfRule type="cellIs" dxfId="0" priority="99" operator="lessThan">
      <formula>0</formula>
    </cfRule>
  </conditionalFormatting>
  <conditionalFormatting sqref="AO69">
    <cfRule type="cellIs" dxfId="1" priority="100" operator="greaterThan">
      <formula>0</formula>
    </cfRule>
  </conditionalFormatting>
  <conditionalFormatting sqref="AO84">
    <cfRule type="cellIs" dxfId="0" priority="101" operator="lessThan">
      <formula>0</formula>
    </cfRule>
  </conditionalFormatting>
  <conditionalFormatting sqref="AO84">
    <cfRule type="cellIs" dxfId="1" priority="102" operator="greaterThan">
      <formula>0</formula>
    </cfRule>
  </conditionalFormatting>
  <dataValidations>
    <dataValidation type="list" allowBlank="1" showErrorMessage="1" sqref="G17:G25 O17:O25 W17:W25 AE17:AE25 AM17:AM25 G31:G39 O31:O39 W31:W39 AE31:AE39 AM31:AM39 G46:G54 O46:O54 W46:W54 AE46:AE54 AM46:AM54 G60:G68 O60:O68 W60:W68 AE60:AE68 AM60:AM68 G75:G83 O75:O83 W75:W83 AE75:AE83 AM75:AM83">
      <formula1>Foglio3!$A$1:$A$2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0.86"/>
    <col customWidth="1" min="4" max="7" width="12.86"/>
    <col customWidth="1" min="8" max="9" width="12.14"/>
    <col customWidth="1" min="10" max="10" width="9.14"/>
    <col customWidth="1" min="11" max="11" width="10.86"/>
    <col customWidth="1" min="12" max="13" width="12.86"/>
    <col customWidth="1" min="14" max="17" width="12.14"/>
    <col customWidth="1" min="18" max="18" width="9.14"/>
    <col customWidth="1" min="19" max="19" width="10.86"/>
    <col customWidth="1" min="20" max="20" width="12.86"/>
    <col customWidth="1" min="21" max="25" width="12.14"/>
    <col customWidth="1" min="26" max="26" width="9.14"/>
    <col customWidth="1" min="27" max="27" width="10.86"/>
    <col customWidth="1" min="28" max="28" width="12.86"/>
    <col customWidth="1" min="29" max="33" width="12.14"/>
    <col customWidth="1" min="34" max="34" width="9.14"/>
    <col customWidth="1" min="35" max="35" width="10.86"/>
    <col customWidth="1" min="36" max="36" width="12.86"/>
    <col customWidth="1" min="37" max="37" width="12.14"/>
    <col customWidth="1" min="38" max="38" width="8.71"/>
    <col customWidth="1" min="39" max="41" width="9.14"/>
  </cols>
  <sheetData>
    <row r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</row>
    <row r="2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4" t="s">
        <v>76</v>
      </c>
      <c r="M2" s="5"/>
      <c r="N2" s="5"/>
      <c r="O2" s="51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</row>
    <row r="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5"/>
      <c r="M3" s="96" t="s">
        <v>77</v>
      </c>
      <c r="N3" s="96" t="s">
        <v>78</v>
      </c>
      <c r="O3" s="97" t="s">
        <v>79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</row>
    <row r="4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8" t="s">
        <v>33</v>
      </c>
      <c r="M4" s="99">
        <f t="shared" ref="M4:M9" si="1">+F17+N17+V17+AD17+AL17+AL31+AD31+V31+N31+F31+F46+N46+V46+AD46+AL46+AL60+AD60+V60+N60+F60+F75+N75+V75+AD75</f>
        <v>35</v>
      </c>
      <c r="N4" s="99">
        <f t="shared" ref="N4:N9" si="2">IF(H17&gt;0,H17,0)+IF(P17&gt;0,P17,0)+IF(X17&gt;0,X17,0)+IF(AF17&gt;0,AF17,0)+IF(AN17&gt;0,AN17,0)+IF(AN31&gt;0,AN31,0)+IF(AF31&gt;0,AF31,0)+IF(X31&gt;0,X31,0)+IF(P31&gt;0,P31,0)+IF(H31&gt;0,H31,0)+IF(H46&gt;0,H46,0)+IF(H60&gt;0,H60,0)+IF(P46&gt;0,P46,0)+IF(P60&gt;0,P60,0)+IF(X46&gt;0,X46,0)+IF(X60&gt;0,X60,0)+IF(AF60&gt;0,AF60,0)+IF(AF46&gt;0,AF46,0)+IF(AN60&gt;0,AN60,0)+IF(AN46&gt;0,AN46,0)+IF(AF75&gt;0,AF75,0)+IF(X75&gt;0,X75,0)+IF(P75&gt;0,P75,0)+IF(H75&gt;0,H75,0)</f>
        <v>43.15</v>
      </c>
      <c r="O4" s="100">
        <f t="shared" ref="O4:O12" si="3">IF(N4&gt;0, N4-M4, -M4)</f>
        <v>8.15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</row>
    <row r="5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8" t="s">
        <v>36</v>
      </c>
      <c r="M5" s="99">
        <f t="shared" si="1"/>
        <v>45</v>
      </c>
      <c r="N5" s="99">
        <f t="shared" si="2"/>
        <v>61.35</v>
      </c>
      <c r="O5" s="100">
        <f t="shared" si="3"/>
        <v>16.35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</row>
    <row r="6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8" t="s">
        <v>41</v>
      </c>
      <c r="M6" s="99">
        <f t="shared" si="1"/>
        <v>30</v>
      </c>
      <c r="N6" s="99">
        <f t="shared" si="2"/>
        <v>31.5</v>
      </c>
      <c r="O6" s="100">
        <f t="shared" si="3"/>
        <v>1.5</v>
      </c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</row>
    <row r="7">
      <c r="A7" s="93"/>
      <c r="B7" s="93"/>
      <c r="C7" s="93"/>
      <c r="D7" s="93"/>
      <c r="E7" s="93"/>
      <c r="F7" s="93"/>
      <c r="G7" s="93"/>
      <c r="H7" s="93"/>
      <c r="I7" s="93"/>
      <c r="J7" s="93"/>
      <c r="K7" s="93"/>
      <c r="L7" s="98" t="s">
        <v>44</v>
      </c>
      <c r="M7" s="99">
        <f t="shared" si="1"/>
        <v>45</v>
      </c>
      <c r="N7" s="99">
        <f t="shared" si="2"/>
        <v>57.2</v>
      </c>
      <c r="O7" s="100">
        <f t="shared" si="3"/>
        <v>12.2</v>
      </c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</row>
    <row r="8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  <c r="L8" s="98" t="s">
        <v>46</v>
      </c>
      <c r="M8" s="99">
        <f t="shared" si="1"/>
        <v>48</v>
      </c>
      <c r="N8" s="99">
        <f t="shared" si="2"/>
        <v>46.76</v>
      </c>
      <c r="O8" s="100">
        <f t="shared" si="3"/>
        <v>-1.24</v>
      </c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</row>
    <row r="9">
      <c r="A9" s="93"/>
      <c r="B9" s="93"/>
      <c r="C9" s="93"/>
      <c r="D9" s="93"/>
      <c r="E9" s="93"/>
      <c r="F9" s="93"/>
      <c r="G9" s="93"/>
      <c r="H9" s="93"/>
      <c r="I9" s="93"/>
      <c r="J9" s="93"/>
      <c r="K9" s="93"/>
      <c r="L9" s="98" t="s">
        <v>50</v>
      </c>
      <c r="M9" s="99">
        <f t="shared" si="1"/>
        <v>46</v>
      </c>
      <c r="N9" s="99">
        <f t="shared" si="2"/>
        <v>61.12</v>
      </c>
      <c r="O9" s="100">
        <f t="shared" si="3"/>
        <v>15.12</v>
      </c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</row>
    <row r="10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8" t="s">
        <v>52</v>
      </c>
      <c r="M10" s="99">
        <f>+F23+N23+V23+AD23+AL23+AL38+AD38+V38+N38+F38+F53+N53+V53+AD53+AL53+AL67+AD67+V67+N67+F67+F82+N82+V82+AD82</f>
        <v>5</v>
      </c>
      <c r="N10" s="99">
        <f>IF(H23&gt;0,H23,0)+IF(P23&gt;0,P23,0)+IF(X23&gt;0,X23,0)+IF(AF23&gt;0,AF23,0)+IF(AN23&gt;0,AN23,0)+IF(AN38&gt;0,AN38,0)+IF(AF38&gt;0,AF38,0)+IF(X38&gt;0,X38,0)+IF(P38&gt;0,P38,0)+IF(H38&gt;0,H38,0)+IF(H53&gt;0,H53,0)+IF(H67&gt;0,H67,0)+IF(P53&gt;0,P53,0)+IF(P67&gt;0,P67,0)+IF(X53&gt;0,X53,0)+IF(X67&gt;0,X67,0)+IF(AF67&gt;0,AF67,0)+IF(AF53&gt;0,AF53,0)+IF(AN67&gt;0,AN67,0)+IF(AN53&gt;0,AN53,0)+IF(AF82&gt;0,AF82,0)+IF(X82&gt;0,X82,0)+IF(P82&gt;0,P82,0)+IF(H82&gt;0,H82,0)</f>
        <v>8.35</v>
      </c>
      <c r="O10" s="100">
        <f t="shared" si="3"/>
        <v>3.35</v>
      </c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</row>
    <row r="11">
      <c r="A11" s="93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8" t="s">
        <v>53</v>
      </c>
      <c r="M11" s="99">
        <f t="shared" ref="M11:M12" si="4">+F24+N24+V24+AD24+AL24+AL38+AD38+V38+N38+F38+F53+N53+V53+AD53+AL53+AL67+AD67+V67+N67+F67+F82+N82+V82+AD82</f>
        <v>48</v>
      </c>
      <c r="N11" s="99">
        <f t="shared" ref="N11:N12" si="5">IF(H24&gt;0,H24,0)+IF(P24&gt;0,P24,0)+IF(X24&gt;0,X24,0)+IF(AF24&gt;0,AF24,0)+IF(AN24&gt;0,AN24,0)+IF(AN38&gt;0,AN38,0)+IF(AF38&gt;0,AF38,0)+IF(X38&gt;0,X38,0)+IF(P38&gt;0,P38,0)+IF(H38&gt;0,H38,0)+IF(H53&gt;0,H53,0)+IF(H67&gt;0,H67,0)+IF(P53&gt;0,P53,0)+IF(P67&gt;0,P67,0)+IF(X53&gt;0,X53,0)+IF(X67&gt;0,X67,0)+IF(AF67&gt;0,AF67,0)+IF(AF53&gt;0,AF53,0)+IF(AN67&gt;0,AN67,0)+IF(AN53&gt;0,AN53,0)+IF(AF82&gt;0,AF82,0)+IF(X82&gt;0,X82,0)+IF(P82&gt;0,P82,0)+IF(H82&gt;0,H82,0)</f>
        <v>59.54</v>
      </c>
      <c r="O11" s="100">
        <f t="shared" si="3"/>
        <v>11.54</v>
      </c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</row>
    <row r="12">
      <c r="A12" s="93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101" t="s">
        <v>54</v>
      </c>
      <c r="M12" s="102">
        <f t="shared" si="4"/>
        <v>37</v>
      </c>
      <c r="N12" s="102">
        <f t="shared" si="5"/>
        <v>44.55</v>
      </c>
      <c r="O12" s="103">
        <f t="shared" si="3"/>
        <v>7.55</v>
      </c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</row>
    <row r="13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</row>
    <row r="14">
      <c r="A14" s="93"/>
      <c r="B14" s="9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93"/>
      <c r="AN14" s="93"/>
      <c r="AO14" s="93"/>
    </row>
    <row r="15">
      <c r="A15" s="93"/>
      <c r="B15" s="93"/>
      <c r="C15" s="77" t="s">
        <v>26</v>
      </c>
      <c r="D15" s="5"/>
      <c r="E15" s="5"/>
      <c r="F15" s="5"/>
      <c r="G15" s="5"/>
      <c r="H15" s="51"/>
      <c r="I15" s="93"/>
      <c r="J15" s="2"/>
      <c r="K15" s="77" t="s">
        <v>27</v>
      </c>
      <c r="L15" s="5"/>
      <c r="M15" s="5"/>
      <c r="N15" s="5"/>
      <c r="O15" s="5"/>
      <c r="P15" s="51"/>
      <c r="Q15" s="93"/>
      <c r="R15" s="2"/>
      <c r="S15" s="77" t="s">
        <v>28</v>
      </c>
      <c r="T15" s="5"/>
      <c r="U15" s="5"/>
      <c r="V15" s="5"/>
      <c r="W15" s="5"/>
      <c r="X15" s="51"/>
      <c r="Y15" s="93"/>
      <c r="Z15" s="2"/>
      <c r="AA15" s="77" t="s">
        <v>29</v>
      </c>
      <c r="AB15" s="5"/>
      <c r="AC15" s="5"/>
      <c r="AD15" s="5"/>
      <c r="AE15" s="5"/>
      <c r="AF15" s="51"/>
      <c r="AG15" s="93"/>
      <c r="AH15" s="2"/>
      <c r="AI15" s="77" t="s">
        <v>30</v>
      </c>
      <c r="AJ15" s="5"/>
      <c r="AK15" s="5"/>
      <c r="AL15" s="5"/>
      <c r="AM15" s="5"/>
      <c r="AN15" s="51"/>
      <c r="AO15" s="93"/>
    </row>
    <row r="16">
      <c r="A16" s="93"/>
      <c r="B16" s="93"/>
      <c r="C16" s="78"/>
      <c r="D16" s="79" t="s">
        <v>80</v>
      </c>
      <c r="E16" s="79" t="s">
        <v>81</v>
      </c>
      <c r="F16" s="79" t="s">
        <v>82</v>
      </c>
      <c r="G16" s="79" t="s">
        <v>83</v>
      </c>
      <c r="H16" s="80" t="s">
        <v>84</v>
      </c>
      <c r="I16" s="93"/>
      <c r="J16" s="2"/>
      <c r="K16" s="78"/>
      <c r="L16" s="79" t="s">
        <v>80</v>
      </c>
      <c r="M16" s="79" t="s">
        <v>81</v>
      </c>
      <c r="N16" s="79" t="s">
        <v>82</v>
      </c>
      <c r="O16" s="79" t="s">
        <v>83</v>
      </c>
      <c r="P16" s="80" t="s">
        <v>84</v>
      </c>
      <c r="Q16" s="93"/>
      <c r="R16" s="2"/>
      <c r="S16" s="78"/>
      <c r="T16" s="79" t="s">
        <v>80</v>
      </c>
      <c r="U16" s="79" t="s">
        <v>81</v>
      </c>
      <c r="V16" s="79" t="s">
        <v>82</v>
      </c>
      <c r="W16" s="79" t="s">
        <v>83</v>
      </c>
      <c r="X16" s="80" t="s">
        <v>84</v>
      </c>
      <c r="Y16" s="93"/>
      <c r="Z16" s="2"/>
      <c r="AA16" s="78"/>
      <c r="AB16" s="79" t="s">
        <v>80</v>
      </c>
      <c r="AC16" s="79" t="s">
        <v>81</v>
      </c>
      <c r="AD16" s="79" t="s">
        <v>82</v>
      </c>
      <c r="AE16" s="79" t="s">
        <v>83</v>
      </c>
      <c r="AF16" s="80" t="s">
        <v>84</v>
      </c>
      <c r="AG16" s="93"/>
      <c r="AH16" s="2"/>
      <c r="AI16" s="78"/>
      <c r="AJ16" s="79" t="s">
        <v>80</v>
      </c>
      <c r="AK16" s="79" t="s">
        <v>81</v>
      </c>
      <c r="AL16" s="79" t="s">
        <v>82</v>
      </c>
      <c r="AM16" s="79" t="s">
        <v>83</v>
      </c>
      <c r="AN16" s="80" t="s">
        <v>84</v>
      </c>
      <c r="AO16" s="93"/>
    </row>
    <row r="17">
      <c r="A17" s="93"/>
      <c r="B17" s="93"/>
      <c r="C17" s="98" t="s">
        <v>33</v>
      </c>
      <c r="D17" s="2" t="s">
        <v>11</v>
      </c>
      <c r="E17" s="2">
        <v>1.43</v>
      </c>
      <c r="F17" s="105">
        <v>10.0</v>
      </c>
      <c r="G17" s="2" t="s">
        <v>85</v>
      </c>
      <c r="H17" s="100">
        <f t="shared" ref="H17:H22" si="6">IF(G17="V", E17*F17, IF(G17="X", 0, ""))</f>
        <v>14.3</v>
      </c>
      <c r="I17" s="99"/>
      <c r="J17" s="2"/>
      <c r="K17" s="98" t="s">
        <v>33</v>
      </c>
      <c r="L17" s="47" t="s">
        <v>89</v>
      </c>
      <c r="M17" s="47">
        <v>2.55</v>
      </c>
      <c r="N17" s="113">
        <v>5.0</v>
      </c>
      <c r="O17" s="2" t="s">
        <v>85</v>
      </c>
      <c r="P17" s="100">
        <f>IF(O17="V", M17*N17, IF(O17="X", 0, ""))</f>
        <v>12.75</v>
      </c>
      <c r="Q17" s="99"/>
      <c r="R17" s="2"/>
      <c r="S17" s="98" t="s">
        <v>33</v>
      </c>
      <c r="T17" s="47" t="s">
        <v>35</v>
      </c>
      <c r="U17" s="47">
        <v>1.61</v>
      </c>
      <c r="V17" s="105">
        <v>10.0</v>
      </c>
      <c r="W17" s="47" t="s">
        <v>85</v>
      </c>
      <c r="X17" s="100">
        <f t="shared" ref="X17:X22" si="7">IF(W17="V", U17*V17, IF(W17="X", 0, ""))</f>
        <v>16.1</v>
      </c>
      <c r="Y17" s="99"/>
      <c r="Z17" s="2"/>
      <c r="AA17" s="98" t="s">
        <v>33</v>
      </c>
      <c r="AB17" s="47" t="s">
        <v>12</v>
      </c>
      <c r="AC17" s="47">
        <v>1.61</v>
      </c>
      <c r="AD17" s="105">
        <v>10.0</v>
      </c>
      <c r="AE17" s="47" t="s">
        <v>86</v>
      </c>
      <c r="AF17" s="100"/>
      <c r="AG17" s="99"/>
      <c r="AH17" s="2"/>
      <c r="AI17" s="98" t="s">
        <v>33</v>
      </c>
      <c r="AJ17" s="2"/>
      <c r="AK17" s="2"/>
      <c r="AL17" s="99"/>
      <c r="AM17" s="2"/>
      <c r="AN17" s="100"/>
      <c r="AO17" s="99"/>
    </row>
    <row r="18">
      <c r="A18" s="93"/>
      <c r="B18" s="93"/>
      <c r="C18" s="98" t="s">
        <v>36</v>
      </c>
      <c r="D18" s="2" t="s">
        <v>8</v>
      </c>
      <c r="E18" s="2">
        <v>1.69</v>
      </c>
      <c r="F18" s="105">
        <v>25.0</v>
      </c>
      <c r="G18" s="2" t="s">
        <v>85</v>
      </c>
      <c r="H18" s="100">
        <f t="shared" si="6"/>
        <v>42.25</v>
      </c>
      <c r="I18" s="99"/>
      <c r="J18" s="2"/>
      <c r="K18" s="98" t="s">
        <v>36</v>
      </c>
      <c r="L18" s="2" t="s">
        <v>38</v>
      </c>
      <c r="M18" s="2" t="s">
        <v>38</v>
      </c>
      <c r="N18" s="104">
        <v>0.0</v>
      </c>
      <c r="O18" s="2"/>
      <c r="P18" s="100">
        <v>0.0</v>
      </c>
      <c r="Q18" s="99"/>
      <c r="R18" s="2"/>
      <c r="S18" s="98" t="s">
        <v>36</v>
      </c>
      <c r="T18" s="47" t="s">
        <v>90</v>
      </c>
      <c r="U18" s="47">
        <v>1.91</v>
      </c>
      <c r="V18" s="105">
        <v>10.0</v>
      </c>
      <c r="W18" s="47" t="s">
        <v>85</v>
      </c>
      <c r="X18" s="100">
        <f t="shared" si="7"/>
        <v>19.1</v>
      </c>
      <c r="Y18" s="99"/>
      <c r="Z18" s="2"/>
      <c r="AA18" s="98" t="s">
        <v>36</v>
      </c>
      <c r="AB18" s="47" t="s">
        <v>12</v>
      </c>
      <c r="AC18" s="47">
        <v>1.66</v>
      </c>
      <c r="AD18" s="105">
        <v>10.0</v>
      </c>
      <c r="AE18" s="47" t="s">
        <v>85</v>
      </c>
      <c r="AF18" s="100"/>
      <c r="AG18" s="99"/>
      <c r="AH18" s="2"/>
      <c r="AI18" s="98" t="s">
        <v>36</v>
      </c>
      <c r="AJ18" s="2"/>
      <c r="AK18" s="2"/>
      <c r="AL18" s="99"/>
      <c r="AM18" s="2"/>
      <c r="AN18" s="100"/>
      <c r="AO18" s="99"/>
    </row>
    <row r="19">
      <c r="A19" s="93"/>
      <c r="B19" s="93"/>
      <c r="C19" s="98" t="s">
        <v>41</v>
      </c>
      <c r="D19" s="2" t="s">
        <v>42</v>
      </c>
      <c r="E19" s="2">
        <v>1.52</v>
      </c>
      <c r="F19" s="105">
        <v>10.0</v>
      </c>
      <c r="G19" s="2" t="s">
        <v>85</v>
      </c>
      <c r="H19" s="100">
        <f t="shared" si="6"/>
        <v>15.2</v>
      </c>
      <c r="I19" s="99"/>
      <c r="J19" s="2"/>
      <c r="K19" s="98" t="s">
        <v>41</v>
      </c>
      <c r="L19" s="2" t="s">
        <v>38</v>
      </c>
      <c r="M19" s="2" t="s">
        <v>38</v>
      </c>
      <c r="N19" s="104">
        <v>0.0</v>
      </c>
      <c r="O19" s="2"/>
      <c r="P19" s="100">
        <v>0.0</v>
      </c>
      <c r="Q19" s="99"/>
      <c r="R19" s="2"/>
      <c r="S19" s="98" t="s">
        <v>41</v>
      </c>
      <c r="T19" s="47" t="s">
        <v>12</v>
      </c>
      <c r="U19" s="47">
        <v>1.63</v>
      </c>
      <c r="V19" s="105">
        <v>10.0</v>
      </c>
      <c r="W19" s="47" t="s">
        <v>85</v>
      </c>
      <c r="X19" s="100">
        <f t="shared" si="7"/>
        <v>16.3</v>
      </c>
      <c r="Y19" s="99"/>
      <c r="Z19" s="2"/>
      <c r="AA19" s="98" t="s">
        <v>41</v>
      </c>
      <c r="AB19" s="47" t="s">
        <v>8</v>
      </c>
      <c r="AC19" s="47">
        <v>1.67</v>
      </c>
      <c r="AD19" s="105">
        <v>10.0</v>
      </c>
      <c r="AE19" s="47" t="s">
        <v>85</v>
      </c>
      <c r="AF19" s="100"/>
      <c r="AG19" s="99"/>
      <c r="AH19" s="2"/>
      <c r="AI19" s="98" t="s">
        <v>41</v>
      </c>
      <c r="AJ19" s="2"/>
      <c r="AK19" s="2"/>
      <c r="AL19" s="99"/>
      <c r="AM19" s="2"/>
      <c r="AN19" s="100"/>
      <c r="AO19" s="99"/>
    </row>
    <row r="20">
      <c r="A20" s="93"/>
      <c r="B20" s="93"/>
      <c r="C20" s="98" t="s">
        <v>44</v>
      </c>
      <c r="D20" s="2" t="s">
        <v>42</v>
      </c>
      <c r="E20" s="2">
        <v>1.43</v>
      </c>
      <c r="F20" s="105">
        <v>40.0</v>
      </c>
      <c r="G20" s="2" t="s">
        <v>85</v>
      </c>
      <c r="H20" s="100">
        <f t="shared" si="6"/>
        <v>57.2</v>
      </c>
      <c r="I20" s="99"/>
      <c r="J20" s="2"/>
      <c r="K20" s="98" t="s">
        <v>44</v>
      </c>
      <c r="L20" s="2" t="s">
        <v>87</v>
      </c>
      <c r="M20" s="2">
        <v>2.01</v>
      </c>
      <c r="N20" s="104">
        <v>5.0</v>
      </c>
      <c r="O20" s="2" t="s">
        <v>86</v>
      </c>
      <c r="P20" s="100">
        <f>IF(O20="V", M20*N20, IF(O20="X", 0, ""))</f>
        <v>0</v>
      </c>
      <c r="Q20" s="99"/>
      <c r="R20" s="2"/>
      <c r="S20" s="98" t="s">
        <v>44</v>
      </c>
      <c r="T20" s="47" t="s">
        <v>38</v>
      </c>
      <c r="U20" s="47" t="s">
        <v>38</v>
      </c>
      <c r="V20" s="105"/>
      <c r="W20" s="2"/>
      <c r="X20" s="100" t="str">
        <f t="shared" si="7"/>
        <v/>
      </c>
      <c r="Y20" s="99"/>
      <c r="Z20" s="2"/>
      <c r="AA20" s="98" t="s">
        <v>44</v>
      </c>
      <c r="AB20" s="47" t="s">
        <v>38</v>
      </c>
      <c r="AC20" s="2"/>
      <c r="AD20" s="99"/>
      <c r="AE20" s="2"/>
      <c r="AF20" s="100"/>
      <c r="AG20" s="99"/>
      <c r="AH20" s="2"/>
      <c r="AI20" s="98" t="s">
        <v>44</v>
      </c>
      <c r="AJ20" s="2"/>
      <c r="AK20" s="2"/>
      <c r="AL20" s="99"/>
      <c r="AM20" s="2"/>
      <c r="AN20" s="100"/>
      <c r="AO20" s="99"/>
    </row>
    <row r="21">
      <c r="A21" s="93"/>
      <c r="B21" s="93"/>
      <c r="C21" s="98" t="s">
        <v>46</v>
      </c>
      <c r="D21" s="2" t="s">
        <v>47</v>
      </c>
      <c r="E21" s="2">
        <v>1.62</v>
      </c>
      <c r="F21" s="105">
        <v>10.0</v>
      </c>
      <c r="G21" s="2" t="s">
        <v>86</v>
      </c>
      <c r="H21" s="100">
        <f t="shared" si="6"/>
        <v>0</v>
      </c>
      <c r="I21" s="99"/>
      <c r="J21" s="24"/>
      <c r="K21" s="98" t="s">
        <v>46</v>
      </c>
      <c r="L21" s="2" t="s">
        <v>38</v>
      </c>
      <c r="M21" s="2" t="s">
        <v>38</v>
      </c>
      <c r="N21" s="104">
        <v>0.0</v>
      </c>
      <c r="O21" s="2"/>
      <c r="P21" s="100">
        <v>0.0</v>
      </c>
      <c r="Q21" s="99"/>
      <c r="R21" s="2"/>
      <c r="S21" s="98" t="s">
        <v>46</v>
      </c>
      <c r="T21" s="47" t="s">
        <v>8</v>
      </c>
      <c r="U21" s="47">
        <v>1.67</v>
      </c>
      <c r="V21" s="105">
        <v>28.0</v>
      </c>
      <c r="W21" s="47" t="s">
        <v>85</v>
      </c>
      <c r="X21" s="100">
        <f t="shared" si="7"/>
        <v>46.76</v>
      </c>
      <c r="Y21" s="99"/>
      <c r="Z21" s="2"/>
      <c r="AA21" s="98" t="s">
        <v>46</v>
      </c>
      <c r="AB21" s="47" t="s">
        <v>11</v>
      </c>
      <c r="AC21" s="47">
        <v>1.44</v>
      </c>
      <c r="AD21" s="105">
        <v>10.0</v>
      </c>
      <c r="AE21" s="47" t="s">
        <v>85</v>
      </c>
      <c r="AF21" s="100"/>
      <c r="AG21" s="99"/>
      <c r="AH21" s="2"/>
      <c r="AI21" s="98" t="s">
        <v>46</v>
      </c>
      <c r="AJ21" s="2"/>
      <c r="AK21" s="2"/>
      <c r="AL21" s="99"/>
      <c r="AM21" s="2"/>
      <c r="AN21" s="100"/>
      <c r="AO21" s="99"/>
    </row>
    <row r="22" ht="15.75" customHeight="1">
      <c r="A22" s="93"/>
      <c r="B22" s="93"/>
      <c r="C22" s="98" t="s">
        <v>50</v>
      </c>
      <c r="D22" s="2" t="s">
        <v>37</v>
      </c>
      <c r="E22" s="2">
        <v>1.62</v>
      </c>
      <c r="F22" s="105">
        <v>26.0</v>
      </c>
      <c r="G22" s="2" t="s">
        <v>85</v>
      </c>
      <c r="H22" s="100">
        <f t="shared" si="6"/>
        <v>42.12</v>
      </c>
      <c r="I22" s="99"/>
      <c r="J22" s="2"/>
      <c r="K22" s="98" t="s">
        <v>50</v>
      </c>
      <c r="L22" s="2" t="s">
        <v>38</v>
      </c>
      <c r="M22" s="2" t="s">
        <v>38</v>
      </c>
      <c r="N22" s="104">
        <v>0.0</v>
      </c>
      <c r="O22" s="2"/>
      <c r="P22" s="100">
        <v>0.0</v>
      </c>
      <c r="Q22" s="99"/>
      <c r="R22" s="2"/>
      <c r="S22" s="98" t="s">
        <v>50</v>
      </c>
      <c r="T22" s="47" t="s">
        <v>35</v>
      </c>
      <c r="U22" s="47">
        <v>1.9</v>
      </c>
      <c r="V22" s="105">
        <v>10.0</v>
      </c>
      <c r="W22" s="47" t="s">
        <v>85</v>
      </c>
      <c r="X22" s="100">
        <f t="shared" si="7"/>
        <v>19</v>
      </c>
      <c r="Y22" s="99"/>
      <c r="Z22" s="2"/>
      <c r="AA22" s="98" t="s">
        <v>50</v>
      </c>
      <c r="AB22" s="47" t="s">
        <v>8</v>
      </c>
      <c r="AC22" s="47">
        <v>1.65</v>
      </c>
      <c r="AD22" s="105">
        <v>10.0</v>
      </c>
      <c r="AE22" s="47" t="s">
        <v>86</v>
      </c>
      <c r="AF22" s="100"/>
      <c r="AG22" s="99"/>
      <c r="AH22" s="2"/>
      <c r="AI22" s="98" t="s">
        <v>50</v>
      </c>
      <c r="AJ22" s="2"/>
      <c r="AK22" s="2"/>
      <c r="AL22" s="99"/>
      <c r="AM22" s="2"/>
      <c r="AN22" s="100"/>
      <c r="AO22" s="99"/>
    </row>
    <row r="23" ht="15.75" customHeight="1">
      <c r="A23" s="93"/>
      <c r="B23" s="93"/>
      <c r="C23" s="98" t="s">
        <v>52</v>
      </c>
      <c r="D23" s="2" t="s">
        <v>38</v>
      </c>
      <c r="E23" s="47" t="s">
        <v>38</v>
      </c>
      <c r="F23" s="99">
        <v>0.0</v>
      </c>
      <c r="G23" s="2"/>
      <c r="H23" s="100"/>
      <c r="I23" s="99"/>
      <c r="J23" s="2"/>
      <c r="K23" s="98" t="s">
        <v>52</v>
      </c>
      <c r="L23" s="2" t="s">
        <v>8</v>
      </c>
      <c r="M23" s="2">
        <v>1.67</v>
      </c>
      <c r="N23" s="113">
        <v>5.0</v>
      </c>
      <c r="O23" s="2" t="s">
        <v>85</v>
      </c>
      <c r="P23" s="100">
        <f t="shared" ref="P23:P24" si="8">IF(O23="V", M23*N23, IF(O23="X", 0, ""))</f>
        <v>8.35</v>
      </c>
      <c r="Q23" s="99"/>
      <c r="R23" s="2"/>
      <c r="S23" s="98" t="s">
        <v>52</v>
      </c>
      <c r="T23" s="47" t="s">
        <v>38</v>
      </c>
      <c r="U23" s="47" t="s">
        <v>38</v>
      </c>
      <c r="V23" s="105"/>
      <c r="W23" s="2"/>
      <c r="X23" s="100"/>
      <c r="Y23" s="99"/>
      <c r="Z23" s="2"/>
      <c r="AA23" s="98" t="s">
        <v>52</v>
      </c>
      <c r="AB23" s="47" t="s">
        <v>38</v>
      </c>
      <c r="AC23" s="2"/>
      <c r="AD23" s="99"/>
      <c r="AE23" s="2"/>
      <c r="AF23" s="100"/>
      <c r="AG23" s="99"/>
      <c r="AH23" s="2"/>
      <c r="AI23" s="98" t="s">
        <v>52</v>
      </c>
      <c r="AJ23" s="2"/>
      <c r="AK23" s="2"/>
      <c r="AL23" s="99"/>
      <c r="AM23" s="2"/>
      <c r="AN23" s="100"/>
      <c r="AO23" s="99"/>
    </row>
    <row r="24" ht="15.75" customHeight="1">
      <c r="A24" s="93"/>
      <c r="B24" s="93"/>
      <c r="C24" s="98" t="s">
        <v>53</v>
      </c>
      <c r="D24" s="2" t="s">
        <v>11</v>
      </c>
      <c r="E24" s="2">
        <v>1.39</v>
      </c>
      <c r="F24" s="105">
        <v>10.0</v>
      </c>
      <c r="G24" s="2" t="s">
        <v>85</v>
      </c>
      <c r="H24" s="100">
        <f t="shared" ref="H24:H25" si="9">IF(G24="V", E24*F24, IF(G24="X", 0, ""))</f>
        <v>13.9</v>
      </c>
      <c r="I24" s="99"/>
      <c r="J24" s="2"/>
      <c r="K24" s="98" t="s">
        <v>53</v>
      </c>
      <c r="L24" s="2" t="s">
        <v>8</v>
      </c>
      <c r="M24" s="2">
        <v>1.66</v>
      </c>
      <c r="N24" s="113">
        <v>10.0</v>
      </c>
      <c r="O24" s="2" t="s">
        <v>86</v>
      </c>
      <c r="P24" s="100">
        <f t="shared" si="8"/>
        <v>0</v>
      </c>
      <c r="Q24" s="99"/>
      <c r="R24" s="2"/>
      <c r="S24" s="98" t="s">
        <v>53</v>
      </c>
      <c r="T24" s="47" t="s">
        <v>8</v>
      </c>
      <c r="U24" s="47">
        <v>1.63</v>
      </c>
      <c r="V24" s="105">
        <v>28.0</v>
      </c>
      <c r="W24" s="47" t="s">
        <v>85</v>
      </c>
      <c r="X24" s="100">
        <f t="shared" ref="X24:X25" si="10">IF(W24="V", U24*V24, IF(W24="X", 0, ""))</f>
        <v>45.64</v>
      </c>
      <c r="Y24" s="99"/>
      <c r="Z24" s="2"/>
      <c r="AA24" s="98" t="s">
        <v>53</v>
      </c>
      <c r="AB24" s="47" t="s">
        <v>38</v>
      </c>
      <c r="AC24" s="2"/>
      <c r="AD24" s="99"/>
      <c r="AE24" s="2"/>
      <c r="AF24" s="100"/>
      <c r="AG24" s="99"/>
      <c r="AH24" s="2"/>
      <c r="AI24" s="98" t="s">
        <v>53</v>
      </c>
      <c r="AJ24" s="2"/>
      <c r="AK24" s="2"/>
      <c r="AL24" s="99"/>
      <c r="AM24" s="2"/>
      <c r="AN24" s="100"/>
      <c r="AO24" s="99"/>
    </row>
    <row r="25" ht="15.75" customHeight="1">
      <c r="A25" s="93"/>
      <c r="B25" s="93"/>
      <c r="C25" s="101" t="s">
        <v>54</v>
      </c>
      <c r="D25" s="43" t="s">
        <v>88</v>
      </c>
      <c r="E25" s="43">
        <v>1.48</v>
      </c>
      <c r="F25" s="105">
        <v>10.0</v>
      </c>
      <c r="G25" s="2" t="s">
        <v>86</v>
      </c>
      <c r="H25" s="100">
        <f t="shared" si="9"/>
        <v>0</v>
      </c>
      <c r="I25" s="24" t="s">
        <v>79</v>
      </c>
      <c r="J25" s="2"/>
      <c r="K25" s="101" t="s">
        <v>54</v>
      </c>
      <c r="L25" s="43" t="s">
        <v>38</v>
      </c>
      <c r="M25" s="43" t="s">
        <v>38</v>
      </c>
      <c r="N25" s="104">
        <v>0.0</v>
      </c>
      <c r="O25" s="2"/>
      <c r="P25" s="100">
        <v>0.0</v>
      </c>
      <c r="Q25" s="24" t="s">
        <v>79</v>
      </c>
      <c r="R25" s="2"/>
      <c r="S25" s="101" t="s">
        <v>54</v>
      </c>
      <c r="T25" s="85" t="s">
        <v>8</v>
      </c>
      <c r="U25" s="85">
        <v>1.65</v>
      </c>
      <c r="V25" s="105">
        <v>27.0</v>
      </c>
      <c r="W25" s="47" t="s">
        <v>85</v>
      </c>
      <c r="X25" s="100">
        <f t="shared" si="10"/>
        <v>44.55</v>
      </c>
      <c r="Y25" s="24" t="s">
        <v>79</v>
      </c>
      <c r="Z25" s="2"/>
      <c r="AA25" s="101" t="s">
        <v>54</v>
      </c>
      <c r="AB25" s="85" t="s">
        <v>38</v>
      </c>
      <c r="AC25" s="43"/>
      <c r="AD25" s="99"/>
      <c r="AE25" s="2"/>
      <c r="AF25" s="100"/>
      <c r="AG25" s="24" t="s">
        <v>79</v>
      </c>
      <c r="AH25" s="2"/>
      <c r="AI25" s="101" t="s">
        <v>54</v>
      </c>
      <c r="AJ25" s="43"/>
      <c r="AK25" s="43"/>
      <c r="AL25" s="99"/>
      <c r="AM25" s="2"/>
      <c r="AN25" s="100"/>
      <c r="AO25" s="24" t="s">
        <v>79</v>
      </c>
    </row>
    <row r="26" ht="15.75" customHeight="1">
      <c r="A26" s="93"/>
      <c r="B26" s="93"/>
      <c r="C26" s="92"/>
      <c r="D26" s="2"/>
      <c r="E26" s="2"/>
      <c r="F26" s="107">
        <f>SUM(F17:F25)</f>
        <v>141</v>
      </c>
      <c r="G26" s="108"/>
      <c r="H26" s="109">
        <f>SUM(H17:H25)</f>
        <v>184.97</v>
      </c>
      <c r="I26" s="110">
        <f>IF(H26=-F26, H26, IF(H26&gt;0, H26-F26, H26+F26))</f>
        <v>43.97</v>
      </c>
      <c r="J26" s="2"/>
      <c r="K26" s="92"/>
      <c r="L26" s="2"/>
      <c r="M26" s="2"/>
      <c r="N26" s="107">
        <f>SUM(N17:N25)</f>
        <v>25</v>
      </c>
      <c r="O26" s="108"/>
      <c r="P26" s="109">
        <f>SUM(P17:P25)</f>
        <v>21.1</v>
      </c>
      <c r="Q26" s="110">
        <f>IF(P26=-N26, P26, IF(P26&gt;0, P26-N26, P26+N26))</f>
        <v>-3.9</v>
      </c>
      <c r="R26" s="2"/>
      <c r="S26" s="92"/>
      <c r="T26" s="2"/>
      <c r="U26" s="2"/>
      <c r="V26" s="107">
        <f>SUM(V17:V25)</f>
        <v>123</v>
      </c>
      <c r="W26" s="108"/>
      <c r="X26" s="109">
        <f>SUM(X17:X25)</f>
        <v>207.45</v>
      </c>
      <c r="Y26" s="110">
        <f>IF(X26=-V26, X26, IF(X26&gt;0, X26-V26, X26+V26))</f>
        <v>84.45</v>
      </c>
      <c r="Z26" s="2"/>
      <c r="AA26" s="92"/>
      <c r="AB26" s="2"/>
      <c r="AC26" s="2"/>
      <c r="AD26" s="107">
        <f>SUM(AD17:AD25)</f>
        <v>50</v>
      </c>
      <c r="AE26" s="108"/>
      <c r="AF26" s="109">
        <f>SUM(AF17:AF25)</f>
        <v>0</v>
      </c>
      <c r="AG26" s="110">
        <f>IF(AF26=-AD26, AF26, IF(AF26&gt;0, AF26-AD26, AF26+AD26))</f>
        <v>50</v>
      </c>
      <c r="AH26" s="2"/>
      <c r="AI26" s="92"/>
      <c r="AJ26" s="2"/>
      <c r="AK26" s="2"/>
      <c r="AL26" s="107">
        <f>SUM(AL17:AL25)</f>
        <v>0</v>
      </c>
      <c r="AM26" s="108"/>
      <c r="AN26" s="109">
        <f>SUM(AN17:AN25)</f>
        <v>0</v>
      </c>
      <c r="AO26" s="110">
        <f>IF(AN26=-AL26, AN26, IF(AN26&gt;0, AN26-AL26, AN26+AL26))</f>
        <v>0</v>
      </c>
    </row>
    <row r="27" ht="15.75" customHeight="1">
      <c r="A27" s="93"/>
      <c r="B27" s="9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93"/>
      <c r="AN27" s="93"/>
      <c r="AO27" s="93"/>
    </row>
    <row r="28" ht="15.75" customHeight="1">
      <c r="A28" s="93"/>
      <c r="B28" s="9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93"/>
      <c r="AN28" s="93"/>
      <c r="AO28" s="93"/>
    </row>
    <row r="29" ht="15.75" customHeight="1">
      <c r="A29" s="93"/>
      <c r="B29" s="93"/>
      <c r="C29" s="77" t="s">
        <v>57</v>
      </c>
      <c r="D29" s="5"/>
      <c r="E29" s="5"/>
      <c r="F29" s="5"/>
      <c r="G29" s="5"/>
      <c r="H29" s="51"/>
      <c r="I29" s="93"/>
      <c r="J29" s="2"/>
      <c r="K29" s="77" t="s">
        <v>58</v>
      </c>
      <c r="L29" s="5"/>
      <c r="M29" s="5"/>
      <c r="N29" s="5"/>
      <c r="O29" s="5"/>
      <c r="P29" s="51"/>
      <c r="Q29" s="93"/>
      <c r="R29" s="2"/>
      <c r="S29" s="77" t="s">
        <v>59</v>
      </c>
      <c r="T29" s="5"/>
      <c r="U29" s="5"/>
      <c r="V29" s="5"/>
      <c r="W29" s="5"/>
      <c r="X29" s="51"/>
      <c r="Y29" s="93"/>
      <c r="Z29" s="2"/>
      <c r="AA29" s="77" t="s">
        <v>60</v>
      </c>
      <c r="AB29" s="5"/>
      <c r="AC29" s="5"/>
      <c r="AD29" s="5"/>
      <c r="AE29" s="5"/>
      <c r="AF29" s="51"/>
      <c r="AG29" s="93"/>
      <c r="AH29" s="2"/>
      <c r="AI29" s="77" t="s">
        <v>61</v>
      </c>
      <c r="AJ29" s="5"/>
      <c r="AK29" s="5"/>
      <c r="AL29" s="5"/>
      <c r="AM29" s="5"/>
      <c r="AN29" s="51"/>
      <c r="AO29" s="93"/>
    </row>
    <row r="30" ht="15.75" customHeight="1">
      <c r="A30" s="93"/>
      <c r="B30" s="93"/>
      <c r="C30" s="78"/>
      <c r="D30" s="79" t="s">
        <v>80</v>
      </c>
      <c r="E30" s="79" t="s">
        <v>81</v>
      </c>
      <c r="F30" s="79" t="s">
        <v>82</v>
      </c>
      <c r="G30" s="79" t="s">
        <v>83</v>
      </c>
      <c r="H30" s="80" t="s">
        <v>84</v>
      </c>
      <c r="I30" s="93"/>
      <c r="J30" s="2"/>
      <c r="K30" s="78"/>
      <c r="L30" s="79" t="s">
        <v>80</v>
      </c>
      <c r="M30" s="79" t="s">
        <v>81</v>
      </c>
      <c r="N30" s="79" t="s">
        <v>82</v>
      </c>
      <c r="O30" s="79" t="s">
        <v>83</v>
      </c>
      <c r="P30" s="80" t="s">
        <v>84</v>
      </c>
      <c r="Q30" s="93"/>
      <c r="R30" s="2"/>
      <c r="S30" s="78"/>
      <c r="T30" s="79" t="s">
        <v>80</v>
      </c>
      <c r="U30" s="79" t="s">
        <v>81</v>
      </c>
      <c r="V30" s="79" t="s">
        <v>82</v>
      </c>
      <c r="W30" s="79" t="s">
        <v>83</v>
      </c>
      <c r="X30" s="80" t="s">
        <v>84</v>
      </c>
      <c r="Y30" s="93"/>
      <c r="Z30" s="2"/>
      <c r="AA30" s="78"/>
      <c r="AB30" s="79" t="s">
        <v>80</v>
      </c>
      <c r="AC30" s="79" t="s">
        <v>81</v>
      </c>
      <c r="AD30" s="79" t="s">
        <v>82</v>
      </c>
      <c r="AE30" s="79" t="s">
        <v>83</v>
      </c>
      <c r="AF30" s="80" t="s">
        <v>84</v>
      </c>
      <c r="AG30" s="93"/>
      <c r="AH30" s="2"/>
      <c r="AI30" s="78"/>
      <c r="AJ30" s="79" t="s">
        <v>80</v>
      </c>
      <c r="AK30" s="79" t="s">
        <v>81</v>
      </c>
      <c r="AL30" s="79" t="s">
        <v>82</v>
      </c>
      <c r="AM30" s="79" t="s">
        <v>83</v>
      </c>
      <c r="AN30" s="80" t="s">
        <v>84</v>
      </c>
      <c r="AO30" s="93"/>
    </row>
    <row r="31" ht="15.75" customHeight="1">
      <c r="A31" s="93"/>
      <c r="B31" s="93"/>
      <c r="C31" s="98" t="s">
        <v>33</v>
      </c>
      <c r="D31" s="2"/>
      <c r="E31" s="2"/>
      <c r="F31" s="99"/>
      <c r="G31" s="2"/>
      <c r="H31" s="100"/>
      <c r="I31" s="99"/>
      <c r="J31" s="2"/>
      <c r="K31" s="98" t="s">
        <v>33</v>
      </c>
      <c r="L31" s="2"/>
      <c r="M31" s="2"/>
      <c r="N31" s="99"/>
      <c r="O31" s="2"/>
      <c r="P31" s="100"/>
      <c r="Q31" s="99"/>
      <c r="R31" s="2"/>
      <c r="S31" s="98" t="s">
        <v>33</v>
      </c>
      <c r="T31" s="2"/>
      <c r="U31" s="2"/>
      <c r="V31" s="99"/>
      <c r="W31" s="2"/>
      <c r="X31" s="100"/>
      <c r="Y31" s="99"/>
      <c r="Z31" s="2"/>
      <c r="AA31" s="98" t="s">
        <v>33</v>
      </c>
      <c r="AB31" s="2"/>
      <c r="AC31" s="2"/>
      <c r="AD31" s="99"/>
      <c r="AE31" s="2"/>
      <c r="AF31" s="100"/>
      <c r="AG31" s="99"/>
      <c r="AH31" s="2"/>
      <c r="AI31" s="98" t="s">
        <v>33</v>
      </c>
      <c r="AJ31" s="2"/>
      <c r="AK31" s="2"/>
      <c r="AL31" s="99"/>
      <c r="AM31" s="2"/>
      <c r="AN31" s="100"/>
      <c r="AO31" s="99"/>
    </row>
    <row r="32" ht="15.75" customHeight="1">
      <c r="A32" s="93"/>
      <c r="B32" s="93"/>
      <c r="C32" s="98" t="s">
        <v>36</v>
      </c>
      <c r="D32" s="2"/>
      <c r="E32" s="2"/>
      <c r="F32" s="99"/>
      <c r="G32" s="2"/>
      <c r="H32" s="100"/>
      <c r="I32" s="99"/>
      <c r="J32" s="2"/>
      <c r="K32" s="98" t="s">
        <v>36</v>
      </c>
      <c r="L32" s="2"/>
      <c r="M32" s="2"/>
      <c r="N32" s="99"/>
      <c r="O32" s="2"/>
      <c r="P32" s="100"/>
      <c r="Q32" s="99"/>
      <c r="R32" s="2"/>
      <c r="S32" s="98" t="s">
        <v>36</v>
      </c>
      <c r="T32" s="2"/>
      <c r="U32" s="2"/>
      <c r="V32" s="99"/>
      <c r="W32" s="2"/>
      <c r="X32" s="100"/>
      <c r="Y32" s="99"/>
      <c r="Z32" s="2"/>
      <c r="AA32" s="98" t="s">
        <v>36</v>
      </c>
      <c r="AB32" s="2"/>
      <c r="AC32" s="2"/>
      <c r="AD32" s="99"/>
      <c r="AE32" s="2"/>
      <c r="AF32" s="100"/>
      <c r="AG32" s="99"/>
      <c r="AH32" s="2"/>
      <c r="AI32" s="98" t="s">
        <v>36</v>
      </c>
      <c r="AJ32" s="2"/>
      <c r="AK32" s="2"/>
      <c r="AL32" s="99"/>
      <c r="AM32" s="2"/>
      <c r="AN32" s="100"/>
      <c r="AO32" s="99"/>
    </row>
    <row r="33" ht="15.75" customHeight="1">
      <c r="A33" s="93"/>
      <c r="B33" s="93"/>
      <c r="C33" s="98" t="s">
        <v>41</v>
      </c>
      <c r="D33" s="2"/>
      <c r="E33" s="2"/>
      <c r="F33" s="99"/>
      <c r="G33" s="2"/>
      <c r="H33" s="100"/>
      <c r="I33" s="99"/>
      <c r="J33" s="2"/>
      <c r="K33" s="98" t="s">
        <v>41</v>
      </c>
      <c r="L33" s="2"/>
      <c r="M33" s="2"/>
      <c r="N33" s="99"/>
      <c r="O33" s="2"/>
      <c r="P33" s="100"/>
      <c r="Q33" s="99"/>
      <c r="R33" s="2"/>
      <c r="S33" s="98" t="s">
        <v>41</v>
      </c>
      <c r="T33" s="2"/>
      <c r="U33" s="2"/>
      <c r="V33" s="99"/>
      <c r="W33" s="2"/>
      <c r="X33" s="100"/>
      <c r="Y33" s="99"/>
      <c r="Z33" s="2"/>
      <c r="AA33" s="98" t="s">
        <v>41</v>
      </c>
      <c r="AB33" s="2"/>
      <c r="AC33" s="2"/>
      <c r="AD33" s="99"/>
      <c r="AE33" s="2"/>
      <c r="AF33" s="100"/>
      <c r="AG33" s="99"/>
      <c r="AH33" s="2"/>
      <c r="AI33" s="98" t="s">
        <v>41</v>
      </c>
      <c r="AJ33" s="2"/>
      <c r="AK33" s="2"/>
      <c r="AL33" s="99"/>
      <c r="AM33" s="2"/>
      <c r="AN33" s="100"/>
      <c r="AO33" s="99"/>
    </row>
    <row r="34" ht="15.75" customHeight="1">
      <c r="A34" s="93"/>
      <c r="B34" s="93"/>
      <c r="C34" s="98" t="s">
        <v>44</v>
      </c>
      <c r="D34" s="2"/>
      <c r="E34" s="2"/>
      <c r="F34" s="99"/>
      <c r="G34" s="2"/>
      <c r="H34" s="100"/>
      <c r="I34" s="99"/>
      <c r="J34" s="2"/>
      <c r="K34" s="98" t="s">
        <v>44</v>
      </c>
      <c r="L34" s="2"/>
      <c r="M34" s="2"/>
      <c r="N34" s="99"/>
      <c r="O34" s="2"/>
      <c r="P34" s="100"/>
      <c r="Q34" s="99"/>
      <c r="R34" s="2"/>
      <c r="S34" s="98" t="s">
        <v>44</v>
      </c>
      <c r="T34" s="2"/>
      <c r="U34" s="2"/>
      <c r="V34" s="99"/>
      <c r="W34" s="2"/>
      <c r="X34" s="100"/>
      <c r="Y34" s="99"/>
      <c r="Z34" s="2"/>
      <c r="AA34" s="98" t="s">
        <v>44</v>
      </c>
      <c r="AB34" s="2"/>
      <c r="AC34" s="2"/>
      <c r="AD34" s="99"/>
      <c r="AE34" s="2"/>
      <c r="AF34" s="100"/>
      <c r="AG34" s="99"/>
      <c r="AH34" s="2"/>
      <c r="AI34" s="98" t="s">
        <v>44</v>
      </c>
      <c r="AJ34" s="2"/>
      <c r="AK34" s="2"/>
      <c r="AL34" s="99"/>
      <c r="AM34" s="2"/>
      <c r="AN34" s="100"/>
      <c r="AO34" s="99"/>
    </row>
    <row r="35" ht="15.75" customHeight="1">
      <c r="A35" s="93"/>
      <c r="B35" s="93"/>
      <c r="C35" s="98" t="s">
        <v>46</v>
      </c>
      <c r="D35" s="2"/>
      <c r="E35" s="2"/>
      <c r="F35" s="99"/>
      <c r="G35" s="2"/>
      <c r="H35" s="100"/>
      <c r="I35" s="99"/>
      <c r="J35" s="24"/>
      <c r="K35" s="98" t="s">
        <v>46</v>
      </c>
      <c r="L35" s="2"/>
      <c r="M35" s="2"/>
      <c r="N35" s="99"/>
      <c r="O35" s="2"/>
      <c r="P35" s="100"/>
      <c r="Q35" s="99"/>
      <c r="R35" s="2"/>
      <c r="S35" s="98" t="s">
        <v>46</v>
      </c>
      <c r="T35" s="2"/>
      <c r="U35" s="2"/>
      <c r="V35" s="99"/>
      <c r="W35" s="2"/>
      <c r="X35" s="100"/>
      <c r="Y35" s="99"/>
      <c r="Z35" s="2"/>
      <c r="AA35" s="98" t="s">
        <v>46</v>
      </c>
      <c r="AB35" s="2"/>
      <c r="AC35" s="2"/>
      <c r="AD35" s="99"/>
      <c r="AE35" s="2"/>
      <c r="AF35" s="100"/>
      <c r="AG35" s="99"/>
      <c r="AH35" s="2"/>
      <c r="AI35" s="98" t="s">
        <v>46</v>
      </c>
      <c r="AJ35" s="2"/>
      <c r="AK35" s="2"/>
      <c r="AL35" s="99"/>
      <c r="AM35" s="2"/>
      <c r="AN35" s="100"/>
      <c r="AO35" s="99"/>
    </row>
    <row r="36" ht="15.75" customHeight="1">
      <c r="A36" s="93"/>
      <c r="B36" s="93"/>
      <c r="C36" s="98" t="s">
        <v>50</v>
      </c>
      <c r="D36" s="2"/>
      <c r="E36" s="2"/>
      <c r="F36" s="99"/>
      <c r="G36" s="2"/>
      <c r="H36" s="100"/>
      <c r="I36" s="99"/>
      <c r="J36" s="2"/>
      <c r="K36" s="98" t="s">
        <v>50</v>
      </c>
      <c r="L36" s="2"/>
      <c r="M36" s="2"/>
      <c r="N36" s="99"/>
      <c r="O36" s="2"/>
      <c r="P36" s="100"/>
      <c r="Q36" s="99"/>
      <c r="R36" s="2"/>
      <c r="S36" s="98" t="s">
        <v>50</v>
      </c>
      <c r="T36" s="2"/>
      <c r="U36" s="2"/>
      <c r="V36" s="99"/>
      <c r="W36" s="2"/>
      <c r="X36" s="100"/>
      <c r="Y36" s="99"/>
      <c r="Z36" s="2"/>
      <c r="AA36" s="98" t="s">
        <v>50</v>
      </c>
      <c r="AB36" s="2"/>
      <c r="AC36" s="2"/>
      <c r="AD36" s="99"/>
      <c r="AE36" s="2"/>
      <c r="AF36" s="100"/>
      <c r="AG36" s="99"/>
      <c r="AH36" s="2"/>
      <c r="AI36" s="98" t="s">
        <v>50</v>
      </c>
      <c r="AJ36" s="2"/>
      <c r="AK36" s="2"/>
      <c r="AL36" s="99"/>
      <c r="AM36" s="2"/>
      <c r="AN36" s="100"/>
      <c r="AO36" s="99"/>
    </row>
    <row r="37" ht="15.75" customHeight="1">
      <c r="A37" s="93"/>
      <c r="B37" s="93"/>
      <c r="C37" s="98" t="s">
        <v>52</v>
      </c>
      <c r="D37" s="2"/>
      <c r="E37" s="2"/>
      <c r="F37" s="99"/>
      <c r="G37" s="2"/>
      <c r="H37" s="100"/>
      <c r="I37" s="99"/>
      <c r="J37" s="2"/>
      <c r="K37" s="98" t="s">
        <v>52</v>
      </c>
      <c r="L37" s="2"/>
      <c r="M37" s="2"/>
      <c r="N37" s="99"/>
      <c r="O37" s="2"/>
      <c r="P37" s="100"/>
      <c r="Q37" s="99"/>
      <c r="R37" s="2"/>
      <c r="S37" s="98" t="s">
        <v>52</v>
      </c>
      <c r="T37" s="2"/>
      <c r="U37" s="2"/>
      <c r="V37" s="99"/>
      <c r="W37" s="2"/>
      <c r="X37" s="100"/>
      <c r="Y37" s="99"/>
      <c r="Z37" s="2"/>
      <c r="AA37" s="98" t="s">
        <v>52</v>
      </c>
      <c r="AB37" s="2"/>
      <c r="AC37" s="2"/>
      <c r="AD37" s="99"/>
      <c r="AE37" s="2"/>
      <c r="AF37" s="100"/>
      <c r="AG37" s="99"/>
      <c r="AH37" s="2"/>
      <c r="AI37" s="98" t="s">
        <v>52</v>
      </c>
      <c r="AJ37" s="2"/>
      <c r="AK37" s="2"/>
      <c r="AL37" s="99"/>
      <c r="AM37" s="2"/>
      <c r="AN37" s="100"/>
      <c r="AO37" s="99"/>
    </row>
    <row r="38" ht="15.75" customHeight="1">
      <c r="A38" s="93"/>
      <c r="B38" s="93"/>
      <c r="C38" s="98" t="s">
        <v>53</v>
      </c>
      <c r="D38" s="2"/>
      <c r="E38" s="2"/>
      <c r="F38" s="99"/>
      <c r="G38" s="2"/>
      <c r="H38" s="100"/>
      <c r="I38" s="99"/>
      <c r="J38" s="2"/>
      <c r="K38" s="98" t="s">
        <v>53</v>
      </c>
      <c r="L38" s="2"/>
      <c r="M38" s="2"/>
      <c r="N38" s="99"/>
      <c r="O38" s="2"/>
      <c r="P38" s="100"/>
      <c r="Q38" s="99"/>
      <c r="R38" s="2"/>
      <c r="S38" s="98" t="s">
        <v>53</v>
      </c>
      <c r="T38" s="2"/>
      <c r="U38" s="2"/>
      <c r="V38" s="99"/>
      <c r="W38" s="2"/>
      <c r="X38" s="100"/>
      <c r="Y38" s="99"/>
      <c r="Z38" s="2"/>
      <c r="AA38" s="98" t="s">
        <v>53</v>
      </c>
      <c r="AB38" s="2"/>
      <c r="AC38" s="2"/>
      <c r="AD38" s="99"/>
      <c r="AE38" s="2"/>
      <c r="AF38" s="100"/>
      <c r="AG38" s="99"/>
      <c r="AH38" s="2"/>
      <c r="AI38" s="98" t="s">
        <v>53</v>
      </c>
      <c r="AJ38" s="2"/>
      <c r="AK38" s="2"/>
      <c r="AL38" s="99"/>
      <c r="AM38" s="2"/>
      <c r="AN38" s="100"/>
      <c r="AO38" s="99"/>
    </row>
    <row r="39" ht="15.75" customHeight="1">
      <c r="A39" s="93"/>
      <c r="B39" s="93"/>
      <c r="C39" s="101" t="s">
        <v>54</v>
      </c>
      <c r="D39" s="43"/>
      <c r="E39" s="43"/>
      <c r="F39" s="99"/>
      <c r="G39" s="2"/>
      <c r="H39" s="100"/>
      <c r="I39" s="24" t="s">
        <v>79</v>
      </c>
      <c r="J39" s="2"/>
      <c r="K39" s="101" t="s">
        <v>54</v>
      </c>
      <c r="L39" s="43"/>
      <c r="M39" s="43"/>
      <c r="N39" s="99"/>
      <c r="O39" s="2"/>
      <c r="P39" s="100"/>
      <c r="Q39" s="24" t="s">
        <v>79</v>
      </c>
      <c r="R39" s="2"/>
      <c r="S39" s="101" t="s">
        <v>54</v>
      </c>
      <c r="T39" s="43"/>
      <c r="U39" s="43"/>
      <c r="V39" s="99"/>
      <c r="W39" s="2"/>
      <c r="X39" s="100"/>
      <c r="Y39" s="24" t="s">
        <v>79</v>
      </c>
      <c r="Z39" s="2"/>
      <c r="AA39" s="101" t="s">
        <v>54</v>
      </c>
      <c r="AB39" s="43"/>
      <c r="AC39" s="43"/>
      <c r="AD39" s="99"/>
      <c r="AE39" s="2"/>
      <c r="AF39" s="100"/>
      <c r="AG39" s="24" t="s">
        <v>79</v>
      </c>
      <c r="AH39" s="2"/>
      <c r="AI39" s="101" t="s">
        <v>54</v>
      </c>
      <c r="AJ39" s="43"/>
      <c r="AK39" s="43"/>
      <c r="AL39" s="99"/>
      <c r="AM39" s="2"/>
      <c r="AN39" s="100"/>
      <c r="AO39" s="24" t="s">
        <v>79</v>
      </c>
    </row>
    <row r="40" ht="15.75" customHeight="1">
      <c r="A40" s="93"/>
      <c r="B40" s="93"/>
      <c r="C40" s="92"/>
      <c r="D40" s="2"/>
      <c r="E40" s="2"/>
      <c r="F40" s="107">
        <f>SUM(F31:F39)</f>
        <v>0</v>
      </c>
      <c r="G40" s="108"/>
      <c r="H40" s="109">
        <f>SUM(H31:H39)</f>
        <v>0</v>
      </c>
      <c r="I40" s="110">
        <f>IF(H40=-F40, H40, IF(H40&gt;0, H40-F40, H40+F40))</f>
        <v>0</v>
      </c>
      <c r="J40" s="2"/>
      <c r="K40" s="92"/>
      <c r="L40" s="2"/>
      <c r="M40" s="2"/>
      <c r="N40" s="107">
        <f>SUM(N31:N39)</f>
        <v>0</v>
      </c>
      <c r="O40" s="108"/>
      <c r="P40" s="109">
        <f>SUM(P31:P39)</f>
        <v>0</v>
      </c>
      <c r="Q40" s="110">
        <f>IF(P40=-N40, P40, IF(P40&gt;0, P40-N40, P40+N40))</f>
        <v>0</v>
      </c>
      <c r="R40" s="2"/>
      <c r="S40" s="92"/>
      <c r="T40" s="2"/>
      <c r="U40" s="2"/>
      <c r="V40" s="107">
        <f>SUM(V31:V39)</f>
        <v>0</v>
      </c>
      <c r="W40" s="108"/>
      <c r="X40" s="109">
        <f>SUM(X31:X39)</f>
        <v>0</v>
      </c>
      <c r="Y40" s="110">
        <f>IF(X40=-V40, X40, IF(X40&gt;0, X40-V40, X40+V40))</f>
        <v>0</v>
      </c>
      <c r="Z40" s="2"/>
      <c r="AA40" s="92"/>
      <c r="AB40" s="2"/>
      <c r="AC40" s="2"/>
      <c r="AD40" s="107">
        <f>SUM(AD31:AD39)</f>
        <v>0</v>
      </c>
      <c r="AE40" s="108"/>
      <c r="AF40" s="109">
        <f>SUM(AF31:AF39)</f>
        <v>0</v>
      </c>
      <c r="AG40" s="110">
        <f>IF(AF40=-AD40, AF40, IF(AF40&gt;0, AF40-AD40, AF40+AD40))</f>
        <v>0</v>
      </c>
      <c r="AH40" s="2"/>
      <c r="AI40" s="92"/>
      <c r="AJ40" s="2"/>
      <c r="AK40" s="2"/>
      <c r="AL40" s="107">
        <f>SUM(AL31:AL39)</f>
        <v>0</v>
      </c>
      <c r="AM40" s="108"/>
      <c r="AN40" s="109">
        <f>SUM(AN31:AN39)</f>
        <v>0</v>
      </c>
      <c r="AO40" s="110">
        <f>IF(AN40=-AL40, AN40, IF(AN40&gt;0, AN40-AL40, AN40+AL40))</f>
        <v>0</v>
      </c>
    </row>
    <row r="41" ht="15.75" customHeight="1">
      <c r="A41" s="93"/>
      <c r="B41" s="93"/>
      <c r="C41" s="92"/>
      <c r="D41" s="2"/>
      <c r="E41" s="2"/>
      <c r="F41" s="2"/>
      <c r="G41" s="2"/>
      <c r="H41" s="2"/>
      <c r="I41" s="2"/>
      <c r="J41" s="2"/>
      <c r="K41" s="92"/>
      <c r="L41" s="2"/>
      <c r="M41" s="2"/>
      <c r="N41" s="2"/>
      <c r="O41" s="2"/>
      <c r="P41" s="2"/>
      <c r="Q41" s="2"/>
      <c r="R41" s="2"/>
      <c r="S41" s="92"/>
      <c r="T41" s="2"/>
      <c r="U41" s="2"/>
      <c r="V41" s="2"/>
      <c r="W41" s="2"/>
      <c r="X41" s="2"/>
      <c r="Y41" s="2"/>
      <c r="Z41" s="2"/>
      <c r="AA41" s="92"/>
      <c r="AB41" s="2"/>
      <c r="AC41" s="2"/>
      <c r="AD41" s="2"/>
      <c r="AE41" s="2"/>
      <c r="AF41" s="2"/>
      <c r="AG41" s="2"/>
      <c r="AH41" s="2"/>
      <c r="AI41" s="92"/>
      <c r="AJ41" s="2"/>
      <c r="AK41" s="2"/>
      <c r="AL41" s="2"/>
      <c r="AM41" s="93"/>
      <c r="AN41" s="93"/>
      <c r="AO41" s="93"/>
    </row>
    <row r="42" ht="15.75" customHeight="1">
      <c r="A42" s="93"/>
      <c r="B42" s="93"/>
      <c r="C42" s="92"/>
      <c r="D42" s="2"/>
      <c r="E42" s="2"/>
      <c r="F42" s="2"/>
      <c r="G42" s="2"/>
      <c r="H42" s="2"/>
      <c r="I42" s="2"/>
      <c r="J42" s="2"/>
      <c r="K42" s="92"/>
      <c r="L42" s="2"/>
      <c r="M42" s="2"/>
      <c r="N42" s="2"/>
      <c r="O42" s="2"/>
      <c r="P42" s="2"/>
      <c r="Q42" s="2"/>
      <c r="R42" s="2"/>
      <c r="S42" s="92"/>
      <c r="T42" s="2"/>
      <c r="U42" s="2"/>
      <c r="V42" s="2"/>
      <c r="W42" s="2"/>
      <c r="X42" s="2"/>
      <c r="Y42" s="2"/>
      <c r="Z42" s="2"/>
      <c r="AA42" s="92"/>
      <c r="AB42" s="2"/>
      <c r="AC42" s="2"/>
      <c r="AD42" s="2"/>
      <c r="AE42" s="2"/>
      <c r="AF42" s="2"/>
      <c r="AG42" s="2"/>
      <c r="AH42" s="2"/>
      <c r="AI42" s="92"/>
      <c r="AJ42" s="2"/>
      <c r="AK42" s="2"/>
      <c r="AL42" s="2"/>
      <c r="AM42" s="93"/>
      <c r="AN42" s="93"/>
      <c r="AO42" s="93"/>
    </row>
    <row r="43" ht="15.75" customHeight="1">
      <c r="A43" s="93"/>
      <c r="B43" s="9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93"/>
      <c r="AN43" s="93"/>
      <c r="AO43" s="93"/>
    </row>
    <row r="44" ht="15.75" customHeight="1">
      <c r="A44" s="93"/>
      <c r="B44" s="93"/>
      <c r="C44" s="77" t="s">
        <v>62</v>
      </c>
      <c r="D44" s="5"/>
      <c r="E44" s="5"/>
      <c r="F44" s="5"/>
      <c r="G44" s="5"/>
      <c r="H44" s="51"/>
      <c r="I44" s="93"/>
      <c r="J44" s="2"/>
      <c r="K44" s="77" t="s">
        <v>63</v>
      </c>
      <c r="L44" s="5"/>
      <c r="M44" s="5"/>
      <c r="N44" s="5"/>
      <c r="O44" s="5"/>
      <c r="P44" s="51"/>
      <c r="Q44" s="93"/>
      <c r="R44" s="2"/>
      <c r="S44" s="77" t="s">
        <v>64</v>
      </c>
      <c r="T44" s="5"/>
      <c r="U44" s="5"/>
      <c r="V44" s="5"/>
      <c r="W44" s="5"/>
      <c r="X44" s="51"/>
      <c r="Y44" s="93"/>
      <c r="Z44" s="2"/>
      <c r="AA44" s="77" t="s">
        <v>65</v>
      </c>
      <c r="AB44" s="5"/>
      <c r="AC44" s="5"/>
      <c r="AD44" s="5"/>
      <c r="AE44" s="5"/>
      <c r="AF44" s="51"/>
      <c r="AG44" s="93"/>
      <c r="AH44" s="2"/>
      <c r="AI44" s="77" t="s">
        <v>66</v>
      </c>
      <c r="AJ44" s="5"/>
      <c r="AK44" s="5"/>
      <c r="AL44" s="5"/>
      <c r="AM44" s="5"/>
      <c r="AN44" s="51"/>
      <c r="AO44" s="93"/>
    </row>
    <row r="45" ht="15.75" customHeight="1">
      <c r="A45" s="93"/>
      <c r="B45" s="93"/>
      <c r="C45" s="78"/>
      <c r="D45" s="79" t="s">
        <v>80</v>
      </c>
      <c r="E45" s="79" t="s">
        <v>81</v>
      </c>
      <c r="F45" s="79" t="s">
        <v>82</v>
      </c>
      <c r="G45" s="79" t="s">
        <v>83</v>
      </c>
      <c r="H45" s="80" t="s">
        <v>84</v>
      </c>
      <c r="I45" s="93"/>
      <c r="J45" s="2"/>
      <c r="K45" s="78"/>
      <c r="L45" s="79" t="s">
        <v>80</v>
      </c>
      <c r="M45" s="79" t="s">
        <v>81</v>
      </c>
      <c r="N45" s="79" t="s">
        <v>82</v>
      </c>
      <c r="O45" s="79" t="s">
        <v>83</v>
      </c>
      <c r="P45" s="80" t="s">
        <v>84</v>
      </c>
      <c r="Q45" s="93"/>
      <c r="R45" s="2"/>
      <c r="S45" s="78"/>
      <c r="T45" s="79" t="s">
        <v>80</v>
      </c>
      <c r="U45" s="79" t="s">
        <v>81</v>
      </c>
      <c r="V45" s="79" t="s">
        <v>82</v>
      </c>
      <c r="W45" s="79" t="s">
        <v>83</v>
      </c>
      <c r="X45" s="80" t="s">
        <v>84</v>
      </c>
      <c r="Y45" s="93"/>
      <c r="Z45" s="2"/>
      <c r="AA45" s="78"/>
      <c r="AB45" s="79" t="s">
        <v>80</v>
      </c>
      <c r="AC45" s="79" t="s">
        <v>81</v>
      </c>
      <c r="AD45" s="79" t="s">
        <v>82</v>
      </c>
      <c r="AE45" s="79" t="s">
        <v>83</v>
      </c>
      <c r="AF45" s="80" t="s">
        <v>84</v>
      </c>
      <c r="AG45" s="93"/>
      <c r="AH45" s="2"/>
      <c r="AI45" s="78"/>
      <c r="AJ45" s="79" t="s">
        <v>80</v>
      </c>
      <c r="AK45" s="79" t="s">
        <v>81</v>
      </c>
      <c r="AL45" s="79" t="s">
        <v>82</v>
      </c>
      <c r="AM45" s="79" t="s">
        <v>83</v>
      </c>
      <c r="AN45" s="80" t="s">
        <v>84</v>
      </c>
      <c r="AO45" s="93"/>
    </row>
    <row r="46" ht="15.75" customHeight="1">
      <c r="A46" s="93"/>
      <c r="B46" s="93"/>
      <c r="C46" s="98" t="s">
        <v>33</v>
      </c>
      <c r="D46" s="2"/>
      <c r="E46" s="2"/>
      <c r="F46" s="99"/>
      <c r="G46" s="2"/>
      <c r="H46" s="100"/>
      <c r="I46" s="99"/>
      <c r="J46" s="2"/>
      <c r="K46" s="98" t="s">
        <v>33</v>
      </c>
      <c r="L46" s="2"/>
      <c r="M46" s="2"/>
      <c r="N46" s="99"/>
      <c r="O46" s="2"/>
      <c r="P46" s="100"/>
      <c r="Q46" s="99"/>
      <c r="R46" s="2"/>
      <c r="S46" s="98" t="s">
        <v>33</v>
      </c>
      <c r="T46" s="2"/>
      <c r="U46" s="2"/>
      <c r="V46" s="99"/>
      <c r="W46" s="2"/>
      <c r="X46" s="100"/>
      <c r="Y46" s="99"/>
      <c r="Z46" s="2"/>
      <c r="AA46" s="98" t="s">
        <v>33</v>
      </c>
      <c r="AB46" s="2"/>
      <c r="AC46" s="2"/>
      <c r="AD46" s="99"/>
      <c r="AE46" s="2"/>
      <c r="AF46" s="100"/>
      <c r="AG46" s="99"/>
      <c r="AH46" s="2"/>
      <c r="AI46" s="98" t="s">
        <v>33</v>
      </c>
      <c r="AJ46" s="2"/>
      <c r="AK46" s="2"/>
      <c r="AL46" s="99"/>
      <c r="AM46" s="2"/>
      <c r="AN46" s="100"/>
      <c r="AO46" s="99"/>
    </row>
    <row r="47" ht="15.75" customHeight="1">
      <c r="A47" s="93"/>
      <c r="B47" s="93"/>
      <c r="C47" s="98" t="s">
        <v>36</v>
      </c>
      <c r="D47" s="2"/>
      <c r="E47" s="2"/>
      <c r="F47" s="99"/>
      <c r="G47" s="2"/>
      <c r="H47" s="100"/>
      <c r="I47" s="99"/>
      <c r="J47" s="2"/>
      <c r="K47" s="98" t="s">
        <v>36</v>
      </c>
      <c r="L47" s="2"/>
      <c r="M47" s="2"/>
      <c r="N47" s="99"/>
      <c r="O47" s="2"/>
      <c r="P47" s="100"/>
      <c r="Q47" s="99"/>
      <c r="R47" s="2"/>
      <c r="S47" s="98" t="s">
        <v>36</v>
      </c>
      <c r="T47" s="2"/>
      <c r="U47" s="2"/>
      <c r="V47" s="99"/>
      <c r="W47" s="2"/>
      <c r="X47" s="100"/>
      <c r="Y47" s="99"/>
      <c r="Z47" s="2"/>
      <c r="AA47" s="98" t="s">
        <v>36</v>
      </c>
      <c r="AB47" s="2"/>
      <c r="AC47" s="2"/>
      <c r="AD47" s="99"/>
      <c r="AE47" s="2"/>
      <c r="AF47" s="100"/>
      <c r="AG47" s="99"/>
      <c r="AH47" s="2"/>
      <c r="AI47" s="98" t="s">
        <v>36</v>
      </c>
      <c r="AJ47" s="2"/>
      <c r="AK47" s="2"/>
      <c r="AL47" s="99"/>
      <c r="AM47" s="2"/>
      <c r="AN47" s="100"/>
      <c r="AO47" s="99"/>
    </row>
    <row r="48" ht="15.75" customHeight="1">
      <c r="A48" s="93"/>
      <c r="B48" s="93"/>
      <c r="C48" s="98" t="s">
        <v>41</v>
      </c>
      <c r="D48" s="2"/>
      <c r="E48" s="2"/>
      <c r="F48" s="99"/>
      <c r="G48" s="2"/>
      <c r="H48" s="100"/>
      <c r="I48" s="99"/>
      <c r="J48" s="2"/>
      <c r="K48" s="98" t="s">
        <v>41</v>
      </c>
      <c r="L48" s="2"/>
      <c r="M48" s="2"/>
      <c r="N48" s="99"/>
      <c r="O48" s="2"/>
      <c r="P48" s="100"/>
      <c r="Q48" s="99"/>
      <c r="R48" s="2"/>
      <c r="S48" s="98" t="s">
        <v>41</v>
      </c>
      <c r="T48" s="2"/>
      <c r="U48" s="2"/>
      <c r="V48" s="99"/>
      <c r="W48" s="2"/>
      <c r="X48" s="100"/>
      <c r="Y48" s="99"/>
      <c r="Z48" s="2"/>
      <c r="AA48" s="98" t="s">
        <v>41</v>
      </c>
      <c r="AB48" s="2"/>
      <c r="AC48" s="2"/>
      <c r="AD48" s="99"/>
      <c r="AE48" s="2"/>
      <c r="AF48" s="100"/>
      <c r="AG48" s="99"/>
      <c r="AH48" s="2"/>
      <c r="AI48" s="98" t="s">
        <v>41</v>
      </c>
      <c r="AJ48" s="2"/>
      <c r="AK48" s="2"/>
      <c r="AL48" s="99"/>
      <c r="AM48" s="2"/>
      <c r="AN48" s="100"/>
      <c r="AO48" s="99"/>
    </row>
    <row r="49" ht="15.75" customHeight="1">
      <c r="A49" s="93"/>
      <c r="B49" s="93"/>
      <c r="C49" s="98" t="s">
        <v>44</v>
      </c>
      <c r="D49" s="2"/>
      <c r="E49" s="2"/>
      <c r="F49" s="99"/>
      <c r="G49" s="2"/>
      <c r="H49" s="100"/>
      <c r="I49" s="99"/>
      <c r="J49" s="2"/>
      <c r="K49" s="98" t="s">
        <v>44</v>
      </c>
      <c r="L49" s="2"/>
      <c r="M49" s="2"/>
      <c r="N49" s="99"/>
      <c r="O49" s="2"/>
      <c r="P49" s="100"/>
      <c r="Q49" s="99"/>
      <c r="R49" s="2"/>
      <c r="S49" s="98" t="s">
        <v>44</v>
      </c>
      <c r="T49" s="2"/>
      <c r="U49" s="2"/>
      <c r="V49" s="99"/>
      <c r="W49" s="2"/>
      <c r="X49" s="100"/>
      <c r="Y49" s="99"/>
      <c r="Z49" s="2"/>
      <c r="AA49" s="98" t="s">
        <v>44</v>
      </c>
      <c r="AB49" s="2"/>
      <c r="AC49" s="2"/>
      <c r="AD49" s="99"/>
      <c r="AE49" s="2"/>
      <c r="AF49" s="100"/>
      <c r="AG49" s="99"/>
      <c r="AH49" s="2"/>
      <c r="AI49" s="98" t="s">
        <v>44</v>
      </c>
      <c r="AJ49" s="2"/>
      <c r="AK49" s="2"/>
      <c r="AL49" s="99"/>
      <c r="AM49" s="2"/>
      <c r="AN49" s="100"/>
      <c r="AO49" s="99"/>
    </row>
    <row r="50" ht="15.75" customHeight="1">
      <c r="A50" s="93"/>
      <c r="B50" s="93"/>
      <c r="C50" s="98" t="s">
        <v>46</v>
      </c>
      <c r="D50" s="2"/>
      <c r="E50" s="2"/>
      <c r="F50" s="99"/>
      <c r="G50" s="2"/>
      <c r="H50" s="100"/>
      <c r="I50" s="99"/>
      <c r="J50" s="24"/>
      <c r="K50" s="98" t="s">
        <v>46</v>
      </c>
      <c r="L50" s="2"/>
      <c r="M50" s="2"/>
      <c r="N50" s="99"/>
      <c r="O50" s="2"/>
      <c r="P50" s="100"/>
      <c r="Q50" s="99"/>
      <c r="R50" s="2"/>
      <c r="S50" s="98" t="s">
        <v>46</v>
      </c>
      <c r="T50" s="2"/>
      <c r="U50" s="2"/>
      <c r="V50" s="99"/>
      <c r="W50" s="2"/>
      <c r="X50" s="100"/>
      <c r="Y50" s="99"/>
      <c r="Z50" s="2"/>
      <c r="AA50" s="98" t="s">
        <v>46</v>
      </c>
      <c r="AB50" s="2"/>
      <c r="AC50" s="2"/>
      <c r="AD50" s="99"/>
      <c r="AE50" s="2"/>
      <c r="AF50" s="100"/>
      <c r="AG50" s="99"/>
      <c r="AH50" s="2"/>
      <c r="AI50" s="98" t="s">
        <v>46</v>
      </c>
      <c r="AJ50" s="2"/>
      <c r="AK50" s="2"/>
      <c r="AL50" s="99"/>
      <c r="AM50" s="2"/>
      <c r="AN50" s="100"/>
      <c r="AO50" s="99"/>
    </row>
    <row r="51" ht="15.75" customHeight="1">
      <c r="A51" s="93"/>
      <c r="B51" s="93"/>
      <c r="C51" s="98" t="s">
        <v>50</v>
      </c>
      <c r="D51" s="2"/>
      <c r="E51" s="2"/>
      <c r="F51" s="99"/>
      <c r="G51" s="2"/>
      <c r="H51" s="100"/>
      <c r="I51" s="99"/>
      <c r="J51" s="2"/>
      <c r="K51" s="98" t="s">
        <v>50</v>
      </c>
      <c r="L51" s="2"/>
      <c r="M51" s="2"/>
      <c r="N51" s="99"/>
      <c r="O51" s="2"/>
      <c r="P51" s="100"/>
      <c r="Q51" s="99"/>
      <c r="R51" s="2"/>
      <c r="S51" s="98" t="s">
        <v>50</v>
      </c>
      <c r="T51" s="2"/>
      <c r="U51" s="2"/>
      <c r="V51" s="99"/>
      <c r="W51" s="2"/>
      <c r="X51" s="100"/>
      <c r="Y51" s="99"/>
      <c r="Z51" s="2"/>
      <c r="AA51" s="98" t="s">
        <v>50</v>
      </c>
      <c r="AB51" s="2"/>
      <c r="AC51" s="2"/>
      <c r="AD51" s="99"/>
      <c r="AE51" s="2"/>
      <c r="AF51" s="100"/>
      <c r="AG51" s="99"/>
      <c r="AH51" s="2"/>
      <c r="AI51" s="98" t="s">
        <v>50</v>
      </c>
      <c r="AJ51" s="2"/>
      <c r="AK51" s="2"/>
      <c r="AL51" s="99"/>
      <c r="AM51" s="2"/>
      <c r="AN51" s="100"/>
      <c r="AO51" s="99"/>
    </row>
    <row r="52" ht="15.75" customHeight="1">
      <c r="A52" s="93"/>
      <c r="B52" s="93"/>
      <c r="C52" s="98" t="s">
        <v>52</v>
      </c>
      <c r="D52" s="2"/>
      <c r="E52" s="2"/>
      <c r="F52" s="99"/>
      <c r="G52" s="2"/>
      <c r="H52" s="100"/>
      <c r="I52" s="99"/>
      <c r="J52" s="2"/>
      <c r="K52" s="98" t="s">
        <v>52</v>
      </c>
      <c r="L52" s="2"/>
      <c r="M52" s="2"/>
      <c r="N52" s="99"/>
      <c r="O52" s="2"/>
      <c r="P52" s="100"/>
      <c r="Q52" s="99"/>
      <c r="R52" s="2"/>
      <c r="S52" s="98" t="s">
        <v>52</v>
      </c>
      <c r="T52" s="2"/>
      <c r="U52" s="2"/>
      <c r="V52" s="99"/>
      <c r="W52" s="2"/>
      <c r="X52" s="100"/>
      <c r="Y52" s="99"/>
      <c r="Z52" s="2"/>
      <c r="AA52" s="98" t="s">
        <v>52</v>
      </c>
      <c r="AB52" s="2"/>
      <c r="AC52" s="2"/>
      <c r="AD52" s="99"/>
      <c r="AE52" s="2"/>
      <c r="AF52" s="100"/>
      <c r="AG52" s="99"/>
      <c r="AH52" s="2"/>
      <c r="AI52" s="98" t="s">
        <v>52</v>
      </c>
      <c r="AJ52" s="2"/>
      <c r="AK52" s="2"/>
      <c r="AL52" s="99"/>
      <c r="AM52" s="2"/>
      <c r="AN52" s="100"/>
      <c r="AO52" s="99"/>
    </row>
    <row r="53" ht="15.75" customHeight="1">
      <c r="A53" s="93"/>
      <c r="B53" s="93"/>
      <c r="C53" s="98" t="s">
        <v>53</v>
      </c>
      <c r="D53" s="2"/>
      <c r="E53" s="2"/>
      <c r="F53" s="99"/>
      <c r="G53" s="2"/>
      <c r="H53" s="100"/>
      <c r="I53" s="99"/>
      <c r="J53" s="2"/>
      <c r="K53" s="98" t="s">
        <v>53</v>
      </c>
      <c r="L53" s="2"/>
      <c r="M53" s="2"/>
      <c r="N53" s="99"/>
      <c r="O53" s="2"/>
      <c r="P53" s="100"/>
      <c r="Q53" s="99"/>
      <c r="R53" s="2"/>
      <c r="S53" s="98" t="s">
        <v>53</v>
      </c>
      <c r="T53" s="2"/>
      <c r="U53" s="2"/>
      <c r="V53" s="99"/>
      <c r="W53" s="2"/>
      <c r="X53" s="100"/>
      <c r="Y53" s="99"/>
      <c r="Z53" s="2"/>
      <c r="AA53" s="98" t="s">
        <v>53</v>
      </c>
      <c r="AB53" s="2"/>
      <c r="AC53" s="2"/>
      <c r="AD53" s="99"/>
      <c r="AE53" s="2"/>
      <c r="AF53" s="100"/>
      <c r="AG53" s="99"/>
      <c r="AH53" s="2"/>
      <c r="AI53" s="98" t="s">
        <v>53</v>
      </c>
      <c r="AJ53" s="2"/>
      <c r="AK53" s="2"/>
      <c r="AL53" s="99"/>
      <c r="AM53" s="2"/>
      <c r="AN53" s="100"/>
      <c r="AO53" s="99"/>
    </row>
    <row r="54" ht="15.75" customHeight="1">
      <c r="A54" s="93"/>
      <c r="B54" s="93"/>
      <c r="C54" s="101" t="s">
        <v>54</v>
      </c>
      <c r="D54" s="43"/>
      <c r="E54" s="43"/>
      <c r="F54" s="99"/>
      <c r="G54" s="2"/>
      <c r="H54" s="100"/>
      <c r="I54" s="24" t="s">
        <v>79</v>
      </c>
      <c r="J54" s="2"/>
      <c r="K54" s="101" t="s">
        <v>54</v>
      </c>
      <c r="L54" s="43"/>
      <c r="M54" s="43"/>
      <c r="N54" s="99"/>
      <c r="O54" s="2"/>
      <c r="P54" s="100"/>
      <c r="Q54" s="24" t="s">
        <v>79</v>
      </c>
      <c r="R54" s="2"/>
      <c r="S54" s="101" t="s">
        <v>54</v>
      </c>
      <c r="T54" s="43"/>
      <c r="U54" s="43"/>
      <c r="V54" s="99"/>
      <c r="W54" s="2"/>
      <c r="X54" s="100"/>
      <c r="Y54" s="24" t="s">
        <v>79</v>
      </c>
      <c r="Z54" s="2"/>
      <c r="AA54" s="101" t="s">
        <v>54</v>
      </c>
      <c r="AB54" s="43"/>
      <c r="AC54" s="43"/>
      <c r="AD54" s="99"/>
      <c r="AE54" s="2"/>
      <c r="AF54" s="100"/>
      <c r="AG54" s="24" t="s">
        <v>79</v>
      </c>
      <c r="AH54" s="2"/>
      <c r="AI54" s="101" t="s">
        <v>54</v>
      </c>
      <c r="AJ54" s="43"/>
      <c r="AK54" s="43"/>
      <c r="AL54" s="99"/>
      <c r="AM54" s="2"/>
      <c r="AN54" s="100"/>
      <c r="AO54" s="24" t="s">
        <v>79</v>
      </c>
    </row>
    <row r="55" ht="15.75" customHeight="1">
      <c r="A55" s="93"/>
      <c r="B55" s="93"/>
      <c r="C55" s="92"/>
      <c r="D55" s="2"/>
      <c r="E55" s="2"/>
      <c r="F55" s="107">
        <f>SUM(F46:F54)</f>
        <v>0</v>
      </c>
      <c r="G55" s="108"/>
      <c r="H55" s="109">
        <f>SUM(H46:H54)</f>
        <v>0</v>
      </c>
      <c r="I55" s="110">
        <f>IF(H55=-F55, H55, IF(H55&gt;0, H55-F55, H55+F55))</f>
        <v>0</v>
      </c>
      <c r="J55" s="2"/>
      <c r="K55" s="92"/>
      <c r="L55" s="2"/>
      <c r="M55" s="2"/>
      <c r="N55" s="107">
        <f>SUM(N46:N54)</f>
        <v>0</v>
      </c>
      <c r="O55" s="108"/>
      <c r="P55" s="109">
        <f>SUM(P46:P54)</f>
        <v>0</v>
      </c>
      <c r="Q55" s="110">
        <f>IF(P55=-N55, P55, IF(P55&gt;0, P55-N55, P55+N55))</f>
        <v>0</v>
      </c>
      <c r="R55" s="2"/>
      <c r="S55" s="92"/>
      <c r="T55" s="2"/>
      <c r="U55" s="2"/>
      <c r="V55" s="107">
        <f>SUM(V46:V54)</f>
        <v>0</v>
      </c>
      <c r="W55" s="108"/>
      <c r="X55" s="109">
        <f>SUM(X46:X54)</f>
        <v>0</v>
      </c>
      <c r="Y55" s="110">
        <f>IF(X55=-V55, X55, IF(X55&gt;0, X55-V55, X55+V55))</f>
        <v>0</v>
      </c>
      <c r="Z55" s="2"/>
      <c r="AA55" s="92"/>
      <c r="AB55" s="2"/>
      <c r="AC55" s="2"/>
      <c r="AD55" s="107">
        <f>SUM(AD46:AD54)</f>
        <v>0</v>
      </c>
      <c r="AE55" s="108"/>
      <c r="AF55" s="109">
        <f>SUM(AF46:AF54)</f>
        <v>0</v>
      </c>
      <c r="AG55" s="110">
        <f>IF(AF55=-AD55, AF55, IF(AF55&gt;0, AF55-AD55, AF55+AD55))</f>
        <v>0</v>
      </c>
      <c r="AH55" s="2"/>
      <c r="AI55" s="92"/>
      <c r="AJ55" s="2"/>
      <c r="AK55" s="2"/>
      <c r="AL55" s="107">
        <f>SUM(AL46:AL54)</f>
        <v>0</v>
      </c>
      <c r="AM55" s="108"/>
      <c r="AN55" s="109">
        <f>SUM(AN46:AN54)</f>
        <v>0</v>
      </c>
      <c r="AO55" s="110">
        <f>IF(AN55=-AL55, AN55, IF(AN55&gt;0, AN55-AL55, AN55+AL55))</f>
        <v>0</v>
      </c>
    </row>
    <row r="56" ht="15.75" customHeight="1">
      <c r="A56" s="93"/>
      <c r="B56" s="93"/>
      <c r="C56" s="92"/>
      <c r="D56" s="2"/>
      <c r="E56" s="2"/>
      <c r="F56" s="99"/>
      <c r="G56" s="2"/>
      <c r="H56" s="99"/>
      <c r="I56" s="99"/>
      <c r="J56" s="2"/>
      <c r="K56" s="92"/>
      <c r="L56" s="2"/>
      <c r="M56" s="2"/>
      <c r="N56" s="99"/>
      <c r="O56" s="2"/>
      <c r="P56" s="99"/>
      <c r="Q56" s="99"/>
      <c r="R56" s="2"/>
      <c r="S56" s="92"/>
      <c r="T56" s="2"/>
      <c r="U56" s="2"/>
      <c r="V56" s="99"/>
      <c r="W56" s="2"/>
      <c r="X56" s="99"/>
      <c r="Y56" s="99"/>
      <c r="Z56" s="2"/>
      <c r="AA56" s="92"/>
      <c r="AB56" s="2"/>
      <c r="AC56" s="2"/>
      <c r="AD56" s="99"/>
      <c r="AE56" s="2"/>
      <c r="AF56" s="99"/>
      <c r="AG56" s="99"/>
      <c r="AH56" s="2"/>
      <c r="AI56" s="92"/>
      <c r="AJ56" s="2"/>
      <c r="AK56" s="2"/>
      <c r="AL56" s="99"/>
      <c r="AM56" s="2"/>
      <c r="AN56" s="99"/>
      <c r="AO56" s="99"/>
    </row>
    <row r="57" ht="15.75" customHeight="1">
      <c r="A57" s="93"/>
      <c r="B57" s="93"/>
      <c r="C57" s="92"/>
      <c r="D57" s="2"/>
      <c r="E57" s="2"/>
      <c r="F57" s="99"/>
      <c r="G57" s="2"/>
      <c r="H57" s="99"/>
      <c r="I57" s="99"/>
      <c r="J57" s="2"/>
      <c r="K57" s="92"/>
      <c r="L57" s="2"/>
      <c r="M57" s="2"/>
      <c r="N57" s="99"/>
      <c r="O57" s="2"/>
      <c r="P57" s="99"/>
      <c r="Q57" s="99"/>
      <c r="R57" s="2"/>
      <c r="S57" s="92"/>
      <c r="T57" s="2"/>
      <c r="U57" s="2"/>
      <c r="V57" s="99"/>
      <c r="W57" s="2"/>
      <c r="X57" s="99"/>
      <c r="Y57" s="99"/>
      <c r="Z57" s="2"/>
      <c r="AA57" s="92"/>
      <c r="AB57" s="2"/>
      <c r="AC57" s="2"/>
      <c r="AD57" s="99"/>
      <c r="AE57" s="2"/>
      <c r="AF57" s="99"/>
      <c r="AG57" s="99"/>
      <c r="AH57" s="2"/>
      <c r="AI57" s="92"/>
      <c r="AJ57" s="2"/>
      <c r="AK57" s="2"/>
      <c r="AL57" s="99"/>
      <c r="AM57" s="2"/>
      <c r="AN57" s="99"/>
      <c r="AO57" s="99"/>
    </row>
    <row r="58" ht="15.75" customHeight="1">
      <c r="A58" s="93"/>
      <c r="B58" s="93"/>
      <c r="C58" s="77" t="s">
        <v>67</v>
      </c>
      <c r="D58" s="5"/>
      <c r="E58" s="5"/>
      <c r="F58" s="5"/>
      <c r="G58" s="5"/>
      <c r="H58" s="51"/>
      <c r="I58" s="93"/>
      <c r="J58" s="2"/>
      <c r="K58" s="77" t="s">
        <v>68</v>
      </c>
      <c r="L58" s="5"/>
      <c r="M58" s="5"/>
      <c r="N58" s="5"/>
      <c r="O58" s="5"/>
      <c r="P58" s="51"/>
      <c r="Q58" s="93"/>
      <c r="R58" s="2"/>
      <c r="S58" s="77" t="s">
        <v>69</v>
      </c>
      <c r="T58" s="5"/>
      <c r="U58" s="5"/>
      <c r="V58" s="5"/>
      <c r="W58" s="5"/>
      <c r="X58" s="51"/>
      <c r="Y58" s="93"/>
      <c r="Z58" s="2"/>
      <c r="AA58" s="77" t="s">
        <v>70</v>
      </c>
      <c r="AB58" s="5"/>
      <c r="AC58" s="5"/>
      <c r="AD58" s="5"/>
      <c r="AE58" s="5"/>
      <c r="AF58" s="51"/>
      <c r="AG58" s="93"/>
      <c r="AH58" s="2"/>
      <c r="AI58" s="77" t="s">
        <v>71</v>
      </c>
      <c r="AJ58" s="5"/>
      <c r="AK58" s="5"/>
      <c r="AL58" s="5"/>
      <c r="AM58" s="5"/>
      <c r="AN58" s="51"/>
      <c r="AO58" s="93"/>
    </row>
    <row r="59" ht="15.75" customHeight="1">
      <c r="A59" s="93"/>
      <c r="B59" s="93"/>
      <c r="C59" s="78"/>
      <c r="D59" s="79" t="s">
        <v>80</v>
      </c>
      <c r="E59" s="79" t="s">
        <v>81</v>
      </c>
      <c r="F59" s="79" t="s">
        <v>82</v>
      </c>
      <c r="G59" s="79" t="s">
        <v>83</v>
      </c>
      <c r="H59" s="80" t="s">
        <v>84</v>
      </c>
      <c r="I59" s="93"/>
      <c r="J59" s="2"/>
      <c r="K59" s="78"/>
      <c r="L59" s="79" t="s">
        <v>80</v>
      </c>
      <c r="M59" s="79" t="s">
        <v>81</v>
      </c>
      <c r="N59" s="79" t="s">
        <v>82</v>
      </c>
      <c r="O59" s="79" t="s">
        <v>83</v>
      </c>
      <c r="P59" s="80" t="s">
        <v>84</v>
      </c>
      <c r="Q59" s="93"/>
      <c r="R59" s="2"/>
      <c r="S59" s="78"/>
      <c r="T59" s="79" t="s">
        <v>80</v>
      </c>
      <c r="U59" s="79" t="s">
        <v>81</v>
      </c>
      <c r="V59" s="79" t="s">
        <v>82</v>
      </c>
      <c r="W59" s="79" t="s">
        <v>83</v>
      </c>
      <c r="X59" s="80" t="s">
        <v>84</v>
      </c>
      <c r="Y59" s="93"/>
      <c r="Z59" s="2"/>
      <c r="AA59" s="78"/>
      <c r="AB59" s="79" t="s">
        <v>80</v>
      </c>
      <c r="AC59" s="79" t="s">
        <v>81</v>
      </c>
      <c r="AD59" s="79" t="s">
        <v>82</v>
      </c>
      <c r="AE59" s="79" t="s">
        <v>83</v>
      </c>
      <c r="AF59" s="80" t="s">
        <v>84</v>
      </c>
      <c r="AG59" s="93"/>
      <c r="AH59" s="2"/>
      <c r="AI59" s="78"/>
      <c r="AJ59" s="79" t="s">
        <v>80</v>
      </c>
      <c r="AK59" s="79" t="s">
        <v>81</v>
      </c>
      <c r="AL59" s="79" t="s">
        <v>82</v>
      </c>
      <c r="AM59" s="79" t="s">
        <v>83</v>
      </c>
      <c r="AN59" s="80" t="s">
        <v>84</v>
      </c>
      <c r="AO59" s="93"/>
    </row>
    <row r="60" ht="15.75" customHeight="1">
      <c r="A60" s="93"/>
      <c r="B60" s="93"/>
      <c r="C60" s="98" t="s">
        <v>33</v>
      </c>
      <c r="D60" s="2"/>
      <c r="E60" s="2"/>
      <c r="F60" s="99"/>
      <c r="G60" s="2"/>
      <c r="H60" s="100"/>
      <c r="I60" s="99"/>
      <c r="J60" s="2"/>
      <c r="K60" s="98" t="s">
        <v>33</v>
      </c>
      <c r="L60" s="2"/>
      <c r="M60" s="2"/>
      <c r="N60" s="99"/>
      <c r="O60" s="2"/>
      <c r="P60" s="100"/>
      <c r="Q60" s="99"/>
      <c r="R60" s="2"/>
      <c r="S60" s="98" t="s">
        <v>33</v>
      </c>
      <c r="T60" s="2"/>
      <c r="U60" s="2"/>
      <c r="V60" s="99"/>
      <c r="W60" s="2"/>
      <c r="X60" s="100"/>
      <c r="Y60" s="99"/>
      <c r="Z60" s="2"/>
      <c r="AA60" s="98" t="s">
        <v>33</v>
      </c>
      <c r="AB60" s="2"/>
      <c r="AC60" s="2"/>
      <c r="AD60" s="99"/>
      <c r="AE60" s="2"/>
      <c r="AF60" s="100"/>
      <c r="AG60" s="99"/>
      <c r="AH60" s="2"/>
      <c r="AI60" s="98" t="s">
        <v>33</v>
      </c>
      <c r="AJ60" s="2"/>
      <c r="AK60" s="2"/>
      <c r="AL60" s="99"/>
      <c r="AM60" s="2"/>
      <c r="AN60" s="100"/>
      <c r="AO60" s="99"/>
    </row>
    <row r="61" ht="15.75" customHeight="1">
      <c r="A61" s="93"/>
      <c r="B61" s="93"/>
      <c r="C61" s="98" t="s">
        <v>36</v>
      </c>
      <c r="D61" s="2"/>
      <c r="E61" s="2"/>
      <c r="F61" s="99"/>
      <c r="G61" s="2"/>
      <c r="H61" s="100"/>
      <c r="I61" s="99"/>
      <c r="J61" s="2"/>
      <c r="K61" s="98" t="s">
        <v>36</v>
      </c>
      <c r="L61" s="2"/>
      <c r="M61" s="2"/>
      <c r="N61" s="99"/>
      <c r="O61" s="2"/>
      <c r="P61" s="100"/>
      <c r="Q61" s="99"/>
      <c r="R61" s="2"/>
      <c r="S61" s="98" t="s">
        <v>36</v>
      </c>
      <c r="T61" s="2"/>
      <c r="U61" s="2"/>
      <c r="V61" s="99"/>
      <c r="W61" s="2"/>
      <c r="X61" s="100"/>
      <c r="Y61" s="99"/>
      <c r="Z61" s="2"/>
      <c r="AA61" s="98" t="s">
        <v>36</v>
      </c>
      <c r="AB61" s="2"/>
      <c r="AC61" s="2"/>
      <c r="AD61" s="99"/>
      <c r="AE61" s="2"/>
      <c r="AF61" s="100"/>
      <c r="AG61" s="99"/>
      <c r="AH61" s="2"/>
      <c r="AI61" s="98" t="s">
        <v>36</v>
      </c>
      <c r="AJ61" s="2"/>
      <c r="AK61" s="2"/>
      <c r="AL61" s="99"/>
      <c r="AM61" s="2"/>
      <c r="AN61" s="100"/>
      <c r="AO61" s="99"/>
    </row>
    <row r="62" ht="15.75" customHeight="1">
      <c r="A62" s="93"/>
      <c r="B62" s="93"/>
      <c r="C62" s="98" t="s">
        <v>41</v>
      </c>
      <c r="D62" s="2"/>
      <c r="E62" s="2"/>
      <c r="F62" s="99"/>
      <c r="G62" s="2"/>
      <c r="H62" s="100"/>
      <c r="I62" s="99"/>
      <c r="J62" s="2"/>
      <c r="K62" s="98" t="s">
        <v>41</v>
      </c>
      <c r="L62" s="2"/>
      <c r="M62" s="2"/>
      <c r="N62" s="99"/>
      <c r="O62" s="2"/>
      <c r="P62" s="100"/>
      <c r="Q62" s="99"/>
      <c r="R62" s="2"/>
      <c r="S62" s="98" t="s">
        <v>41</v>
      </c>
      <c r="T62" s="2"/>
      <c r="U62" s="2"/>
      <c r="V62" s="99"/>
      <c r="W62" s="2"/>
      <c r="X62" s="100"/>
      <c r="Y62" s="99"/>
      <c r="Z62" s="2"/>
      <c r="AA62" s="98" t="s">
        <v>41</v>
      </c>
      <c r="AB62" s="2"/>
      <c r="AC62" s="2"/>
      <c r="AD62" s="99"/>
      <c r="AE62" s="2"/>
      <c r="AF62" s="100"/>
      <c r="AG62" s="99"/>
      <c r="AH62" s="2"/>
      <c r="AI62" s="98" t="s">
        <v>41</v>
      </c>
      <c r="AJ62" s="2"/>
      <c r="AK62" s="2"/>
      <c r="AL62" s="99"/>
      <c r="AM62" s="2"/>
      <c r="AN62" s="100"/>
      <c r="AO62" s="99"/>
    </row>
    <row r="63" ht="15.75" customHeight="1">
      <c r="A63" s="93"/>
      <c r="B63" s="93"/>
      <c r="C63" s="98" t="s">
        <v>44</v>
      </c>
      <c r="D63" s="2"/>
      <c r="E63" s="2"/>
      <c r="F63" s="99"/>
      <c r="G63" s="2"/>
      <c r="H63" s="100"/>
      <c r="I63" s="99"/>
      <c r="J63" s="2"/>
      <c r="K63" s="98" t="s">
        <v>44</v>
      </c>
      <c r="L63" s="2"/>
      <c r="M63" s="2"/>
      <c r="N63" s="99"/>
      <c r="O63" s="2"/>
      <c r="P63" s="100"/>
      <c r="Q63" s="99"/>
      <c r="R63" s="2"/>
      <c r="S63" s="98" t="s">
        <v>44</v>
      </c>
      <c r="T63" s="2"/>
      <c r="U63" s="2"/>
      <c r="V63" s="99"/>
      <c r="W63" s="2"/>
      <c r="X63" s="100"/>
      <c r="Y63" s="99"/>
      <c r="Z63" s="2"/>
      <c r="AA63" s="98" t="s">
        <v>44</v>
      </c>
      <c r="AB63" s="2"/>
      <c r="AC63" s="2"/>
      <c r="AD63" s="99"/>
      <c r="AE63" s="2"/>
      <c r="AF63" s="100"/>
      <c r="AG63" s="99"/>
      <c r="AH63" s="2"/>
      <c r="AI63" s="98" t="s">
        <v>44</v>
      </c>
      <c r="AJ63" s="2"/>
      <c r="AK63" s="2"/>
      <c r="AL63" s="99"/>
      <c r="AM63" s="2"/>
      <c r="AN63" s="100"/>
      <c r="AO63" s="99"/>
    </row>
    <row r="64" ht="15.75" customHeight="1">
      <c r="A64" s="93"/>
      <c r="B64" s="93"/>
      <c r="C64" s="98" t="s">
        <v>46</v>
      </c>
      <c r="D64" s="2"/>
      <c r="E64" s="2"/>
      <c r="F64" s="99"/>
      <c r="G64" s="2"/>
      <c r="H64" s="100"/>
      <c r="I64" s="99"/>
      <c r="J64" s="24"/>
      <c r="K64" s="98" t="s">
        <v>46</v>
      </c>
      <c r="L64" s="2"/>
      <c r="M64" s="2"/>
      <c r="N64" s="99"/>
      <c r="O64" s="2"/>
      <c r="P64" s="100"/>
      <c r="Q64" s="99"/>
      <c r="R64" s="2"/>
      <c r="S64" s="98" t="s">
        <v>46</v>
      </c>
      <c r="T64" s="2"/>
      <c r="U64" s="2"/>
      <c r="V64" s="99"/>
      <c r="W64" s="2"/>
      <c r="X64" s="100"/>
      <c r="Y64" s="99"/>
      <c r="Z64" s="2"/>
      <c r="AA64" s="98" t="s">
        <v>46</v>
      </c>
      <c r="AB64" s="2"/>
      <c r="AC64" s="2"/>
      <c r="AD64" s="99"/>
      <c r="AE64" s="2"/>
      <c r="AF64" s="100"/>
      <c r="AG64" s="99"/>
      <c r="AH64" s="2"/>
      <c r="AI64" s="98" t="s">
        <v>46</v>
      </c>
      <c r="AJ64" s="2"/>
      <c r="AK64" s="2"/>
      <c r="AL64" s="99"/>
      <c r="AM64" s="2"/>
      <c r="AN64" s="100"/>
      <c r="AO64" s="99"/>
    </row>
    <row r="65" ht="15.75" customHeight="1">
      <c r="A65" s="93"/>
      <c r="B65" s="93"/>
      <c r="C65" s="98" t="s">
        <v>50</v>
      </c>
      <c r="D65" s="2"/>
      <c r="E65" s="2"/>
      <c r="F65" s="99"/>
      <c r="G65" s="2"/>
      <c r="H65" s="100"/>
      <c r="I65" s="99"/>
      <c r="J65" s="2"/>
      <c r="K65" s="98" t="s">
        <v>50</v>
      </c>
      <c r="L65" s="2"/>
      <c r="M65" s="2"/>
      <c r="N65" s="99"/>
      <c r="O65" s="2"/>
      <c r="P65" s="100"/>
      <c r="Q65" s="99"/>
      <c r="R65" s="2"/>
      <c r="S65" s="98" t="s">
        <v>50</v>
      </c>
      <c r="T65" s="2"/>
      <c r="U65" s="2"/>
      <c r="V65" s="99"/>
      <c r="W65" s="2"/>
      <c r="X65" s="100"/>
      <c r="Y65" s="99"/>
      <c r="Z65" s="2"/>
      <c r="AA65" s="98" t="s">
        <v>50</v>
      </c>
      <c r="AB65" s="2"/>
      <c r="AC65" s="2"/>
      <c r="AD65" s="99"/>
      <c r="AE65" s="2"/>
      <c r="AF65" s="100"/>
      <c r="AG65" s="99"/>
      <c r="AH65" s="2"/>
      <c r="AI65" s="98" t="s">
        <v>50</v>
      </c>
      <c r="AJ65" s="2"/>
      <c r="AK65" s="2"/>
      <c r="AL65" s="99"/>
      <c r="AM65" s="2"/>
      <c r="AN65" s="100"/>
      <c r="AO65" s="99"/>
    </row>
    <row r="66" ht="15.75" customHeight="1">
      <c r="A66" s="93"/>
      <c r="B66" s="93"/>
      <c r="C66" s="98" t="s">
        <v>52</v>
      </c>
      <c r="D66" s="2"/>
      <c r="E66" s="2"/>
      <c r="F66" s="99"/>
      <c r="G66" s="2"/>
      <c r="H66" s="100"/>
      <c r="I66" s="99"/>
      <c r="J66" s="2"/>
      <c r="K66" s="98" t="s">
        <v>52</v>
      </c>
      <c r="L66" s="2"/>
      <c r="M66" s="2"/>
      <c r="N66" s="99"/>
      <c r="O66" s="2"/>
      <c r="P66" s="100"/>
      <c r="Q66" s="99"/>
      <c r="R66" s="2"/>
      <c r="S66" s="98" t="s">
        <v>52</v>
      </c>
      <c r="T66" s="2"/>
      <c r="U66" s="2"/>
      <c r="V66" s="99"/>
      <c r="W66" s="2"/>
      <c r="X66" s="100"/>
      <c r="Y66" s="99"/>
      <c r="Z66" s="2"/>
      <c r="AA66" s="98" t="s">
        <v>52</v>
      </c>
      <c r="AB66" s="2"/>
      <c r="AC66" s="2"/>
      <c r="AD66" s="99"/>
      <c r="AE66" s="2"/>
      <c r="AF66" s="100"/>
      <c r="AG66" s="99"/>
      <c r="AH66" s="2"/>
      <c r="AI66" s="98" t="s">
        <v>52</v>
      </c>
      <c r="AJ66" s="2"/>
      <c r="AK66" s="2"/>
      <c r="AL66" s="99"/>
      <c r="AM66" s="2"/>
      <c r="AN66" s="100"/>
      <c r="AO66" s="99"/>
    </row>
    <row r="67" ht="15.75" customHeight="1">
      <c r="A67" s="93"/>
      <c r="B67" s="93"/>
      <c r="C67" s="98" t="s">
        <v>53</v>
      </c>
      <c r="D67" s="2"/>
      <c r="E67" s="2"/>
      <c r="F67" s="99"/>
      <c r="G67" s="2"/>
      <c r="H67" s="100"/>
      <c r="I67" s="99"/>
      <c r="J67" s="2"/>
      <c r="K67" s="98" t="s">
        <v>53</v>
      </c>
      <c r="L67" s="2"/>
      <c r="M67" s="2"/>
      <c r="N67" s="99"/>
      <c r="O67" s="2"/>
      <c r="P67" s="100"/>
      <c r="Q67" s="99"/>
      <c r="R67" s="2"/>
      <c r="S67" s="98" t="s">
        <v>53</v>
      </c>
      <c r="T67" s="2"/>
      <c r="U67" s="2"/>
      <c r="V67" s="99"/>
      <c r="W67" s="2"/>
      <c r="X67" s="100"/>
      <c r="Y67" s="99"/>
      <c r="Z67" s="2"/>
      <c r="AA67" s="98" t="s">
        <v>53</v>
      </c>
      <c r="AB67" s="2"/>
      <c r="AC67" s="2"/>
      <c r="AD67" s="99"/>
      <c r="AE67" s="2"/>
      <c r="AF67" s="100"/>
      <c r="AG67" s="99"/>
      <c r="AH67" s="2"/>
      <c r="AI67" s="98" t="s">
        <v>53</v>
      </c>
      <c r="AJ67" s="2"/>
      <c r="AK67" s="2"/>
      <c r="AL67" s="99"/>
      <c r="AM67" s="2"/>
      <c r="AN67" s="100"/>
      <c r="AO67" s="99"/>
    </row>
    <row r="68" ht="15.75" customHeight="1">
      <c r="A68" s="93"/>
      <c r="B68" s="93"/>
      <c r="C68" s="101" t="s">
        <v>54</v>
      </c>
      <c r="D68" s="43"/>
      <c r="E68" s="43"/>
      <c r="F68" s="99"/>
      <c r="G68" s="2"/>
      <c r="H68" s="100"/>
      <c r="I68" s="24" t="s">
        <v>79</v>
      </c>
      <c r="J68" s="2"/>
      <c r="K68" s="101" t="s">
        <v>54</v>
      </c>
      <c r="L68" s="43"/>
      <c r="M68" s="43"/>
      <c r="N68" s="99"/>
      <c r="O68" s="2"/>
      <c r="P68" s="100"/>
      <c r="Q68" s="24" t="s">
        <v>79</v>
      </c>
      <c r="R68" s="2"/>
      <c r="S68" s="101" t="s">
        <v>54</v>
      </c>
      <c r="T68" s="43"/>
      <c r="U68" s="43"/>
      <c r="V68" s="99"/>
      <c r="W68" s="2"/>
      <c r="X68" s="100"/>
      <c r="Y68" s="24" t="s">
        <v>79</v>
      </c>
      <c r="Z68" s="2"/>
      <c r="AA68" s="101" t="s">
        <v>54</v>
      </c>
      <c r="AB68" s="43"/>
      <c r="AC68" s="43"/>
      <c r="AD68" s="99"/>
      <c r="AE68" s="2"/>
      <c r="AF68" s="100"/>
      <c r="AG68" s="24" t="s">
        <v>79</v>
      </c>
      <c r="AH68" s="2"/>
      <c r="AI68" s="101" t="s">
        <v>54</v>
      </c>
      <c r="AJ68" s="43"/>
      <c r="AK68" s="43"/>
      <c r="AL68" s="99"/>
      <c r="AM68" s="2"/>
      <c r="AN68" s="100"/>
      <c r="AO68" s="24" t="s">
        <v>79</v>
      </c>
    </row>
    <row r="69" ht="15.75" customHeight="1">
      <c r="A69" s="93"/>
      <c r="B69" s="93"/>
      <c r="C69" s="92"/>
      <c r="D69" s="2"/>
      <c r="E69" s="2"/>
      <c r="F69" s="107">
        <f>SUM(F60:F68)</f>
        <v>0</v>
      </c>
      <c r="G69" s="108"/>
      <c r="H69" s="109">
        <f>SUM(H60:H68)</f>
        <v>0</v>
      </c>
      <c r="I69" s="110">
        <f>IF(H69=-F69, H69, IF(H69&gt;0, H69-F69, H69+F69))</f>
        <v>0</v>
      </c>
      <c r="J69" s="2"/>
      <c r="K69" s="92"/>
      <c r="L69" s="2"/>
      <c r="M69" s="2"/>
      <c r="N69" s="107">
        <f>SUM(N60:N68)</f>
        <v>0</v>
      </c>
      <c r="O69" s="108"/>
      <c r="P69" s="109">
        <f>SUM(P60:P68)</f>
        <v>0</v>
      </c>
      <c r="Q69" s="110">
        <f>IF(P69=-N69, P69, IF(P69&gt;0, P69-N69, P69+N69))</f>
        <v>0</v>
      </c>
      <c r="R69" s="2"/>
      <c r="S69" s="92"/>
      <c r="T69" s="2"/>
      <c r="U69" s="2"/>
      <c r="V69" s="107">
        <f>SUM(V60:V68)</f>
        <v>0</v>
      </c>
      <c r="W69" s="108"/>
      <c r="X69" s="109">
        <f>SUM(X60:X68)</f>
        <v>0</v>
      </c>
      <c r="Y69" s="110">
        <f>IF(X69=-V69, X69, IF(X69&gt;0, X69-V69, X69+V69))</f>
        <v>0</v>
      </c>
      <c r="Z69" s="2"/>
      <c r="AA69" s="92"/>
      <c r="AB69" s="2"/>
      <c r="AC69" s="2"/>
      <c r="AD69" s="107">
        <f>SUM(AD60:AD68)</f>
        <v>0</v>
      </c>
      <c r="AE69" s="108"/>
      <c r="AF69" s="109">
        <f>SUM(AF60:AF68)</f>
        <v>0</v>
      </c>
      <c r="AG69" s="110">
        <f>IF(AF69=-AD69, AF69, IF(AF69&gt;0, AF69-AD69, AF69+AD69))</f>
        <v>0</v>
      </c>
      <c r="AH69" s="2"/>
      <c r="AI69" s="92"/>
      <c r="AJ69" s="2"/>
      <c r="AK69" s="2"/>
      <c r="AL69" s="107">
        <f>SUM(AL60:AL68)</f>
        <v>0</v>
      </c>
      <c r="AM69" s="108"/>
      <c r="AN69" s="109">
        <f>SUM(AN60:AN68)</f>
        <v>0</v>
      </c>
      <c r="AO69" s="110">
        <f>IF(AN69=-AL69, AN69, IF(AN69&gt;0, AN69-AL69, AN69+AL69))</f>
        <v>0</v>
      </c>
    </row>
    <row r="70" ht="15.75" customHeight="1">
      <c r="A70" s="93"/>
      <c r="B70" s="93"/>
      <c r="C70" s="92"/>
      <c r="D70" s="2"/>
      <c r="E70" s="2"/>
      <c r="F70" s="2"/>
      <c r="G70" s="2"/>
      <c r="H70" s="2"/>
      <c r="I70" s="2"/>
      <c r="J70" s="2"/>
      <c r="K70" s="92"/>
      <c r="L70" s="2"/>
      <c r="M70" s="2"/>
      <c r="N70" s="2"/>
      <c r="O70" s="2"/>
      <c r="P70" s="2"/>
      <c r="Q70" s="2"/>
      <c r="R70" s="2"/>
      <c r="S70" s="92"/>
      <c r="T70" s="2"/>
      <c r="U70" s="2"/>
      <c r="V70" s="2"/>
      <c r="W70" s="2"/>
      <c r="X70" s="2"/>
      <c r="Y70" s="2"/>
      <c r="Z70" s="2"/>
      <c r="AA70" s="92"/>
      <c r="AB70" s="2"/>
      <c r="AC70" s="2"/>
      <c r="AD70" s="2"/>
      <c r="AE70" s="2"/>
      <c r="AF70" s="2"/>
      <c r="AG70" s="2"/>
      <c r="AH70" s="2"/>
      <c r="AI70" s="92"/>
      <c r="AJ70" s="2"/>
      <c r="AK70" s="2"/>
      <c r="AL70" s="2"/>
      <c r="AM70" s="93"/>
      <c r="AN70" s="93"/>
      <c r="AO70" s="93"/>
    </row>
    <row r="71" ht="15.75" customHeight="1">
      <c r="A71" s="93"/>
      <c r="B71" s="93"/>
      <c r="C71" s="92"/>
      <c r="D71" s="2"/>
      <c r="E71" s="2"/>
      <c r="F71" s="2"/>
      <c r="G71" s="2"/>
      <c r="H71" s="2"/>
      <c r="I71" s="2"/>
      <c r="J71" s="2"/>
      <c r="K71" s="92"/>
      <c r="L71" s="2"/>
      <c r="M71" s="2"/>
      <c r="N71" s="2"/>
      <c r="O71" s="2"/>
      <c r="P71" s="2"/>
      <c r="Q71" s="2"/>
      <c r="R71" s="2"/>
      <c r="S71" s="92"/>
      <c r="T71" s="2"/>
      <c r="U71" s="2"/>
      <c r="V71" s="2"/>
      <c r="W71" s="2"/>
      <c r="X71" s="2"/>
      <c r="Y71" s="2"/>
      <c r="Z71" s="2"/>
      <c r="AA71" s="92"/>
      <c r="AB71" s="2"/>
      <c r="AC71" s="2"/>
      <c r="AD71" s="2"/>
      <c r="AE71" s="2"/>
      <c r="AF71" s="2"/>
      <c r="AG71" s="2"/>
      <c r="AH71" s="2"/>
      <c r="AI71" s="92"/>
      <c r="AJ71" s="2"/>
      <c r="AK71" s="2"/>
      <c r="AL71" s="2"/>
      <c r="AM71" s="93"/>
      <c r="AN71" s="93"/>
      <c r="AO71" s="93"/>
    </row>
    <row r="72" ht="15.75" customHeight="1">
      <c r="A72" s="93"/>
      <c r="B72" s="9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93"/>
      <c r="AN72" s="93"/>
      <c r="AO72" s="93"/>
    </row>
    <row r="73" ht="15.75" customHeight="1">
      <c r="A73" s="93"/>
      <c r="B73" s="93"/>
      <c r="C73" s="77" t="s">
        <v>72</v>
      </c>
      <c r="D73" s="5"/>
      <c r="E73" s="5"/>
      <c r="F73" s="5"/>
      <c r="G73" s="5"/>
      <c r="H73" s="51"/>
      <c r="I73" s="93"/>
      <c r="J73" s="2"/>
      <c r="K73" s="77" t="s">
        <v>73</v>
      </c>
      <c r="L73" s="5"/>
      <c r="M73" s="5"/>
      <c r="N73" s="5"/>
      <c r="O73" s="5"/>
      <c r="P73" s="51"/>
      <c r="Q73" s="93"/>
      <c r="R73" s="2"/>
      <c r="S73" s="77" t="s">
        <v>74</v>
      </c>
      <c r="T73" s="5"/>
      <c r="U73" s="5"/>
      <c r="V73" s="5"/>
      <c r="W73" s="5"/>
      <c r="X73" s="51"/>
      <c r="Y73" s="93"/>
      <c r="Z73" s="2"/>
      <c r="AA73" s="77" t="s">
        <v>75</v>
      </c>
      <c r="AB73" s="5"/>
      <c r="AC73" s="5"/>
      <c r="AD73" s="5"/>
      <c r="AE73" s="5"/>
      <c r="AF73" s="51"/>
      <c r="AG73" s="93"/>
      <c r="AH73" s="2"/>
      <c r="AI73" s="87"/>
      <c r="AJ73" s="111"/>
      <c r="AK73" s="111"/>
      <c r="AL73" s="111"/>
      <c r="AM73" s="111"/>
      <c r="AN73" s="111"/>
      <c r="AO73" s="93"/>
    </row>
    <row r="74" ht="15.75" customHeight="1">
      <c r="A74" s="93"/>
      <c r="B74" s="93"/>
      <c r="C74" s="78"/>
      <c r="D74" s="79" t="s">
        <v>80</v>
      </c>
      <c r="E74" s="79" t="s">
        <v>81</v>
      </c>
      <c r="F74" s="79" t="s">
        <v>82</v>
      </c>
      <c r="G74" s="79" t="s">
        <v>83</v>
      </c>
      <c r="H74" s="80" t="s">
        <v>84</v>
      </c>
      <c r="I74" s="93"/>
      <c r="J74" s="2"/>
      <c r="K74" s="78"/>
      <c r="L74" s="79" t="s">
        <v>80</v>
      </c>
      <c r="M74" s="79" t="s">
        <v>81</v>
      </c>
      <c r="N74" s="79" t="s">
        <v>82</v>
      </c>
      <c r="O74" s="79" t="s">
        <v>83</v>
      </c>
      <c r="P74" s="80" t="s">
        <v>84</v>
      </c>
      <c r="Q74" s="93"/>
      <c r="R74" s="2"/>
      <c r="S74" s="78"/>
      <c r="T74" s="79" t="s">
        <v>80</v>
      </c>
      <c r="U74" s="79" t="s">
        <v>81</v>
      </c>
      <c r="V74" s="79" t="s">
        <v>82</v>
      </c>
      <c r="W74" s="79" t="s">
        <v>83</v>
      </c>
      <c r="X74" s="80" t="s">
        <v>84</v>
      </c>
      <c r="Y74" s="93"/>
      <c r="Z74" s="2"/>
      <c r="AA74" s="78"/>
      <c r="AB74" s="79" t="s">
        <v>80</v>
      </c>
      <c r="AC74" s="79" t="s">
        <v>81</v>
      </c>
      <c r="AD74" s="79" t="s">
        <v>82</v>
      </c>
      <c r="AE74" s="79" t="s">
        <v>83</v>
      </c>
      <c r="AF74" s="80" t="s">
        <v>84</v>
      </c>
      <c r="AG74" s="93"/>
      <c r="AH74" s="2"/>
      <c r="AI74" s="2"/>
      <c r="AJ74" s="24"/>
      <c r="AK74" s="24"/>
      <c r="AL74" s="24"/>
      <c r="AM74" s="24"/>
      <c r="AN74" s="24"/>
      <c r="AO74" s="93"/>
    </row>
    <row r="75" ht="15.75" customHeight="1">
      <c r="A75" s="93"/>
      <c r="B75" s="93"/>
      <c r="C75" s="98" t="s">
        <v>33</v>
      </c>
      <c r="D75" s="2"/>
      <c r="E75" s="2"/>
      <c r="F75" s="99"/>
      <c r="G75" s="2"/>
      <c r="H75" s="100"/>
      <c r="I75" s="99"/>
      <c r="J75" s="2"/>
      <c r="K75" s="98" t="s">
        <v>33</v>
      </c>
      <c r="L75" s="2"/>
      <c r="M75" s="2"/>
      <c r="N75" s="99"/>
      <c r="O75" s="2"/>
      <c r="P75" s="100"/>
      <c r="Q75" s="99"/>
      <c r="R75" s="2"/>
      <c r="S75" s="98" t="s">
        <v>33</v>
      </c>
      <c r="T75" s="2"/>
      <c r="U75" s="2"/>
      <c r="V75" s="99"/>
      <c r="W75" s="2"/>
      <c r="X75" s="100"/>
      <c r="Y75" s="99"/>
      <c r="Z75" s="2"/>
      <c r="AA75" s="98" t="s">
        <v>33</v>
      </c>
      <c r="AB75" s="2"/>
      <c r="AC75" s="2"/>
      <c r="AD75" s="99"/>
      <c r="AE75" s="2"/>
      <c r="AF75" s="100"/>
      <c r="AG75" s="99"/>
      <c r="AH75" s="2"/>
      <c r="AI75" s="92"/>
      <c r="AJ75" s="2"/>
      <c r="AK75" s="2"/>
      <c r="AL75" s="99"/>
      <c r="AM75" s="2"/>
      <c r="AN75" s="99"/>
      <c r="AO75" s="99"/>
    </row>
    <row r="76" ht="15.75" customHeight="1">
      <c r="A76" s="93"/>
      <c r="B76" s="93"/>
      <c r="C76" s="98" t="s">
        <v>36</v>
      </c>
      <c r="D76" s="2"/>
      <c r="E76" s="2"/>
      <c r="F76" s="99"/>
      <c r="G76" s="2"/>
      <c r="H76" s="100"/>
      <c r="I76" s="99"/>
      <c r="J76" s="2"/>
      <c r="K76" s="98" t="s">
        <v>36</v>
      </c>
      <c r="L76" s="2"/>
      <c r="M76" s="2"/>
      <c r="N76" s="99"/>
      <c r="O76" s="2"/>
      <c r="P76" s="100"/>
      <c r="Q76" s="99"/>
      <c r="R76" s="2"/>
      <c r="S76" s="98" t="s">
        <v>36</v>
      </c>
      <c r="T76" s="2"/>
      <c r="U76" s="2"/>
      <c r="V76" s="99"/>
      <c r="W76" s="2"/>
      <c r="X76" s="100"/>
      <c r="Y76" s="99"/>
      <c r="Z76" s="2"/>
      <c r="AA76" s="98" t="s">
        <v>36</v>
      </c>
      <c r="AB76" s="2"/>
      <c r="AC76" s="2"/>
      <c r="AD76" s="99"/>
      <c r="AE76" s="2"/>
      <c r="AF76" s="100"/>
      <c r="AG76" s="99"/>
      <c r="AH76" s="2"/>
      <c r="AI76" s="92"/>
      <c r="AJ76" s="2"/>
      <c r="AK76" s="2"/>
      <c r="AL76" s="99"/>
      <c r="AM76" s="2"/>
      <c r="AN76" s="99"/>
      <c r="AO76" s="99"/>
    </row>
    <row r="77" ht="15.75" customHeight="1">
      <c r="A77" s="93"/>
      <c r="B77" s="93"/>
      <c r="C77" s="98" t="s">
        <v>41</v>
      </c>
      <c r="D77" s="2"/>
      <c r="E77" s="2"/>
      <c r="F77" s="99"/>
      <c r="G77" s="2"/>
      <c r="H77" s="100"/>
      <c r="I77" s="99"/>
      <c r="J77" s="2"/>
      <c r="K77" s="98" t="s">
        <v>41</v>
      </c>
      <c r="L77" s="2"/>
      <c r="M77" s="2"/>
      <c r="N77" s="99"/>
      <c r="O77" s="2"/>
      <c r="P77" s="100"/>
      <c r="Q77" s="99"/>
      <c r="R77" s="2"/>
      <c r="S77" s="98" t="s">
        <v>41</v>
      </c>
      <c r="T77" s="2"/>
      <c r="U77" s="2"/>
      <c r="V77" s="99"/>
      <c r="W77" s="2"/>
      <c r="X77" s="100"/>
      <c r="Y77" s="99"/>
      <c r="Z77" s="2"/>
      <c r="AA77" s="98" t="s">
        <v>41</v>
      </c>
      <c r="AB77" s="2"/>
      <c r="AC77" s="2"/>
      <c r="AD77" s="99"/>
      <c r="AE77" s="2"/>
      <c r="AF77" s="100"/>
      <c r="AG77" s="99"/>
      <c r="AH77" s="2"/>
      <c r="AI77" s="92"/>
      <c r="AJ77" s="2"/>
      <c r="AK77" s="2"/>
      <c r="AL77" s="99"/>
      <c r="AM77" s="2"/>
      <c r="AN77" s="99"/>
      <c r="AO77" s="99"/>
    </row>
    <row r="78" ht="15.75" customHeight="1">
      <c r="A78" s="93"/>
      <c r="B78" s="93"/>
      <c r="C78" s="98" t="s">
        <v>44</v>
      </c>
      <c r="D78" s="2"/>
      <c r="E78" s="2"/>
      <c r="F78" s="99"/>
      <c r="G78" s="2"/>
      <c r="H78" s="100"/>
      <c r="I78" s="99"/>
      <c r="J78" s="2"/>
      <c r="K78" s="98" t="s">
        <v>44</v>
      </c>
      <c r="L78" s="2"/>
      <c r="M78" s="2"/>
      <c r="N78" s="99"/>
      <c r="O78" s="2"/>
      <c r="P78" s="100"/>
      <c r="Q78" s="99"/>
      <c r="R78" s="2"/>
      <c r="S78" s="98" t="s">
        <v>44</v>
      </c>
      <c r="T78" s="2"/>
      <c r="U78" s="2"/>
      <c r="V78" s="99"/>
      <c r="W78" s="2"/>
      <c r="X78" s="100"/>
      <c r="Y78" s="99"/>
      <c r="Z78" s="2"/>
      <c r="AA78" s="98" t="s">
        <v>44</v>
      </c>
      <c r="AB78" s="2"/>
      <c r="AC78" s="2"/>
      <c r="AD78" s="99"/>
      <c r="AE78" s="2"/>
      <c r="AF78" s="100"/>
      <c r="AG78" s="99"/>
      <c r="AH78" s="2"/>
      <c r="AI78" s="92"/>
      <c r="AJ78" s="2"/>
      <c r="AK78" s="2"/>
      <c r="AL78" s="99"/>
      <c r="AM78" s="2"/>
      <c r="AN78" s="99"/>
      <c r="AO78" s="99"/>
    </row>
    <row r="79" ht="15.75" customHeight="1">
      <c r="A79" s="93"/>
      <c r="B79" s="93"/>
      <c r="C79" s="98" t="s">
        <v>46</v>
      </c>
      <c r="D79" s="2"/>
      <c r="E79" s="2"/>
      <c r="F79" s="99"/>
      <c r="G79" s="2"/>
      <c r="H79" s="100"/>
      <c r="I79" s="99"/>
      <c r="J79" s="24"/>
      <c r="K79" s="98" t="s">
        <v>46</v>
      </c>
      <c r="L79" s="2"/>
      <c r="M79" s="2"/>
      <c r="N79" s="99"/>
      <c r="O79" s="2"/>
      <c r="P79" s="100"/>
      <c r="Q79" s="99"/>
      <c r="R79" s="2"/>
      <c r="S79" s="98" t="s">
        <v>46</v>
      </c>
      <c r="T79" s="2"/>
      <c r="U79" s="2"/>
      <c r="V79" s="99"/>
      <c r="W79" s="2"/>
      <c r="X79" s="100"/>
      <c r="Y79" s="99"/>
      <c r="Z79" s="2"/>
      <c r="AA79" s="98" t="s">
        <v>46</v>
      </c>
      <c r="AB79" s="2"/>
      <c r="AC79" s="2"/>
      <c r="AD79" s="99"/>
      <c r="AE79" s="2"/>
      <c r="AF79" s="100"/>
      <c r="AG79" s="99"/>
      <c r="AH79" s="2"/>
      <c r="AI79" s="92"/>
      <c r="AJ79" s="2"/>
      <c r="AK79" s="2"/>
      <c r="AL79" s="99"/>
      <c r="AM79" s="2"/>
      <c r="AN79" s="99"/>
      <c r="AO79" s="99"/>
    </row>
    <row r="80" ht="15.75" customHeight="1">
      <c r="A80" s="93"/>
      <c r="B80" s="93"/>
      <c r="C80" s="98" t="s">
        <v>50</v>
      </c>
      <c r="D80" s="2"/>
      <c r="E80" s="2"/>
      <c r="F80" s="99"/>
      <c r="G80" s="2"/>
      <c r="H80" s="100"/>
      <c r="I80" s="99"/>
      <c r="J80" s="2"/>
      <c r="K80" s="98" t="s">
        <v>50</v>
      </c>
      <c r="L80" s="2"/>
      <c r="M80" s="2"/>
      <c r="N80" s="99"/>
      <c r="O80" s="2"/>
      <c r="P80" s="100"/>
      <c r="Q80" s="99"/>
      <c r="R80" s="2"/>
      <c r="S80" s="98" t="s">
        <v>50</v>
      </c>
      <c r="T80" s="2"/>
      <c r="U80" s="2"/>
      <c r="V80" s="99"/>
      <c r="W80" s="2"/>
      <c r="X80" s="100"/>
      <c r="Y80" s="99"/>
      <c r="Z80" s="2"/>
      <c r="AA80" s="98" t="s">
        <v>50</v>
      </c>
      <c r="AB80" s="2"/>
      <c r="AC80" s="2"/>
      <c r="AD80" s="99"/>
      <c r="AE80" s="2"/>
      <c r="AF80" s="100"/>
      <c r="AG80" s="99"/>
      <c r="AH80" s="2"/>
      <c r="AI80" s="92"/>
      <c r="AJ80" s="2"/>
      <c r="AK80" s="2"/>
      <c r="AL80" s="99"/>
      <c r="AM80" s="2"/>
      <c r="AN80" s="99"/>
      <c r="AO80" s="99"/>
    </row>
    <row r="81" ht="15.75" customHeight="1">
      <c r="A81" s="93"/>
      <c r="B81" s="93"/>
      <c r="C81" s="98" t="s">
        <v>52</v>
      </c>
      <c r="D81" s="2"/>
      <c r="E81" s="2"/>
      <c r="F81" s="99"/>
      <c r="G81" s="2"/>
      <c r="H81" s="100"/>
      <c r="I81" s="99"/>
      <c r="J81" s="2"/>
      <c r="K81" s="98" t="s">
        <v>52</v>
      </c>
      <c r="L81" s="2"/>
      <c r="M81" s="2"/>
      <c r="N81" s="99"/>
      <c r="O81" s="2"/>
      <c r="P81" s="100"/>
      <c r="Q81" s="99"/>
      <c r="R81" s="2"/>
      <c r="S81" s="98" t="s">
        <v>52</v>
      </c>
      <c r="T81" s="2"/>
      <c r="U81" s="2"/>
      <c r="V81" s="99"/>
      <c r="W81" s="2"/>
      <c r="X81" s="100"/>
      <c r="Y81" s="99"/>
      <c r="Z81" s="2"/>
      <c r="AA81" s="98" t="s">
        <v>52</v>
      </c>
      <c r="AB81" s="2"/>
      <c r="AC81" s="2"/>
      <c r="AD81" s="99"/>
      <c r="AE81" s="2"/>
      <c r="AF81" s="100"/>
      <c r="AG81" s="99"/>
      <c r="AH81" s="2"/>
      <c r="AI81" s="92"/>
      <c r="AJ81" s="2"/>
      <c r="AK81" s="2"/>
      <c r="AL81" s="99"/>
      <c r="AM81" s="2"/>
      <c r="AN81" s="99"/>
      <c r="AO81" s="99"/>
    </row>
    <row r="82" ht="15.75" customHeight="1">
      <c r="A82" s="93"/>
      <c r="B82" s="93"/>
      <c r="C82" s="98" t="s">
        <v>53</v>
      </c>
      <c r="D82" s="2"/>
      <c r="E82" s="2"/>
      <c r="F82" s="99"/>
      <c r="G82" s="2"/>
      <c r="H82" s="100"/>
      <c r="I82" s="99"/>
      <c r="J82" s="2"/>
      <c r="K82" s="98" t="s">
        <v>53</v>
      </c>
      <c r="L82" s="2"/>
      <c r="M82" s="2"/>
      <c r="N82" s="99"/>
      <c r="O82" s="2"/>
      <c r="P82" s="100"/>
      <c r="Q82" s="99"/>
      <c r="R82" s="2"/>
      <c r="S82" s="98" t="s">
        <v>53</v>
      </c>
      <c r="T82" s="2"/>
      <c r="U82" s="2"/>
      <c r="V82" s="99"/>
      <c r="W82" s="2"/>
      <c r="X82" s="100"/>
      <c r="Y82" s="99"/>
      <c r="Z82" s="2"/>
      <c r="AA82" s="98" t="s">
        <v>53</v>
      </c>
      <c r="AB82" s="2"/>
      <c r="AC82" s="2"/>
      <c r="AD82" s="99"/>
      <c r="AE82" s="2"/>
      <c r="AF82" s="100"/>
      <c r="AG82" s="99"/>
      <c r="AH82" s="2"/>
      <c r="AI82" s="92"/>
      <c r="AJ82" s="2"/>
      <c r="AK82" s="2"/>
      <c r="AL82" s="99"/>
      <c r="AM82" s="2"/>
      <c r="AN82" s="99"/>
      <c r="AO82" s="99"/>
    </row>
    <row r="83" ht="15.75" customHeight="1">
      <c r="A83" s="93"/>
      <c r="B83" s="93"/>
      <c r="C83" s="101" t="s">
        <v>54</v>
      </c>
      <c r="D83" s="43"/>
      <c r="E83" s="43"/>
      <c r="F83" s="99"/>
      <c r="G83" s="2"/>
      <c r="H83" s="100"/>
      <c r="I83" s="24" t="s">
        <v>79</v>
      </c>
      <c r="J83" s="2"/>
      <c r="K83" s="101" t="s">
        <v>54</v>
      </c>
      <c r="L83" s="43"/>
      <c r="M83" s="43"/>
      <c r="N83" s="99"/>
      <c r="O83" s="2"/>
      <c r="P83" s="100"/>
      <c r="Q83" s="24" t="s">
        <v>79</v>
      </c>
      <c r="R83" s="2"/>
      <c r="S83" s="101" t="s">
        <v>54</v>
      </c>
      <c r="T83" s="43"/>
      <c r="U83" s="43"/>
      <c r="V83" s="99"/>
      <c r="W83" s="2"/>
      <c r="X83" s="100"/>
      <c r="Y83" s="24" t="s">
        <v>79</v>
      </c>
      <c r="Z83" s="2"/>
      <c r="AA83" s="101" t="s">
        <v>54</v>
      </c>
      <c r="AB83" s="43"/>
      <c r="AC83" s="43"/>
      <c r="AD83" s="99"/>
      <c r="AE83" s="2"/>
      <c r="AF83" s="100"/>
      <c r="AG83" s="24" t="s">
        <v>79</v>
      </c>
      <c r="AH83" s="2"/>
      <c r="AI83" s="92"/>
      <c r="AJ83" s="2"/>
      <c r="AK83" s="2"/>
      <c r="AL83" s="99"/>
      <c r="AM83" s="2"/>
      <c r="AN83" s="99"/>
      <c r="AO83" s="24"/>
    </row>
    <row r="84" ht="15.75" customHeight="1">
      <c r="A84" s="93"/>
      <c r="B84" s="93"/>
      <c r="C84" s="92"/>
      <c r="D84" s="2"/>
      <c r="E84" s="2"/>
      <c r="F84" s="107">
        <f>SUM(F75:F83)</f>
        <v>0</v>
      </c>
      <c r="G84" s="108"/>
      <c r="H84" s="109">
        <f>SUM(H75:H83)</f>
        <v>0</v>
      </c>
      <c r="I84" s="110">
        <f>IF(H84=-F84, H84, IF(H84&gt;0, H84-F84, H84+F84))</f>
        <v>0</v>
      </c>
      <c r="J84" s="2"/>
      <c r="K84" s="92"/>
      <c r="L84" s="2"/>
      <c r="M84" s="2"/>
      <c r="N84" s="107">
        <f>SUM(N75:N83)</f>
        <v>0</v>
      </c>
      <c r="O84" s="108"/>
      <c r="P84" s="109">
        <f>SUM(P75:P83)</f>
        <v>0</v>
      </c>
      <c r="Q84" s="110">
        <f>IF(P84=-N84, P84, IF(P84&gt;0, P84-N84, P84+N84))</f>
        <v>0</v>
      </c>
      <c r="R84" s="2"/>
      <c r="S84" s="92"/>
      <c r="T84" s="2"/>
      <c r="U84" s="2"/>
      <c r="V84" s="107">
        <f>SUM(V75:V83)</f>
        <v>0</v>
      </c>
      <c r="W84" s="108"/>
      <c r="X84" s="109">
        <f>SUM(X75:X83)</f>
        <v>0</v>
      </c>
      <c r="Y84" s="110">
        <f>IF(X84=-V84, X84, IF(X84&gt;0, X84-V84, X84+V84))</f>
        <v>0</v>
      </c>
      <c r="Z84" s="2"/>
      <c r="AA84" s="92"/>
      <c r="AB84" s="2"/>
      <c r="AC84" s="2"/>
      <c r="AD84" s="107">
        <f>SUM(AD75:AD83)</f>
        <v>0</v>
      </c>
      <c r="AE84" s="108"/>
      <c r="AF84" s="109">
        <f>SUM(AF75:AF83)</f>
        <v>0</v>
      </c>
      <c r="AG84" s="110">
        <f>IF(AF84=-AD84, AF84, IF(AF84&gt;0, AF84-AD84, AF84+AD84))</f>
        <v>0</v>
      </c>
      <c r="AH84" s="2"/>
      <c r="AI84" s="92"/>
      <c r="AJ84" s="2"/>
      <c r="AK84" s="2"/>
      <c r="AL84" s="99"/>
      <c r="AM84" s="2"/>
      <c r="AN84" s="99"/>
      <c r="AO84" s="99"/>
    </row>
    <row r="85" ht="15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</row>
    <row r="86" ht="15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</row>
    <row r="87" ht="15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</row>
    <row r="88" ht="15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</row>
    <row r="89" ht="15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24"/>
      <c r="N89" s="24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</row>
    <row r="90" ht="15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2"/>
      <c r="M90" s="112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</row>
    <row r="91" ht="15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2"/>
      <c r="M91" s="112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</row>
    <row r="92" ht="15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2"/>
      <c r="M92" s="112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</row>
    <row r="93" ht="15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2"/>
      <c r="M93" s="112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</row>
    <row r="94" ht="15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2"/>
      <c r="M94" s="112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</row>
    <row r="95" ht="15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2"/>
      <c r="M95" s="112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  <c r="AO95" s="93"/>
    </row>
    <row r="96" ht="15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2"/>
      <c r="M96" s="112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</row>
    <row r="97" ht="15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2"/>
      <c r="M97" s="112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</row>
    <row r="98" ht="15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</row>
    <row r="99" ht="15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93"/>
    </row>
    <row r="100" ht="15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</row>
    <row r="101" ht="15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</row>
    <row r="102" ht="15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</row>
    <row r="103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/>
    </row>
    <row r="104" ht="15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</row>
    <row r="105" ht="15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</row>
    <row r="106" ht="15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</row>
    <row r="107" ht="15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</row>
    <row r="108" ht="15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</row>
    <row r="109" ht="15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</row>
    <row r="110" ht="15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</row>
    <row r="111" ht="15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</row>
    <row r="112" ht="15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</row>
    <row r="113" ht="15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</row>
    <row r="114" ht="15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</row>
    <row r="115" ht="15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  <c r="AO115" s="93"/>
    </row>
    <row r="116" ht="15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</row>
    <row r="117" ht="15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</row>
    <row r="118" ht="15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</row>
    <row r="119" ht="15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</row>
    <row r="120" ht="15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</row>
    <row r="121" ht="15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</row>
    <row r="122" ht="15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</row>
    <row r="123" ht="15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</row>
    <row r="124" ht="15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</row>
    <row r="125" ht="15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</row>
    <row r="126" ht="15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</row>
    <row r="127" ht="15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</row>
    <row r="128" ht="15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</row>
    <row r="129" ht="15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</row>
    <row r="130" ht="15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</row>
    <row r="131" ht="15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  <c r="AO131" s="93"/>
    </row>
    <row r="132" ht="15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</row>
    <row r="133" ht="15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  <c r="AO133" s="93"/>
    </row>
    <row r="134" ht="15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</row>
    <row r="135" ht="15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  <c r="AO135" s="93"/>
    </row>
    <row r="136" ht="15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</row>
    <row r="137" ht="15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</row>
    <row r="138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  <c r="AO138" s="93"/>
    </row>
    <row r="139" ht="15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</row>
    <row r="140" ht="15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  <c r="AO140" s="93"/>
    </row>
    <row r="141" ht="15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  <c r="AO141" s="93"/>
    </row>
    <row r="142" ht="15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</row>
    <row r="143" ht="15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</row>
    <row r="144" ht="15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</row>
    <row r="145" ht="15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</row>
    <row r="146" ht="15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</row>
    <row r="147" ht="15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</row>
    <row r="148" ht="15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</row>
    <row r="149" ht="15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</row>
    <row r="150" ht="15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</row>
    <row r="151" ht="15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</row>
    <row r="152" ht="15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</row>
    <row r="153" ht="15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</row>
    <row r="154" ht="15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</row>
    <row r="155" ht="15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</row>
    <row r="156" ht="15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</row>
    <row r="157" ht="15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</row>
    <row r="158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</row>
    <row r="159" ht="15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</row>
    <row r="160" ht="15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</row>
    <row r="161" ht="15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</row>
    <row r="16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</row>
    <row r="163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</row>
    <row r="164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</row>
    <row r="165" ht="15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</row>
    <row r="166" ht="15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</row>
    <row r="167" ht="15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</row>
    <row r="168" ht="15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</row>
    <row r="169" ht="15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</row>
    <row r="170" ht="15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</row>
    <row r="171" ht="15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</row>
    <row r="172" ht="15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</row>
    <row r="173" ht="15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</row>
    <row r="174" ht="15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</row>
    <row r="175" ht="15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</row>
    <row r="176" ht="15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</row>
    <row r="177" ht="15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</row>
    <row r="178" ht="15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</row>
    <row r="179" ht="15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</row>
    <row r="180" ht="15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</row>
    <row r="181" ht="15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</row>
    <row r="182" ht="15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</row>
    <row r="183" ht="15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</row>
    <row r="184" ht="15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</row>
    <row r="185" ht="15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</row>
    <row r="186" ht="15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</row>
    <row r="187" ht="15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</row>
    <row r="188" ht="15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</row>
    <row r="189" ht="15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</row>
    <row r="190" ht="15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</row>
    <row r="191" ht="15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</row>
    <row r="192" ht="15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</row>
    <row r="193" ht="15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</row>
    <row r="194" ht="15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</row>
    <row r="195" ht="15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</row>
    <row r="196" ht="15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</row>
    <row r="197" ht="15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  <c r="AO197" s="93"/>
    </row>
    <row r="198" ht="15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  <c r="AO198" s="93"/>
    </row>
    <row r="199" ht="15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</row>
    <row r="200" ht="15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</row>
    <row r="201" ht="15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</row>
    <row r="202" ht="15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</row>
    <row r="203" ht="15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</row>
    <row r="204" ht="15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</row>
    <row r="205" ht="15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  <c r="AO205" s="93"/>
    </row>
    <row r="206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</row>
    <row r="207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</row>
    <row r="208" ht="15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</row>
    <row r="209" ht="15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</row>
    <row r="210" ht="15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</row>
    <row r="211" ht="15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</row>
    <row r="212" ht="15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</row>
    <row r="213" ht="15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  <c r="AO213" s="93"/>
    </row>
    <row r="214" ht="15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  <c r="AO214" s="93"/>
    </row>
    <row r="215" ht="15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</row>
    <row r="216" ht="15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  <c r="AO216" s="93"/>
    </row>
    <row r="217" ht="15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  <c r="AO217" s="93"/>
    </row>
    <row r="218" ht="15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</row>
    <row r="219" ht="15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</row>
    <row r="220" ht="15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  <c r="AO220" s="93"/>
    </row>
    <row r="221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  <c r="AO221" s="93"/>
    </row>
    <row r="22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  <c r="AO222" s="93"/>
    </row>
    <row r="223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  <c r="AO223" s="93"/>
    </row>
    <row r="224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  <c r="AO224" s="93"/>
    </row>
    <row r="225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  <c r="AO225" s="93"/>
    </row>
    <row r="226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  <c r="AO226" s="93"/>
    </row>
    <row r="227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</row>
    <row r="228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  <c r="AO228" s="93"/>
    </row>
    <row r="229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  <c r="AO229" s="93"/>
    </row>
    <row r="230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  <c r="AO230" s="93"/>
    </row>
    <row r="231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  <c r="AO231" s="93"/>
    </row>
    <row r="23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  <c r="AO232" s="93"/>
    </row>
    <row r="233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  <c r="AM233" s="93"/>
      <c r="AN233" s="93"/>
      <c r="AO233" s="93"/>
    </row>
    <row r="234" ht="15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  <c r="AM234" s="93"/>
      <c r="AN234" s="93"/>
      <c r="AO234" s="93"/>
    </row>
    <row r="235" ht="15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  <c r="AM235" s="93"/>
      <c r="AN235" s="93"/>
      <c r="AO235" s="93"/>
    </row>
    <row r="236" ht="15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  <c r="AM236" s="93"/>
      <c r="AN236" s="93"/>
      <c r="AO236" s="93"/>
    </row>
    <row r="237" ht="15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  <c r="AM237" s="93"/>
      <c r="AN237" s="93"/>
      <c r="AO237" s="93"/>
    </row>
    <row r="238" ht="15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  <c r="AM238" s="93"/>
      <c r="AN238" s="93"/>
      <c r="AO238" s="93"/>
    </row>
    <row r="239" ht="15.7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  <c r="AM239" s="93"/>
      <c r="AN239" s="93"/>
      <c r="AO239" s="93"/>
    </row>
    <row r="240" ht="15.7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  <c r="AM240" s="93"/>
      <c r="AN240" s="93"/>
      <c r="AO240" s="93"/>
    </row>
    <row r="241" ht="15.7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  <c r="AM241" s="93"/>
      <c r="AN241" s="93"/>
      <c r="AO241" s="93"/>
    </row>
    <row r="242" ht="15.7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  <c r="AM242" s="93"/>
      <c r="AN242" s="93"/>
      <c r="AO242" s="93"/>
    </row>
    <row r="243" ht="15.7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  <c r="AM243" s="93"/>
      <c r="AN243" s="93"/>
      <c r="AO243" s="93"/>
    </row>
    <row r="244" ht="15.7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  <c r="AM244" s="93"/>
      <c r="AN244" s="93"/>
      <c r="AO244" s="93"/>
    </row>
    <row r="245" ht="15.7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  <c r="AM245" s="93"/>
      <c r="AN245" s="93"/>
      <c r="AO245" s="93"/>
    </row>
    <row r="246" ht="15.75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  <c r="AM246" s="93"/>
      <c r="AN246" s="93"/>
      <c r="AO246" s="93"/>
    </row>
    <row r="247" ht="15.75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  <c r="AM247" s="93"/>
      <c r="AN247" s="93"/>
      <c r="AO247" s="93"/>
    </row>
    <row r="248" ht="15.75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  <c r="AM248" s="93"/>
      <c r="AN248" s="93"/>
      <c r="AO248" s="93"/>
    </row>
    <row r="249" ht="15.75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  <c r="AM249" s="93"/>
      <c r="AN249" s="93"/>
      <c r="AO249" s="93"/>
    </row>
    <row r="250" ht="15.75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  <c r="AM250" s="93"/>
      <c r="AN250" s="93"/>
      <c r="AO250" s="93"/>
    </row>
    <row r="251" ht="15.7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  <c r="AM251" s="93"/>
      <c r="AN251" s="93"/>
      <c r="AO251" s="93"/>
    </row>
    <row r="252" ht="15.7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  <c r="AM252" s="93"/>
      <c r="AN252" s="93"/>
      <c r="AO252" s="93"/>
    </row>
    <row r="253" ht="15.7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  <c r="AM253" s="93"/>
      <c r="AN253" s="93"/>
      <c r="AO253" s="93"/>
    </row>
    <row r="254" ht="15.7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  <c r="AM254" s="93"/>
      <c r="AN254" s="93"/>
      <c r="AO254" s="93"/>
    </row>
    <row r="255" ht="15.7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  <c r="AM255" s="93"/>
      <c r="AN255" s="93"/>
      <c r="AO255" s="93"/>
    </row>
    <row r="256" ht="15.7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  <c r="AM256" s="93"/>
      <c r="AN256" s="93"/>
      <c r="AO256" s="93"/>
    </row>
    <row r="257" ht="15.7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  <c r="AM257" s="93"/>
      <c r="AN257" s="93"/>
      <c r="AO257" s="93"/>
    </row>
    <row r="258" ht="15.7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  <c r="AM258" s="93"/>
      <c r="AN258" s="93"/>
      <c r="AO258" s="93"/>
    </row>
    <row r="259" ht="15.7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  <c r="AM259" s="93"/>
      <c r="AN259" s="93"/>
      <c r="AO259" s="93"/>
    </row>
    <row r="260" ht="15.7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  <c r="AM260" s="93"/>
      <c r="AN260" s="93"/>
      <c r="AO260" s="93"/>
    </row>
    <row r="261" ht="15.7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  <c r="AM261" s="93"/>
      <c r="AN261" s="93"/>
      <c r="AO261" s="93"/>
    </row>
    <row r="262" ht="15.7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  <c r="AM262" s="93"/>
      <c r="AN262" s="93"/>
      <c r="AO262" s="93"/>
    </row>
    <row r="263" ht="15.7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  <c r="AM263" s="93"/>
      <c r="AN263" s="93"/>
      <c r="AO263" s="93"/>
    </row>
    <row r="264" ht="15.7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  <c r="AM264" s="93"/>
      <c r="AN264" s="93"/>
      <c r="AO264" s="93"/>
    </row>
    <row r="265" ht="15.7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  <c r="AM265" s="93"/>
      <c r="AN265" s="93"/>
      <c r="AO265" s="93"/>
    </row>
    <row r="266" ht="15.7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  <c r="AM266" s="93"/>
      <c r="AN266" s="93"/>
      <c r="AO266" s="93"/>
    </row>
    <row r="267" ht="15.7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  <c r="AM267" s="93"/>
      <c r="AN267" s="93"/>
      <c r="AO267" s="93"/>
    </row>
    <row r="268" ht="15.7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  <c r="AM268" s="93"/>
      <c r="AN268" s="93"/>
      <c r="AO268" s="93"/>
    </row>
    <row r="269" ht="15.7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  <c r="AM269" s="93"/>
      <c r="AN269" s="93"/>
      <c r="AO269" s="93"/>
    </row>
    <row r="270" ht="15.7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  <c r="AM270" s="93"/>
      <c r="AN270" s="93"/>
      <c r="AO270" s="93"/>
    </row>
    <row r="271" ht="15.7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  <c r="AM271" s="93"/>
      <c r="AN271" s="93"/>
      <c r="AO271" s="93"/>
    </row>
    <row r="272" ht="15.7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  <c r="AM272" s="93"/>
      <c r="AN272" s="93"/>
      <c r="AO272" s="93"/>
    </row>
    <row r="273" ht="15.7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  <c r="AM273" s="93"/>
      <c r="AN273" s="93"/>
      <c r="AO273" s="93"/>
    </row>
    <row r="274" ht="15.7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  <c r="AM274" s="93"/>
      <c r="AN274" s="93"/>
      <c r="AO274" s="93"/>
    </row>
    <row r="275" ht="15.7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  <c r="AM275" s="93"/>
      <c r="AN275" s="93"/>
      <c r="AO275" s="93"/>
    </row>
    <row r="276" ht="15.7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  <c r="AM276" s="93"/>
      <c r="AN276" s="93"/>
      <c r="AO276" s="93"/>
    </row>
    <row r="277" ht="15.7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  <c r="AM277" s="93"/>
      <c r="AN277" s="93"/>
      <c r="AO277" s="93"/>
    </row>
    <row r="278" ht="15.7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  <c r="AM278" s="93"/>
      <c r="AN278" s="93"/>
      <c r="AO278" s="93"/>
    </row>
    <row r="279" ht="15.7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  <c r="AM279" s="93"/>
      <c r="AN279" s="93"/>
      <c r="AO279" s="93"/>
    </row>
    <row r="280" ht="15.7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  <c r="AM280" s="93"/>
      <c r="AN280" s="93"/>
      <c r="AO280" s="93"/>
    </row>
    <row r="281" ht="15.7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  <c r="AM281" s="93"/>
      <c r="AN281" s="93"/>
      <c r="AO281" s="93"/>
    </row>
    <row r="282" ht="15.7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  <c r="AM282" s="93"/>
      <c r="AN282" s="93"/>
      <c r="AO282" s="93"/>
    </row>
    <row r="283" ht="15.7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  <c r="AM283" s="93"/>
      <c r="AN283" s="93"/>
      <c r="AO283" s="93"/>
    </row>
    <row r="284" ht="15.7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  <c r="AM284" s="93"/>
      <c r="AN284" s="93"/>
      <c r="AO284" s="93"/>
    </row>
    <row r="285" ht="15.7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  <c r="AM285" s="93"/>
      <c r="AN285" s="93"/>
      <c r="AO285" s="93"/>
    </row>
    <row r="286" ht="15.7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  <c r="AM286" s="93"/>
      <c r="AN286" s="93"/>
      <c r="AO286" s="93"/>
    </row>
    <row r="287" ht="15.7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  <c r="AM287" s="93"/>
      <c r="AN287" s="93"/>
      <c r="AO287" s="93"/>
    </row>
    <row r="288" ht="15.7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  <c r="AM288" s="93"/>
      <c r="AN288" s="93"/>
      <c r="AO288" s="93"/>
    </row>
    <row r="289" ht="15.7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  <c r="AM289" s="93"/>
      <c r="AN289" s="93"/>
      <c r="AO289" s="93"/>
    </row>
    <row r="290" ht="15.7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  <c r="AM290" s="93"/>
      <c r="AN290" s="93"/>
      <c r="AO290" s="93"/>
    </row>
    <row r="291" ht="15.7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  <c r="AM291" s="93"/>
      <c r="AN291" s="93"/>
      <c r="AO291" s="93"/>
    </row>
    <row r="292" ht="15.7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  <c r="AM292" s="93"/>
      <c r="AN292" s="93"/>
      <c r="AO292" s="93"/>
    </row>
    <row r="293" ht="15.7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  <c r="AM293" s="93"/>
      <c r="AN293" s="93"/>
      <c r="AO293" s="93"/>
    </row>
    <row r="294" ht="15.7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  <c r="AM294" s="93"/>
      <c r="AN294" s="93"/>
      <c r="AO294" s="93"/>
    </row>
    <row r="295" ht="15.7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  <c r="AM295" s="93"/>
      <c r="AN295" s="93"/>
      <c r="AO295" s="93"/>
    </row>
    <row r="296" ht="15.7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  <c r="AM296" s="93"/>
      <c r="AN296" s="93"/>
      <c r="AO296" s="93"/>
    </row>
    <row r="297" ht="15.7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  <c r="AM297" s="93"/>
      <c r="AN297" s="93"/>
      <c r="AO297" s="93"/>
    </row>
    <row r="298" ht="15.7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</row>
    <row r="299" ht="15.7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  <c r="AM299" s="93"/>
      <c r="AN299" s="93"/>
      <c r="AO299" s="93"/>
    </row>
    <row r="300" ht="15.7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</row>
    <row r="301" ht="15.7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  <c r="AM301" s="93"/>
      <c r="AN301" s="93"/>
      <c r="AO301" s="93"/>
    </row>
    <row r="302" ht="15.7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  <c r="AM302" s="93"/>
      <c r="AN302" s="93"/>
      <c r="AO302" s="93"/>
    </row>
    <row r="303" ht="15.7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  <c r="AM303" s="93"/>
      <c r="AN303" s="93"/>
      <c r="AO303" s="93"/>
    </row>
    <row r="304" ht="15.7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  <c r="AM304" s="93"/>
      <c r="AN304" s="93"/>
      <c r="AO304" s="93"/>
    </row>
    <row r="305" ht="15.7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  <c r="AM305" s="93"/>
      <c r="AN305" s="93"/>
      <c r="AO305" s="93"/>
    </row>
    <row r="306" ht="15.7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  <c r="AN306" s="93"/>
      <c r="AO306" s="93"/>
    </row>
    <row r="307" ht="15.7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3"/>
      <c r="AJ307" s="93"/>
      <c r="AK307" s="93"/>
      <c r="AL307" s="93"/>
      <c r="AM307" s="93"/>
      <c r="AN307" s="93"/>
      <c r="AO307" s="93"/>
    </row>
    <row r="308" ht="15.7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3"/>
      <c r="AJ308" s="93"/>
      <c r="AK308" s="93"/>
      <c r="AL308" s="93"/>
      <c r="AM308" s="93"/>
      <c r="AN308" s="93"/>
      <c r="AO308" s="93"/>
    </row>
    <row r="309" ht="15.7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3"/>
      <c r="AJ309" s="93"/>
      <c r="AK309" s="93"/>
      <c r="AL309" s="93"/>
      <c r="AM309" s="93"/>
      <c r="AN309" s="93"/>
      <c r="AO309" s="93"/>
    </row>
    <row r="310" ht="15.7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  <c r="AM310" s="93"/>
      <c r="AN310" s="93"/>
      <c r="AO310" s="93"/>
    </row>
    <row r="311" ht="15.7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3"/>
      <c r="AJ311" s="93"/>
      <c r="AK311" s="93"/>
      <c r="AL311" s="93"/>
      <c r="AM311" s="93"/>
      <c r="AN311" s="93"/>
      <c r="AO311" s="93"/>
    </row>
    <row r="312" ht="15.7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3"/>
      <c r="AJ312" s="93"/>
      <c r="AK312" s="93"/>
      <c r="AL312" s="93"/>
      <c r="AM312" s="93"/>
      <c r="AN312" s="93"/>
      <c r="AO312" s="93"/>
    </row>
    <row r="313" ht="15.7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3"/>
      <c r="AJ313" s="93"/>
      <c r="AK313" s="93"/>
      <c r="AL313" s="93"/>
      <c r="AM313" s="93"/>
      <c r="AN313" s="93"/>
      <c r="AO313" s="93"/>
    </row>
    <row r="314" ht="15.7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  <c r="AM314" s="93"/>
      <c r="AN314" s="93"/>
      <c r="AO314" s="93"/>
    </row>
    <row r="315" ht="15.7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  <c r="AM315" s="93"/>
      <c r="AN315" s="93"/>
      <c r="AO315" s="93"/>
    </row>
    <row r="316" ht="15.7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  <c r="AM316" s="93"/>
      <c r="AN316" s="93"/>
      <c r="AO316" s="93"/>
    </row>
    <row r="317" ht="15.7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  <c r="AM317" s="93"/>
      <c r="AN317" s="93"/>
      <c r="AO317" s="93"/>
    </row>
    <row r="318" ht="15.7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3"/>
      <c r="AJ318" s="93"/>
      <c r="AK318" s="93"/>
      <c r="AL318" s="93"/>
      <c r="AM318" s="93"/>
      <c r="AN318" s="93"/>
      <c r="AO318" s="93"/>
    </row>
    <row r="319" ht="15.7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  <c r="AF319" s="93"/>
      <c r="AG319" s="93"/>
      <c r="AH319" s="93"/>
      <c r="AI319" s="93"/>
      <c r="AJ319" s="93"/>
      <c r="AK319" s="93"/>
      <c r="AL319" s="93"/>
      <c r="AM319" s="93"/>
      <c r="AN319" s="93"/>
      <c r="AO319" s="93"/>
    </row>
    <row r="320" ht="15.7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  <c r="AF320" s="93"/>
      <c r="AG320" s="93"/>
      <c r="AH320" s="93"/>
      <c r="AI320" s="93"/>
      <c r="AJ320" s="93"/>
      <c r="AK320" s="93"/>
      <c r="AL320" s="93"/>
      <c r="AM320" s="93"/>
      <c r="AN320" s="93"/>
      <c r="AO320" s="93"/>
    </row>
    <row r="321" ht="15.7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  <c r="AF321" s="93"/>
      <c r="AG321" s="93"/>
      <c r="AH321" s="93"/>
      <c r="AI321" s="93"/>
      <c r="AJ321" s="93"/>
      <c r="AK321" s="93"/>
      <c r="AL321" s="93"/>
      <c r="AM321" s="93"/>
      <c r="AN321" s="93"/>
      <c r="AO321" s="93"/>
    </row>
    <row r="322" ht="15.7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  <c r="AF322" s="93"/>
      <c r="AG322" s="93"/>
      <c r="AH322" s="93"/>
      <c r="AI322" s="93"/>
      <c r="AJ322" s="93"/>
      <c r="AK322" s="93"/>
      <c r="AL322" s="93"/>
      <c r="AM322" s="93"/>
      <c r="AN322" s="93"/>
      <c r="AO322" s="93"/>
    </row>
    <row r="323" ht="15.7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3"/>
      <c r="AH323" s="93"/>
      <c r="AI323" s="93"/>
      <c r="AJ323" s="93"/>
      <c r="AK323" s="93"/>
      <c r="AL323" s="93"/>
      <c r="AM323" s="93"/>
      <c r="AN323" s="93"/>
      <c r="AO323" s="93"/>
    </row>
    <row r="324" ht="15.7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  <c r="AF324" s="93"/>
      <c r="AG324" s="93"/>
      <c r="AH324" s="93"/>
      <c r="AI324" s="93"/>
      <c r="AJ324" s="93"/>
      <c r="AK324" s="93"/>
      <c r="AL324" s="93"/>
      <c r="AM324" s="93"/>
      <c r="AN324" s="93"/>
      <c r="AO324" s="93"/>
    </row>
    <row r="325" ht="15.7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3"/>
      <c r="AJ325" s="93"/>
      <c r="AK325" s="93"/>
      <c r="AL325" s="93"/>
      <c r="AM325" s="93"/>
      <c r="AN325" s="93"/>
      <c r="AO325" s="93"/>
    </row>
    <row r="326" ht="15.7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3"/>
      <c r="AJ326" s="93"/>
      <c r="AK326" s="93"/>
      <c r="AL326" s="93"/>
      <c r="AM326" s="93"/>
      <c r="AN326" s="93"/>
      <c r="AO326" s="93"/>
    </row>
    <row r="327" ht="15.7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3"/>
      <c r="AJ327" s="93"/>
      <c r="AK327" s="93"/>
      <c r="AL327" s="93"/>
      <c r="AM327" s="93"/>
      <c r="AN327" s="93"/>
      <c r="AO327" s="93"/>
    </row>
    <row r="328" ht="15.7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3"/>
      <c r="AJ328" s="93"/>
      <c r="AK328" s="93"/>
      <c r="AL328" s="93"/>
      <c r="AM328" s="93"/>
      <c r="AN328" s="93"/>
      <c r="AO328" s="93"/>
    </row>
    <row r="329" ht="15.7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3"/>
      <c r="AJ329" s="93"/>
      <c r="AK329" s="93"/>
      <c r="AL329" s="93"/>
      <c r="AM329" s="93"/>
      <c r="AN329" s="93"/>
      <c r="AO329" s="93"/>
    </row>
    <row r="330" ht="15.7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3"/>
      <c r="AJ330" s="93"/>
      <c r="AK330" s="93"/>
      <c r="AL330" s="93"/>
      <c r="AM330" s="93"/>
      <c r="AN330" s="93"/>
      <c r="AO330" s="93"/>
    </row>
    <row r="331" ht="15.7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3"/>
      <c r="AJ331" s="93"/>
      <c r="AK331" s="93"/>
      <c r="AL331" s="93"/>
      <c r="AM331" s="93"/>
      <c r="AN331" s="93"/>
      <c r="AO331" s="93"/>
    </row>
    <row r="332" ht="15.7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3"/>
      <c r="AJ332" s="93"/>
      <c r="AK332" s="93"/>
      <c r="AL332" s="93"/>
      <c r="AM332" s="93"/>
      <c r="AN332" s="93"/>
      <c r="AO332" s="93"/>
    </row>
    <row r="333" ht="15.7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3"/>
      <c r="AJ333" s="93"/>
      <c r="AK333" s="93"/>
      <c r="AL333" s="93"/>
      <c r="AM333" s="93"/>
      <c r="AN333" s="93"/>
      <c r="AO333" s="93"/>
    </row>
    <row r="334" ht="15.7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  <c r="AF334" s="93"/>
      <c r="AG334" s="93"/>
      <c r="AH334" s="93"/>
      <c r="AI334" s="93"/>
      <c r="AJ334" s="93"/>
      <c r="AK334" s="93"/>
      <c r="AL334" s="93"/>
      <c r="AM334" s="93"/>
      <c r="AN334" s="93"/>
      <c r="AO334" s="93"/>
    </row>
    <row r="335" ht="15.7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3"/>
      <c r="AH335" s="93"/>
      <c r="AI335" s="93"/>
      <c r="AJ335" s="93"/>
      <c r="AK335" s="93"/>
      <c r="AL335" s="93"/>
      <c r="AM335" s="93"/>
      <c r="AN335" s="93"/>
      <c r="AO335" s="93"/>
    </row>
    <row r="336" ht="15.7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3"/>
      <c r="AH336" s="93"/>
      <c r="AI336" s="93"/>
      <c r="AJ336" s="93"/>
      <c r="AK336" s="93"/>
      <c r="AL336" s="93"/>
      <c r="AM336" s="93"/>
      <c r="AN336" s="93"/>
      <c r="AO336" s="93"/>
    </row>
    <row r="337" ht="15.7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3"/>
      <c r="AH337" s="93"/>
      <c r="AI337" s="93"/>
      <c r="AJ337" s="93"/>
      <c r="AK337" s="93"/>
      <c r="AL337" s="93"/>
      <c r="AM337" s="93"/>
      <c r="AN337" s="93"/>
      <c r="AO337" s="93"/>
    </row>
    <row r="338" ht="15.7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</row>
    <row r="339" ht="15.7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3"/>
      <c r="AH339" s="93"/>
      <c r="AI339" s="93"/>
      <c r="AJ339" s="93"/>
      <c r="AK339" s="93"/>
      <c r="AL339" s="93"/>
      <c r="AM339" s="93"/>
      <c r="AN339" s="93"/>
      <c r="AO339" s="93"/>
    </row>
    <row r="340" ht="15.7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</row>
    <row r="341" ht="15.7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3"/>
      <c r="AH341" s="93"/>
      <c r="AI341" s="93"/>
      <c r="AJ341" s="93"/>
      <c r="AK341" s="93"/>
      <c r="AL341" s="93"/>
      <c r="AM341" s="93"/>
      <c r="AN341" s="93"/>
      <c r="AO341" s="93"/>
    </row>
    <row r="342" ht="15.7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  <c r="AF342" s="93"/>
      <c r="AG342" s="93"/>
      <c r="AH342" s="93"/>
      <c r="AI342" s="93"/>
      <c r="AJ342" s="93"/>
      <c r="AK342" s="93"/>
      <c r="AL342" s="93"/>
      <c r="AM342" s="93"/>
      <c r="AN342" s="93"/>
      <c r="AO342" s="93"/>
    </row>
    <row r="343" ht="15.7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3"/>
      <c r="AH343" s="93"/>
      <c r="AI343" s="93"/>
      <c r="AJ343" s="93"/>
      <c r="AK343" s="93"/>
      <c r="AL343" s="93"/>
      <c r="AM343" s="93"/>
      <c r="AN343" s="93"/>
      <c r="AO343" s="93"/>
    </row>
    <row r="344" ht="15.7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3"/>
      <c r="AJ344" s="93"/>
      <c r="AK344" s="93"/>
      <c r="AL344" s="93"/>
      <c r="AM344" s="93"/>
      <c r="AN344" s="93"/>
      <c r="AO344" s="93"/>
    </row>
    <row r="345" ht="15.7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3"/>
      <c r="AJ345" s="93"/>
      <c r="AK345" s="93"/>
      <c r="AL345" s="93"/>
      <c r="AM345" s="93"/>
      <c r="AN345" s="93"/>
      <c r="AO345" s="93"/>
    </row>
    <row r="346" ht="15.7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3"/>
      <c r="AJ346" s="93"/>
      <c r="AK346" s="93"/>
      <c r="AL346" s="93"/>
      <c r="AM346" s="93"/>
      <c r="AN346" s="93"/>
      <c r="AO346" s="93"/>
    </row>
    <row r="347" ht="15.7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3"/>
      <c r="AJ347" s="93"/>
      <c r="AK347" s="93"/>
      <c r="AL347" s="93"/>
      <c r="AM347" s="93"/>
      <c r="AN347" s="93"/>
      <c r="AO347" s="93"/>
    </row>
    <row r="348" ht="15.7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3"/>
      <c r="AJ348" s="93"/>
      <c r="AK348" s="93"/>
      <c r="AL348" s="93"/>
      <c r="AM348" s="93"/>
      <c r="AN348" s="93"/>
      <c r="AO348" s="93"/>
    </row>
    <row r="349" ht="15.7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  <c r="AM349" s="93"/>
      <c r="AN349" s="93"/>
      <c r="AO349" s="93"/>
    </row>
    <row r="350" ht="15.7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3"/>
      <c r="AJ350" s="93"/>
      <c r="AK350" s="93"/>
      <c r="AL350" s="93"/>
      <c r="AM350" s="93"/>
      <c r="AN350" s="93"/>
      <c r="AO350" s="93"/>
    </row>
    <row r="351" ht="15.7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3"/>
      <c r="AJ351" s="93"/>
      <c r="AK351" s="93"/>
      <c r="AL351" s="93"/>
      <c r="AM351" s="93"/>
      <c r="AN351" s="93"/>
      <c r="AO351" s="93"/>
    </row>
    <row r="352" ht="15.7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  <c r="AJ352" s="93"/>
      <c r="AK352" s="93"/>
      <c r="AL352" s="93"/>
      <c r="AM352" s="93"/>
      <c r="AN352" s="93"/>
      <c r="AO352" s="93"/>
    </row>
    <row r="353" ht="15.7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  <c r="AM353" s="93"/>
      <c r="AN353" s="93"/>
      <c r="AO353" s="93"/>
    </row>
    <row r="354" ht="15.7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3"/>
      <c r="AJ354" s="93"/>
      <c r="AK354" s="93"/>
      <c r="AL354" s="93"/>
      <c r="AM354" s="93"/>
      <c r="AN354" s="93"/>
      <c r="AO354" s="93"/>
    </row>
    <row r="355" ht="15.7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3"/>
      <c r="AJ355" s="93"/>
      <c r="AK355" s="93"/>
      <c r="AL355" s="93"/>
      <c r="AM355" s="93"/>
      <c r="AN355" s="93"/>
      <c r="AO355" s="93"/>
    </row>
    <row r="356" ht="15.7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3"/>
      <c r="AJ356" s="93"/>
      <c r="AK356" s="93"/>
      <c r="AL356" s="93"/>
      <c r="AM356" s="93"/>
      <c r="AN356" s="93"/>
      <c r="AO356" s="93"/>
    </row>
    <row r="357" ht="15.7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3"/>
      <c r="AJ357" s="93"/>
      <c r="AK357" s="93"/>
      <c r="AL357" s="93"/>
      <c r="AM357" s="93"/>
      <c r="AN357" s="93"/>
      <c r="AO357" s="93"/>
    </row>
    <row r="358" ht="15.7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3"/>
      <c r="AJ358" s="93"/>
      <c r="AK358" s="93"/>
      <c r="AL358" s="93"/>
      <c r="AM358" s="93"/>
      <c r="AN358" s="93"/>
      <c r="AO358" s="93"/>
    </row>
    <row r="359" ht="15.7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3"/>
      <c r="AJ359" s="93"/>
      <c r="AK359" s="93"/>
      <c r="AL359" s="93"/>
      <c r="AM359" s="93"/>
      <c r="AN359" s="93"/>
      <c r="AO359" s="93"/>
    </row>
    <row r="360" ht="15.7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  <c r="AM360" s="93"/>
      <c r="AN360" s="93"/>
      <c r="AO360" s="93"/>
    </row>
    <row r="361" ht="15.7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  <c r="AM361" s="93"/>
      <c r="AN361" s="93"/>
      <c r="AO361" s="93"/>
    </row>
    <row r="362" ht="15.7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  <c r="AM362" s="93"/>
      <c r="AN362" s="93"/>
      <c r="AO362" s="93"/>
    </row>
    <row r="363" ht="15.7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  <c r="AM363" s="93"/>
      <c r="AN363" s="93"/>
      <c r="AO363" s="93"/>
    </row>
    <row r="364" ht="15.7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  <c r="AM364" s="93"/>
      <c r="AN364" s="93"/>
      <c r="AO364" s="93"/>
    </row>
    <row r="365" ht="15.7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  <c r="AM365" s="93"/>
      <c r="AN365" s="93"/>
      <c r="AO365" s="93"/>
    </row>
    <row r="366" ht="15.7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  <c r="AM366" s="93"/>
      <c r="AN366" s="93"/>
      <c r="AO366" s="93"/>
    </row>
    <row r="367" ht="15.7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  <c r="AM367" s="93"/>
      <c r="AN367" s="93"/>
      <c r="AO367" s="93"/>
    </row>
    <row r="368" ht="15.7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  <c r="AM368" s="93"/>
      <c r="AN368" s="93"/>
      <c r="AO368" s="93"/>
    </row>
    <row r="369" ht="15.7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  <c r="AM369" s="93"/>
      <c r="AN369" s="93"/>
      <c r="AO369" s="93"/>
    </row>
    <row r="370" ht="15.7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  <c r="AM370" s="93"/>
      <c r="AN370" s="93"/>
      <c r="AO370" s="93"/>
    </row>
    <row r="371" ht="15.7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  <c r="AM371" s="93"/>
      <c r="AN371" s="93"/>
      <c r="AO371" s="93"/>
    </row>
    <row r="372" ht="15.7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  <c r="AM372" s="93"/>
      <c r="AN372" s="93"/>
      <c r="AO372" s="93"/>
    </row>
    <row r="373" ht="15.7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  <c r="AM373" s="93"/>
      <c r="AN373" s="93"/>
      <c r="AO373" s="93"/>
    </row>
    <row r="374" ht="15.7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  <c r="AM374" s="93"/>
      <c r="AN374" s="93"/>
      <c r="AO374" s="93"/>
    </row>
    <row r="375" ht="15.7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93"/>
      <c r="AJ375" s="93"/>
      <c r="AK375" s="93"/>
      <c r="AL375" s="93"/>
      <c r="AM375" s="93"/>
      <c r="AN375" s="93"/>
      <c r="AO375" s="93"/>
    </row>
    <row r="376" ht="15.7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93"/>
      <c r="AJ376" s="93"/>
      <c r="AK376" s="93"/>
      <c r="AL376" s="93"/>
      <c r="AM376" s="93"/>
      <c r="AN376" s="93"/>
      <c r="AO376" s="93"/>
    </row>
    <row r="377" ht="15.7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3"/>
      <c r="AH377" s="93"/>
      <c r="AI377" s="93"/>
      <c r="AJ377" s="93"/>
      <c r="AK377" s="93"/>
      <c r="AL377" s="93"/>
      <c r="AM377" s="93"/>
      <c r="AN377" s="93"/>
      <c r="AO377" s="93"/>
    </row>
    <row r="378" ht="15.7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  <c r="AF378" s="93"/>
      <c r="AG378" s="93"/>
      <c r="AH378" s="93"/>
      <c r="AI378" s="93"/>
      <c r="AJ378" s="93"/>
      <c r="AK378" s="93"/>
      <c r="AL378" s="93"/>
      <c r="AM378" s="93"/>
      <c r="AN378" s="93"/>
      <c r="AO378" s="93"/>
    </row>
    <row r="379" ht="15.7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  <c r="AF379" s="93"/>
      <c r="AG379" s="93"/>
      <c r="AH379" s="93"/>
      <c r="AI379" s="93"/>
      <c r="AJ379" s="93"/>
      <c r="AK379" s="93"/>
      <c r="AL379" s="93"/>
      <c r="AM379" s="93"/>
      <c r="AN379" s="93"/>
      <c r="AO379" s="93"/>
    </row>
    <row r="380" ht="15.7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3"/>
      <c r="AI380" s="93"/>
      <c r="AJ380" s="93"/>
      <c r="AK380" s="93"/>
      <c r="AL380" s="93"/>
      <c r="AM380" s="93"/>
      <c r="AN380" s="93"/>
      <c r="AO380" s="93"/>
    </row>
    <row r="381" ht="15.7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93"/>
      <c r="AJ381" s="93"/>
      <c r="AK381" s="93"/>
      <c r="AL381" s="93"/>
      <c r="AM381" s="93"/>
      <c r="AN381" s="93"/>
      <c r="AO381" s="93"/>
    </row>
    <row r="382" ht="15.7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3"/>
      <c r="AH382" s="93"/>
      <c r="AI382" s="93"/>
      <c r="AJ382" s="93"/>
      <c r="AK382" s="93"/>
      <c r="AL382" s="93"/>
      <c r="AM382" s="93"/>
      <c r="AN382" s="93"/>
      <c r="AO382" s="93"/>
    </row>
    <row r="383" ht="15.7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  <c r="AH383" s="93"/>
      <c r="AI383" s="93"/>
      <c r="AJ383" s="93"/>
      <c r="AK383" s="93"/>
      <c r="AL383" s="93"/>
      <c r="AM383" s="93"/>
      <c r="AN383" s="93"/>
      <c r="AO383" s="93"/>
    </row>
    <row r="384" ht="15.7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  <c r="AH384" s="93"/>
      <c r="AI384" s="93"/>
      <c r="AJ384" s="93"/>
      <c r="AK384" s="93"/>
      <c r="AL384" s="93"/>
      <c r="AM384" s="93"/>
      <c r="AN384" s="93"/>
      <c r="AO384" s="93"/>
    </row>
    <row r="385" ht="15.7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3"/>
      <c r="AI385" s="93"/>
      <c r="AJ385" s="93"/>
      <c r="AK385" s="93"/>
      <c r="AL385" s="93"/>
      <c r="AM385" s="93"/>
      <c r="AN385" s="93"/>
      <c r="AO385" s="93"/>
    </row>
    <row r="386" ht="15.7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3"/>
      <c r="AI386" s="93"/>
      <c r="AJ386" s="93"/>
      <c r="AK386" s="93"/>
      <c r="AL386" s="93"/>
      <c r="AM386" s="93"/>
      <c r="AN386" s="93"/>
      <c r="AO386" s="93"/>
    </row>
    <row r="387" ht="15.7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3"/>
      <c r="AJ387" s="93"/>
      <c r="AK387" s="93"/>
      <c r="AL387" s="93"/>
      <c r="AM387" s="93"/>
      <c r="AN387" s="93"/>
      <c r="AO387" s="93"/>
    </row>
    <row r="388" ht="15.7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  <c r="AJ388" s="93"/>
      <c r="AK388" s="93"/>
      <c r="AL388" s="93"/>
      <c r="AM388" s="93"/>
      <c r="AN388" s="93"/>
      <c r="AO388" s="93"/>
    </row>
    <row r="389" ht="15.7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  <c r="AJ389" s="93"/>
      <c r="AK389" s="93"/>
      <c r="AL389" s="93"/>
      <c r="AM389" s="93"/>
      <c r="AN389" s="93"/>
      <c r="AO389" s="93"/>
    </row>
    <row r="390" ht="15.7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</row>
    <row r="391" ht="15.7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  <c r="AJ391" s="93"/>
      <c r="AK391" s="93"/>
      <c r="AL391" s="93"/>
      <c r="AM391" s="93"/>
      <c r="AN391" s="93"/>
      <c r="AO391" s="93"/>
    </row>
    <row r="392" ht="15.7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</row>
    <row r="393" ht="15.7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  <c r="AJ393" s="93"/>
      <c r="AK393" s="93"/>
      <c r="AL393" s="93"/>
      <c r="AM393" s="93"/>
      <c r="AN393" s="93"/>
      <c r="AO393" s="93"/>
    </row>
    <row r="394" ht="15.7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  <c r="AJ394" s="93"/>
      <c r="AK394" s="93"/>
      <c r="AL394" s="93"/>
      <c r="AM394" s="93"/>
      <c r="AN394" s="93"/>
      <c r="AO394" s="93"/>
    </row>
    <row r="395" ht="15.7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  <c r="AJ395" s="93"/>
      <c r="AK395" s="93"/>
      <c r="AL395" s="93"/>
      <c r="AM395" s="93"/>
      <c r="AN395" s="93"/>
      <c r="AO395" s="93"/>
    </row>
    <row r="396" ht="15.7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  <c r="AJ396" s="93"/>
      <c r="AK396" s="93"/>
      <c r="AL396" s="93"/>
      <c r="AM396" s="93"/>
      <c r="AN396" s="93"/>
      <c r="AO396" s="93"/>
    </row>
    <row r="397" ht="15.7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</row>
    <row r="398" ht="15.7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  <c r="AJ398" s="93"/>
      <c r="AK398" s="93"/>
      <c r="AL398" s="93"/>
      <c r="AM398" s="93"/>
      <c r="AN398" s="93"/>
      <c r="AO398" s="93"/>
    </row>
    <row r="399" ht="15.7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</row>
    <row r="400" ht="15.7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</row>
    <row r="401" ht="15.7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</row>
    <row r="402" ht="15.7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</row>
    <row r="403" ht="15.7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  <c r="AJ403" s="93"/>
      <c r="AK403" s="93"/>
      <c r="AL403" s="93"/>
      <c r="AM403" s="93"/>
      <c r="AN403" s="93"/>
      <c r="AO403" s="93"/>
    </row>
    <row r="404" ht="15.7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</row>
    <row r="405" ht="15.7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  <c r="AJ405" s="93"/>
      <c r="AK405" s="93"/>
      <c r="AL405" s="93"/>
      <c r="AM405" s="93"/>
      <c r="AN405" s="93"/>
      <c r="AO405" s="93"/>
    </row>
    <row r="406" ht="15.7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  <c r="AJ406" s="93"/>
      <c r="AK406" s="93"/>
      <c r="AL406" s="93"/>
      <c r="AM406" s="93"/>
      <c r="AN406" s="93"/>
      <c r="AO406" s="93"/>
    </row>
    <row r="407" ht="15.7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  <c r="AJ407" s="93"/>
      <c r="AK407" s="93"/>
      <c r="AL407" s="93"/>
      <c r="AM407" s="93"/>
      <c r="AN407" s="93"/>
      <c r="AO407" s="93"/>
    </row>
    <row r="408" ht="15.7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  <c r="AJ408" s="93"/>
      <c r="AK408" s="93"/>
      <c r="AL408" s="93"/>
      <c r="AM408" s="93"/>
      <c r="AN408" s="93"/>
      <c r="AO408" s="93"/>
    </row>
    <row r="409" ht="15.7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  <c r="AJ409" s="93"/>
      <c r="AK409" s="93"/>
      <c r="AL409" s="93"/>
      <c r="AM409" s="93"/>
      <c r="AN409" s="93"/>
      <c r="AO409" s="93"/>
    </row>
    <row r="410" ht="15.7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  <c r="AJ410" s="93"/>
      <c r="AK410" s="93"/>
      <c r="AL410" s="93"/>
      <c r="AM410" s="93"/>
      <c r="AN410" s="93"/>
      <c r="AO410" s="93"/>
    </row>
    <row r="411" ht="15.7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  <c r="AJ411" s="93"/>
      <c r="AK411" s="93"/>
      <c r="AL411" s="93"/>
      <c r="AM411" s="93"/>
      <c r="AN411" s="93"/>
      <c r="AO411" s="93"/>
    </row>
    <row r="412" ht="15.7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  <c r="AJ412" s="93"/>
      <c r="AK412" s="93"/>
      <c r="AL412" s="93"/>
      <c r="AM412" s="93"/>
      <c r="AN412" s="93"/>
      <c r="AO412" s="93"/>
    </row>
    <row r="413" ht="15.7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</row>
    <row r="414" ht="15.7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  <c r="AJ414" s="93"/>
      <c r="AK414" s="93"/>
      <c r="AL414" s="93"/>
      <c r="AM414" s="93"/>
      <c r="AN414" s="93"/>
      <c r="AO414" s="93"/>
    </row>
    <row r="415" ht="15.7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  <c r="AJ415" s="93"/>
      <c r="AK415" s="93"/>
      <c r="AL415" s="93"/>
      <c r="AM415" s="93"/>
      <c r="AN415" s="93"/>
      <c r="AO415" s="93"/>
    </row>
    <row r="416" ht="15.7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  <c r="AJ416" s="93"/>
      <c r="AK416" s="93"/>
      <c r="AL416" s="93"/>
      <c r="AM416" s="93"/>
      <c r="AN416" s="93"/>
      <c r="AO416" s="93"/>
    </row>
    <row r="417" ht="15.7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  <c r="AJ417" s="93"/>
      <c r="AK417" s="93"/>
      <c r="AL417" s="93"/>
      <c r="AM417" s="93"/>
      <c r="AN417" s="93"/>
      <c r="AO417" s="93"/>
    </row>
    <row r="418" ht="15.7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  <c r="AJ418" s="93"/>
      <c r="AK418" s="93"/>
      <c r="AL418" s="93"/>
      <c r="AM418" s="93"/>
      <c r="AN418" s="93"/>
      <c r="AO418" s="93"/>
    </row>
    <row r="419" ht="15.7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  <c r="AJ419" s="93"/>
      <c r="AK419" s="93"/>
      <c r="AL419" s="93"/>
      <c r="AM419" s="93"/>
      <c r="AN419" s="93"/>
      <c r="AO419" s="93"/>
    </row>
    <row r="420" ht="15.7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</row>
    <row r="421" ht="15.7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</row>
    <row r="422" ht="15.7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</row>
    <row r="423" ht="15.7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</row>
    <row r="424" ht="15.7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</row>
    <row r="425" ht="15.7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</row>
    <row r="426" ht="15.7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</row>
    <row r="427" ht="15.7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</row>
    <row r="428" ht="15.7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</row>
    <row r="429" ht="15.7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</row>
    <row r="430" ht="15.7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</row>
    <row r="431" ht="15.7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</row>
    <row r="432" ht="15.7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</row>
    <row r="433" ht="15.7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</row>
    <row r="434" ht="15.7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</row>
    <row r="435" ht="15.7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</row>
    <row r="436" ht="15.7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</row>
    <row r="437" ht="15.7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</row>
    <row r="438" ht="15.7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</row>
    <row r="439" ht="15.7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</row>
    <row r="440" ht="15.7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</row>
    <row r="441" ht="15.7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</row>
    <row r="442" ht="15.7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</row>
    <row r="443" ht="15.7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</row>
    <row r="444" ht="15.7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</row>
    <row r="445" ht="15.7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</row>
    <row r="446" ht="15.7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</row>
    <row r="447" ht="15.7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</row>
    <row r="448" ht="15.7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</row>
    <row r="449" ht="15.7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</row>
    <row r="450" ht="15.7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</row>
    <row r="451" ht="15.7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</row>
    <row r="452" ht="15.7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</row>
    <row r="453" ht="15.7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</row>
    <row r="454" ht="15.7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</row>
    <row r="455" ht="15.7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</row>
    <row r="456" ht="15.7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3"/>
      <c r="AM456" s="93"/>
      <c r="AN456" s="93"/>
      <c r="AO456" s="93"/>
    </row>
    <row r="457" ht="15.7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  <c r="AJ457" s="93"/>
      <c r="AK457" s="93"/>
      <c r="AL457" s="93"/>
      <c r="AM457" s="93"/>
      <c r="AN457" s="93"/>
      <c r="AO457" s="93"/>
    </row>
    <row r="458" ht="15.7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  <c r="AJ458" s="93"/>
      <c r="AK458" s="93"/>
      <c r="AL458" s="93"/>
      <c r="AM458" s="93"/>
      <c r="AN458" s="93"/>
      <c r="AO458" s="93"/>
    </row>
    <row r="459" ht="15.7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  <c r="AJ459" s="93"/>
      <c r="AK459" s="93"/>
      <c r="AL459" s="93"/>
      <c r="AM459" s="93"/>
      <c r="AN459" s="93"/>
      <c r="AO459" s="93"/>
    </row>
    <row r="460" ht="15.7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3"/>
      <c r="AM460" s="93"/>
      <c r="AN460" s="93"/>
      <c r="AO460" s="93"/>
    </row>
    <row r="461" ht="15.7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  <c r="AJ461" s="93"/>
      <c r="AK461" s="93"/>
      <c r="AL461" s="93"/>
      <c r="AM461" s="93"/>
      <c r="AN461" s="93"/>
      <c r="AO461" s="93"/>
    </row>
    <row r="462" ht="15.7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3"/>
      <c r="AM462" s="93"/>
      <c r="AN462" s="93"/>
      <c r="AO462" s="93"/>
    </row>
    <row r="463" ht="15.7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  <c r="AJ463" s="93"/>
      <c r="AK463" s="93"/>
      <c r="AL463" s="93"/>
      <c r="AM463" s="93"/>
      <c r="AN463" s="93"/>
      <c r="AO463" s="93"/>
    </row>
    <row r="464" ht="15.7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  <c r="AJ464" s="93"/>
      <c r="AK464" s="93"/>
      <c r="AL464" s="93"/>
      <c r="AM464" s="93"/>
      <c r="AN464" s="93"/>
      <c r="AO464" s="93"/>
    </row>
    <row r="465" ht="15.7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  <c r="AJ465" s="93"/>
      <c r="AK465" s="93"/>
      <c r="AL465" s="93"/>
      <c r="AM465" s="93"/>
      <c r="AN465" s="93"/>
      <c r="AO465" s="93"/>
    </row>
    <row r="466" ht="15.7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  <c r="AJ466" s="93"/>
      <c r="AK466" s="93"/>
      <c r="AL466" s="93"/>
      <c r="AM466" s="93"/>
      <c r="AN466" s="93"/>
      <c r="AO466" s="93"/>
    </row>
    <row r="467" ht="15.7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  <c r="AJ467" s="93"/>
      <c r="AK467" s="93"/>
      <c r="AL467" s="93"/>
      <c r="AM467" s="93"/>
      <c r="AN467" s="93"/>
      <c r="AO467" s="93"/>
    </row>
    <row r="468" ht="15.7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  <c r="AJ468" s="93"/>
      <c r="AK468" s="93"/>
      <c r="AL468" s="93"/>
      <c r="AM468" s="93"/>
      <c r="AN468" s="93"/>
      <c r="AO468" s="93"/>
    </row>
    <row r="469" ht="15.7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  <c r="AJ469" s="93"/>
      <c r="AK469" s="93"/>
      <c r="AL469" s="93"/>
      <c r="AM469" s="93"/>
      <c r="AN469" s="93"/>
      <c r="AO469" s="93"/>
    </row>
    <row r="470" ht="15.7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  <c r="AJ470" s="93"/>
      <c r="AK470" s="93"/>
      <c r="AL470" s="93"/>
      <c r="AM470" s="93"/>
      <c r="AN470" s="93"/>
      <c r="AO470" s="93"/>
    </row>
    <row r="471" ht="15.7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</row>
    <row r="472" ht="15.7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  <c r="AJ472" s="93"/>
      <c r="AK472" s="93"/>
      <c r="AL472" s="93"/>
      <c r="AM472" s="93"/>
      <c r="AN472" s="93"/>
      <c r="AO472" s="93"/>
    </row>
    <row r="473" ht="15.7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</row>
    <row r="474" ht="15.7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</row>
    <row r="475" ht="15.7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</row>
    <row r="476" ht="15.7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</row>
    <row r="477" ht="15.7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  <c r="AJ477" s="93"/>
      <c r="AK477" s="93"/>
      <c r="AL477" s="93"/>
      <c r="AM477" s="93"/>
      <c r="AN477" s="93"/>
      <c r="AO477" s="93"/>
    </row>
    <row r="478" ht="15.7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  <c r="AJ478" s="93"/>
      <c r="AK478" s="93"/>
      <c r="AL478" s="93"/>
      <c r="AM478" s="93"/>
      <c r="AN478" s="93"/>
      <c r="AO478" s="93"/>
    </row>
    <row r="479" ht="15.7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</row>
    <row r="480" ht="15.7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  <c r="AJ480" s="93"/>
      <c r="AK480" s="93"/>
      <c r="AL480" s="93"/>
      <c r="AM480" s="93"/>
      <c r="AN480" s="93"/>
      <c r="AO480" s="93"/>
    </row>
    <row r="481" ht="15.7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  <c r="AJ481" s="93"/>
      <c r="AK481" s="93"/>
      <c r="AL481" s="93"/>
      <c r="AM481" s="93"/>
      <c r="AN481" s="93"/>
      <c r="AO481" s="93"/>
    </row>
    <row r="482" ht="15.7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</row>
    <row r="483" ht="15.7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93"/>
      <c r="AN483" s="93"/>
      <c r="AO483" s="93"/>
    </row>
    <row r="484" ht="15.7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  <c r="AJ484" s="93"/>
      <c r="AK484" s="93"/>
      <c r="AL484" s="93"/>
      <c r="AM484" s="93"/>
      <c r="AN484" s="93"/>
      <c r="AO484" s="93"/>
    </row>
    <row r="485" ht="15.7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</row>
    <row r="486" ht="15.7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  <c r="AJ486" s="93"/>
      <c r="AK486" s="93"/>
      <c r="AL486" s="93"/>
      <c r="AM486" s="93"/>
      <c r="AN486" s="93"/>
      <c r="AO486" s="93"/>
    </row>
    <row r="487" ht="15.7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  <c r="AJ487" s="93"/>
      <c r="AK487" s="93"/>
      <c r="AL487" s="93"/>
      <c r="AM487" s="93"/>
      <c r="AN487" s="93"/>
      <c r="AO487" s="93"/>
    </row>
    <row r="488" ht="15.7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</row>
    <row r="489" ht="15.7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  <c r="AJ489" s="93"/>
      <c r="AK489" s="93"/>
      <c r="AL489" s="93"/>
      <c r="AM489" s="93"/>
      <c r="AN489" s="93"/>
      <c r="AO489" s="93"/>
    </row>
    <row r="490" ht="15.7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</row>
    <row r="491" ht="15.7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</row>
    <row r="492" ht="15.7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</row>
    <row r="493" ht="15.7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</row>
    <row r="494" ht="15.7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</row>
    <row r="495" ht="15.7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</row>
    <row r="496" ht="15.7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</row>
    <row r="497" ht="15.7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</row>
    <row r="498" ht="15.7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</row>
    <row r="499" ht="15.7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</row>
    <row r="500" ht="15.7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</row>
    <row r="501" ht="15.7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</row>
    <row r="502" ht="15.7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</row>
    <row r="503" ht="15.7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</row>
    <row r="504" ht="15.7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</row>
    <row r="505" ht="15.7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</row>
    <row r="506" ht="15.7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  <c r="AJ506" s="93"/>
      <c r="AK506" s="93"/>
      <c r="AL506" s="93"/>
      <c r="AM506" s="93"/>
      <c r="AN506" s="93"/>
      <c r="AO506" s="93"/>
    </row>
    <row r="507" ht="15.7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  <c r="AJ507" s="93"/>
      <c r="AK507" s="93"/>
      <c r="AL507" s="93"/>
      <c r="AM507" s="93"/>
      <c r="AN507" s="93"/>
      <c r="AO507" s="93"/>
    </row>
    <row r="508" ht="15.7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  <c r="AJ508" s="93"/>
      <c r="AK508" s="93"/>
      <c r="AL508" s="93"/>
      <c r="AM508" s="93"/>
      <c r="AN508" s="93"/>
      <c r="AO508" s="93"/>
    </row>
    <row r="509" ht="15.7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  <c r="AJ509" s="93"/>
      <c r="AK509" s="93"/>
      <c r="AL509" s="93"/>
      <c r="AM509" s="93"/>
      <c r="AN509" s="93"/>
      <c r="AO509" s="93"/>
    </row>
    <row r="510" ht="15.7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  <c r="AJ510" s="93"/>
      <c r="AK510" s="93"/>
      <c r="AL510" s="93"/>
      <c r="AM510" s="93"/>
      <c r="AN510" s="93"/>
      <c r="AO510" s="93"/>
    </row>
    <row r="511" ht="15.7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  <c r="AJ511" s="93"/>
      <c r="AK511" s="93"/>
      <c r="AL511" s="93"/>
      <c r="AM511" s="93"/>
      <c r="AN511" s="93"/>
      <c r="AO511" s="93"/>
    </row>
    <row r="512" ht="15.7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</row>
    <row r="513" ht="15.7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  <c r="AJ513" s="93"/>
      <c r="AK513" s="93"/>
      <c r="AL513" s="93"/>
      <c r="AM513" s="93"/>
      <c r="AN513" s="93"/>
      <c r="AO513" s="93"/>
    </row>
    <row r="514" ht="15.7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  <c r="AJ514" s="93"/>
      <c r="AK514" s="93"/>
      <c r="AL514" s="93"/>
      <c r="AM514" s="93"/>
      <c r="AN514" s="93"/>
      <c r="AO514" s="93"/>
    </row>
    <row r="515" ht="15.7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</row>
    <row r="516" ht="15.7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  <c r="AJ516" s="93"/>
      <c r="AK516" s="93"/>
      <c r="AL516" s="93"/>
      <c r="AM516" s="93"/>
      <c r="AN516" s="93"/>
      <c r="AO516" s="93"/>
    </row>
    <row r="517" ht="15.7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  <c r="AJ517" s="93"/>
      <c r="AK517" s="93"/>
      <c r="AL517" s="93"/>
      <c r="AM517" s="93"/>
      <c r="AN517" s="93"/>
      <c r="AO517" s="93"/>
    </row>
    <row r="518" ht="15.7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</row>
    <row r="519" ht="15.7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  <c r="AJ519" s="93"/>
      <c r="AK519" s="93"/>
      <c r="AL519" s="93"/>
      <c r="AM519" s="93"/>
      <c r="AN519" s="93"/>
      <c r="AO519" s="93"/>
    </row>
    <row r="520" ht="15.7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  <c r="AJ520" s="93"/>
      <c r="AK520" s="93"/>
      <c r="AL520" s="93"/>
      <c r="AM520" s="93"/>
      <c r="AN520" s="93"/>
      <c r="AO520" s="93"/>
    </row>
    <row r="521" ht="15.7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</row>
    <row r="522" ht="15.7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  <c r="AJ522" s="93"/>
      <c r="AK522" s="93"/>
      <c r="AL522" s="93"/>
      <c r="AM522" s="93"/>
      <c r="AN522" s="93"/>
      <c r="AO522" s="93"/>
    </row>
    <row r="523" ht="15.7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</row>
    <row r="524" ht="15.7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  <c r="AJ524" s="93"/>
      <c r="AK524" s="93"/>
      <c r="AL524" s="93"/>
      <c r="AM524" s="93"/>
      <c r="AN524" s="93"/>
      <c r="AO524" s="93"/>
    </row>
    <row r="525" ht="15.7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  <c r="AJ525" s="93"/>
      <c r="AK525" s="93"/>
      <c r="AL525" s="93"/>
      <c r="AM525" s="93"/>
      <c r="AN525" s="93"/>
      <c r="AO525" s="93"/>
    </row>
    <row r="526" ht="15.7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  <c r="AJ526" s="93"/>
      <c r="AK526" s="93"/>
      <c r="AL526" s="93"/>
      <c r="AM526" s="93"/>
      <c r="AN526" s="93"/>
      <c r="AO526" s="93"/>
    </row>
    <row r="527" ht="15.7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  <c r="AJ527" s="93"/>
      <c r="AK527" s="93"/>
      <c r="AL527" s="93"/>
      <c r="AM527" s="93"/>
      <c r="AN527" s="93"/>
      <c r="AO527" s="93"/>
    </row>
    <row r="528" ht="15.7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  <c r="AJ528" s="93"/>
      <c r="AK528" s="93"/>
      <c r="AL528" s="93"/>
      <c r="AM528" s="93"/>
      <c r="AN528" s="93"/>
      <c r="AO528" s="93"/>
    </row>
    <row r="529" ht="15.7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  <c r="AJ529" s="93"/>
      <c r="AK529" s="93"/>
      <c r="AL529" s="93"/>
      <c r="AM529" s="93"/>
      <c r="AN529" s="93"/>
      <c r="AO529" s="93"/>
    </row>
    <row r="530" ht="15.7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</row>
    <row r="531" ht="15.7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  <c r="AJ531" s="93"/>
      <c r="AK531" s="93"/>
      <c r="AL531" s="93"/>
      <c r="AM531" s="93"/>
      <c r="AN531" s="93"/>
      <c r="AO531" s="93"/>
    </row>
    <row r="532" ht="15.7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/>
      <c r="AM532" s="93"/>
      <c r="AN532" s="93"/>
      <c r="AO532" s="93"/>
    </row>
    <row r="533" ht="15.7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</row>
    <row r="534" ht="15.7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  <c r="AJ534" s="93"/>
      <c r="AK534" s="93"/>
      <c r="AL534" s="93"/>
      <c r="AM534" s="93"/>
      <c r="AN534" s="93"/>
      <c r="AO534" s="93"/>
    </row>
    <row r="535" ht="15.7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  <c r="AJ535" s="93"/>
      <c r="AK535" s="93"/>
      <c r="AL535" s="93"/>
      <c r="AM535" s="93"/>
      <c r="AN535" s="93"/>
      <c r="AO535" s="93"/>
    </row>
    <row r="536" ht="15.7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  <c r="AJ536" s="93"/>
      <c r="AK536" s="93"/>
      <c r="AL536" s="93"/>
      <c r="AM536" s="93"/>
      <c r="AN536" s="93"/>
      <c r="AO536" s="93"/>
    </row>
    <row r="537" ht="15.7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  <c r="AJ537" s="93"/>
      <c r="AK537" s="93"/>
      <c r="AL537" s="93"/>
      <c r="AM537" s="93"/>
      <c r="AN537" s="93"/>
      <c r="AO537" s="93"/>
    </row>
    <row r="538" ht="15.7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  <c r="AJ538" s="93"/>
      <c r="AK538" s="93"/>
      <c r="AL538" s="93"/>
      <c r="AM538" s="93"/>
      <c r="AN538" s="93"/>
      <c r="AO538" s="93"/>
    </row>
    <row r="539" ht="15.7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  <c r="AJ539" s="93"/>
      <c r="AK539" s="93"/>
      <c r="AL539" s="93"/>
      <c r="AM539" s="93"/>
      <c r="AN539" s="93"/>
      <c r="AO539" s="93"/>
    </row>
    <row r="540" ht="15.7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  <c r="AJ540" s="93"/>
      <c r="AK540" s="93"/>
      <c r="AL540" s="93"/>
      <c r="AM540" s="93"/>
      <c r="AN540" s="93"/>
      <c r="AO540" s="93"/>
    </row>
    <row r="541" ht="15.7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  <c r="AJ541" s="93"/>
      <c r="AK541" s="93"/>
      <c r="AL541" s="93"/>
      <c r="AM541" s="93"/>
      <c r="AN541" s="93"/>
      <c r="AO541" s="93"/>
    </row>
    <row r="542" ht="15.7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</row>
    <row r="543" ht="15.7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  <c r="AJ543" s="93"/>
      <c r="AK543" s="93"/>
      <c r="AL543" s="93"/>
      <c r="AM543" s="93"/>
      <c r="AN543" s="93"/>
      <c r="AO543" s="93"/>
    </row>
    <row r="544" ht="15.7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  <c r="AJ544" s="93"/>
      <c r="AK544" s="93"/>
      <c r="AL544" s="93"/>
      <c r="AM544" s="93"/>
      <c r="AN544" s="93"/>
      <c r="AO544" s="93"/>
    </row>
    <row r="545" ht="15.7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  <c r="AJ545" s="93"/>
      <c r="AK545" s="93"/>
      <c r="AL545" s="93"/>
      <c r="AM545" s="93"/>
      <c r="AN545" s="93"/>
      <c r="AO545" s="93"/>
    </row>
    <row r="546" ht="15.7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  <c r="AJ546" s="93"/>
      <c r="AK546" s="93"/>
      <c r="AL546" s="93"/>
      <c r="AM546" s="93"/>
      <c r="AN546" s="93"/>
      <c r="AO546" s="93"/>
    </row>
    <row r="547" ht="15.7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  <c r="AJ547" s="93"/>
      <c r="AK547" s="93"/>
      <c r="AL547" s="93"/>
      <c r="AM547" s="93"/>
      <c r="AN547" s="93"/>
      <c r="AO547" s="93"/>
    </row>
    <row r="548" ht="15.7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  <c r="AJ548" s="93"/>
      <c r="AK548" s="93"/>
      <c r="AL548" s="93"/>
      <c r="AM548" s="93"/>
      <c r="AN548" s="93"/>
      <c r="AO548" s="93"/>
    </row>
    <row r="549" ht="15.7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  <c r="AJ549" s="93"/>
      <c r="AK549" s="93"/>
      <c r="AL549" s="93"/>
      <c r="AM549" s="93"/>
      <c r="AN549" s="93"/>
      <c r="AO549" s="93"/>
    </row>
    <row r="550" ht="15.7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</row>
    <row r="551" ht="15.7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  <c r="AJ551" s="93"/>
      <c r="AK551" s="93"/>
      <c r="AL551" s="93"/>
      <c r="AM551" s="93"/>
      <c r="AN551" s="93"/>
      <c r="AO551" s="93"/>
    </row>
    <row r="552" ht="15.7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  <c r="AJ552" s="93"/>
      <c r="AK552" s="93"/>
      <c r="AL552" s="93"/>
      <c r="AM552" s="93"/>
      <c r="AN552" s="93"/>
      <c r="AO552" s="93"/>
    </row>
    <row r="553" ht="15.7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  <c r="AJ553" s="93"/>
      <c r="AK553" s="93"/>
      <c r="AL553" s="93"/>
      <c r="AM553" s="93"/>
      <c r="AN553" s="93"/>
      <c r="AO553" s="93"/>
    </row>
    <row r="554" ht="15.7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  <c r="AJ554" s="93"/>
      <c r="AK554" s="93"/>
      <c r="AL554" s="93"/>
      <c r="AM554" s="93"/>
      <c r="AN554" s="93"/>
      <c r="AO554" s="93"/>
    </row>
    <row r="555" ht="15.7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  <c r="AJ555" s="93"/>
      <c r="AK555" s="93"/>
      <c r="AL555" s="93"/>
      <c r="AM555" s="93"/>
      <c r="AN555" s="93"/>
      <c r="AO555" s="93"/>
    </row>
    <row r="556" ht="15.7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  <c r="AJ556" s="93"/>
      <c r="AK556" s="93"/>
      <c r="AL556" s="93"/>
      <c r="AM556" s="93"/>
      <c r="AN556" s="93"/>
      <c r="AO556" s="93"/>
    </row>
    <row r="557" ht="15.7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  <c r="AJ557" s="93"/>
      <c r="AK557" s="93"/>
      <c r="AL557" s="93"/>
      <c r="AM557" s="93"/>
      <c r="AN557" s="93"/>
      <c r="AO557" s="93"/>
    </row>
    <row r="558" ht="15.7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  <c r="AJ558" s="93"/>
      <c r="AK558" s="93"/>
      <c r="AL558" s="93"/>
      <c r="AM558" s="93"/>
      <c r="AN558" s="93"/>
      <c r="AO558" s="93"/>
    </row>
    <row r="559" ht="15.7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  <c r="AH559" s="93"/>
      <c r="AI559" s="93"/>
      <c r="AJ559" s="93"/>
      <c r="AK559" s="93"/>
      <c r="AL559" s="93"/>
      <c r="AM559" s="93"/>
      <c r="AN559" s="93"/>
      <c r="AO559" s="93"/>
    </row>
    <row r="560" ht="15.7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  <c r="AH560" s="93"/>
      <c r="AI560" s="93"/>
      <c r="AJ560" s="93"/>
      <c r="AK560" s="93"/>
      <c r="AL560" s="93"/>
      <c r="AM560" s="93"/>
      <c r="AN560" s="93"/>
      <c r="AO560" s="93"/>
    </row>
    <row r="561" ht="15.7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  <c r="AJ561" s="93"/>
      <c r="AK561" s="93"/>
      <c r="AL561" s="93"/>
      <c r="AM561" s="93"/>
      <c r="AN561" s="93"/>
      <c r="AO561" s="93"/>
    </row>
    <row r="562" ht="15.7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  <c r="AH562" s="93"/>
      <c r="AI562" s="93"/>
      <c r="AJ562" s="93"/>
      <c r="AK562" s="93"/>
      <c r="AL562" s="93"/>
      <c r="AM562" s="93"/>
      <c r="AN562" s="93"/>
      <c r="AO562" s="93"/>
    </row>
    <row r="563" ht="15.7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  <c r="AH563" s="93"/>
      <c r="AI563" s="93"/>
      <c r="AJ563" s="93"/>
      <c r="AK563" s="93"/>
      <c r="AL563" s="93"/>
      <c r="AM563" s="93"/>
      <c r="AN563" s="93"/>
      <c r="AO563" s="93"/>
    </row>
    <row r="564" ht="15.7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  <c r="AJ564" s="93"/>
      <c r="AK564" s="93"/>
      <c r="AL564" s="93"/>
      <c r="AM564" s="93"/>
      <c r="AN564" s="93"/>
      <c r="AO564" s="93"/>
    </row>
    <row r="565" ht="15.7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  <c r="AH565" s="93"/>
      <c r="AI565" s="93"/>
      <c r="AJ565" s="93"/>
      <c r="AK565" s="93"/>
      <c r="AL565" s="93"/>
      <c r="AM565" s="93"/>
      <c r="AN565" s="93"/>
      <c r="AO565" s="93"/>
    </row>
    <row r="566" ht="15.7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  <c r="AJ566" s="93"/>
      <c r="AK566" s="93"/>
      <c r="AL566" s="93"/>
      <c r="AM566" s="93"/>
      <c r="AN566" s="93"/>
      <c r="AO566" s="93"/>
    </row>
    <row r="567" ht="15.7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  <c r="AH567" s="93"/>
      <c r="AI567" s="93"/>
      <c r="AJ567" s="93"/>
      <c r="AK567" s="93"/>
      <c r="AL567" s="93"/>
      <c r="AM567" s="93"/>
      <c r="AN567" s="93"/>
      <c r="AO567" s="93"/>
    </row>
    <row r="568" ht="15.7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  <c r="AJ568" s="93"/>
      <c r="AK568" s="93"/>
      <c r="AL568" s="93"/>
      <c r="AM568" s="93"/>
      <c r="AN568" s="93"/>
      <c r="AO568" s="93"/>
    </row>
    <row r="569" ht="15.7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  <c r="AH569" s="93"/>
      <c r="AI569" s="93"/>
      <c r="AJ569" s="93"/>
      <c r="AK569" s="93"/>
      <c r="AL569" s="93"/>
      <c r="AM569" s="93"/>
      <c r="AN569" s="93"/>
      <c r="AO569" s="93"/>
    </row>
    <row r="570" ht="15.7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  <c r="AH570" s="93"/>
      <c r="AI570" s="93"/>
      <c r="AJ570" s="93"/>
      <c r="AK570" s="93"/>
      <c r="AL570" s="93"/>
      <c r="AM570" s="93"/>
      <c r="AN570" s="93"/>
      <c r="AO570" s="93"/>
    </row>
    <row r="571" ht="15.7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  <c r="AH571" s="93"/>
      <c r="AI571" s="93"/>
      <c r="AJ571" s="93"/>
      <c r="AK571" s="93"/>
      <c r="AL571" s="93"/>
      <c r="AM571" s="93"/>
      <c r="AN571" s="93"/>
      <c r="AO571" s="93"/>
    </row>
    <row r="572" ht="15.7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  <c r="AH572" s="93"/>
      <c r="AI572" s="93"/>
      <c r="AJ572" s="93"/>
      <c r="AK572" s="93"/>
      <c r="AL572" s="93"/>
      <c r="AM572" s="93"/>
      <c r="AN572" s="93"/>
      <c r="AO572" s="93"/>
    </row>
    <row r="573" ht="15.7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  <c r="AH573" s="93"/>
      <c r="AI573" s="93"/>
      <c r="AJ573" s="93"/>
      <c r="AK573" s="93"/>
      <c r="AL573" s="93"/>
      <c r="AM573" s="93"/>
      <c r="AN573" s="93"/>
      <c r="AO573" s="93"/>
    </row>
    <row r="574" ht="15.7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  <c r="AH574" s="93"/>
      <c r="AI574" s="93"/>
      <c r="AJ574" s="93"/>
      <c r="AK574" s="93"/>
      <c r="AL574" s="93"/>
      <c r="AM574" s="93"/>
      <c r="AN574" s="93"/>
      <c r="AO574" s="93"/>
    </row>
    <row r="575" ht="15.7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  <c r="AJ575" s="93"/>
      <c r="AK575" s="93"/>
      <c r="AL575" s="93"/>
      <c r="AM575" s="93"/>
      <c r="AN575" s="93"/>
      <c r="AO575" s="93"/>
    </row>
    <row r="576" ht="15.7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  <c r="AH576" s="93"/>
      <c r="AI576" s="93"/>
      <c r="AJ576" s="93"/>
      <c r="AK576" s="93"/>
      <c r="AL576" s="93"/>
      <c r="AM576" s="93"/>
      <c r="AN576" s="93"/>
      <c r="AO576" s="93"/>
    </row>
    <row r="577" ht="15.7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  <c r="AH577" s="93"/>
      <c r="AI577" s="93"/>
      <c r="AJ577" s="93"/>
      <c r="AK577" s="93"/>
      <c r="AL577" s="93"/>
      <c r="AM577" s="93"/>
      <c r="AN577" s="93"/>
      <c r="AO577" s="93"/>
    </row>
    <row r="578" ht="15.7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  <c r="AJ578" s="93"/>
      <c r="AK578" s="93"/>
      <c r="AL578" s="93"/>
      <c r="AM578" s="93"/>
      <c r="AN578" s="93"/>
      <c r="AO578" s="93"/>
    </row>
    <row r="579" ht="15.7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3"/>
      <c r="AH579" s="93"/>
      <c r="AI579" s="93"/>
      <c r="AJ579" s="93"/>
      <c r="AK579" s="93"/>
      <c r="AL579" s="93"/>
      <c r="AM579" s="93"/>
      <c r="AN579" s="93"/>
      <c r="AO579" s="93"/>
    </row>
    <row r="580" ht="15.7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  <c r="AH580" s="93"/>
      <c r="AI580" s="93"/>
      <c r="AJ580" s="93"/>
      <c r="AK580" s="93"/>
      <c r="AL580" s="93"/>
      <c r="AM580" s="93"/>
      <c r="AN580" s="93"/>
      <c r="AO580" s="93"/>
    </row>
    <row r="581" ht="15.7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  <c r="AJ581" s="93"/>
      <c r="AK581" s="93"/>
      <c r="AL581" s="93"/>
      <c r="AM581" s="93"/>
      <c r="AN581" s="93"/>
      <c r="AO581" s="93"/>
    </row>
    <row r="582" ht="15.7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  <c r="AH582" s="93"/>
      <c r="AI582" s="93"/>
      <c r="AJ582" s="93"/>
      <c r="AK582" s="93"/>
      <c r="AL582" s="93"/>
      <c r="AM582" s="93"/>
      <c r="AN582" s="93"/>
      <c r="AO582" s="93"/>
    </row>
    <row r="583" ht="15.7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  <c r="AH583" s="93"/>
      <c r="AI583" s="93"/>
      <c r="AJ583" s="93"/>
      <c r="AK583" s="93"/>
      <c r="AL583" s="93"/>
      <c r="AM583" s="93"/>
      <c r="AN583" s="93"/>
      <c r="AO583" s="93"/>
    </row>
    <row r="584" ht="15.7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  <c r="AJ584" s="93"/>
      <c r="AK584" s="93"/>
      <c r="AL584" s="93"/>
      <c r="AM584" s="93"/>
      <c r="AN584" s="93"/>
      <c r="AO584" s="93"/>
    </row>
    <row r="585" ht="15.7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  <c r="AJ585" s="93"/>
      <c r="AK585" s="93"/>
      <c r="AL585" s="93"/>
      <c r="AM585" s="93"/>
      <c r="AN585" s="93"/>
      <c r="AO585" s="93"/>
    </row>
    <row r="586" ht="15.7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  <c r="AJ586" s="93"/>
      <c r="AK586" s="93"/>
      <c r="AL586" s="93"/>
      <c r="AM586" s="93"/>
      <c r="AN586" s="93"/>
      <c r="AO586" s="93"/>
    </row>
    <row r="587" ht="15.7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  <c r="AJ587" s="93"/>
      <c r="AK587" s="93"/>
      <c r="AL587" s="93"/>
      <c r="AM587" s="93"/>
      <c r="AN587" s="93"/>
      <c r="AO587" s="93"/>
    </row>
    <row r="588" ht="15.7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  <c r="AJ588" s="93"/>
      <c r="AK588" s="93"/>
      <c r="AL588" s="93"/>
      <c r="AM588" s="93"/>
      <c r="AN588" s="93"/>
      <c r="AO588" s="93"/>
    </row>
    <row r="589" ht="15.7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  <c r="AH589" s="93"/>
      <c r="AI589" s="93"/>
      <c r="AJ589" s="93"/>
      <c r="AK589" s="93"/>
      <c r="AL589" s="93"/>
      <c r="AM589" s="93"/>
      <c r="AN589" s="93"/>
      <c r="AO589" s="93"/>
    </row>
    <row r="590" ht="15.7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/>
      <c r="AM590" s="93"/>
      <c r="AN590" s="93"/>
      <c r="AO590" s="93"/>
    </row>
    <row r="591" ht="15.7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  <c r="AH591" s="93"/>
      <c r="AI591" s="93"/>
      <c r="AJ591" s="93"/>
      <c r="AK591" s="93"/>
      <c r="AL591" s="93"/>
      <c r="AM591" s="93"/>
      <c r="AN591" s="93"/>
      <c r="AO591" s="93"/>
    </row>
    <row r="592" ht="15.7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  <c r="AJ592" s="93"/>
      <c r="AK592" s="93"/>
      <c r="AL592" s="93"/>
      <c r="AM592" s="93"/>
      <c r="AN592" s="93"/>
      <c r="AO592" s="93"/>
    </row>
    <row r="593" ht="15.7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  <c r="AJ593" s="93"/>
      <c r="AK593" s="93"/>
      <c r="AL593" s="93"/>
      <c r="AM593" s="93"/>
      <c r="AN593" s="93"/>
      <c r="AO593" s="93"/>
    </row>
    <row r="594" ht="15.7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  <c r="AH594" s="93"/>
      <c r="AI594" s="93"/>
      <c r="AJ594" s="93"/>
      <c r="AK594" s="93"/>
      <c r="AL594" s="93"/>
      <c r="AM594" s="93"/>
      <c r="AN594" s="93"/>
      <c r="AO594" s="93"/>
    </row>
    <row r="595" ht="15.7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  <c r="AH595" s="93"/>
      <c r="AI595" s="93"/>
      <c r="AJ595" s="93"/>
      <c r="AK595" s="93"/>
      <c r="AL595" s="93"/>
      <c r="AM595" s="93"/>
      <c r="AN595" s="93"/>
      <c r="AO595" s="93"/>
    </row>
    <row r="596" ht="15.7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  <c r="AH596" s="93"/>
      <c r="AI596" s="93"/>
      <c r="AJ596" s="93"/>
      <c r="AK596" s="93"/>
      <c r="AL596" s="93"/>
      <c r="AM596" s="93"/>
      <c r="AN596" s="93"/>
      <c r="AO596" s="93"/>
    </row>
    <row r="597" ht="15.7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  <c r="AH597" s="93"/>
      <c r="AI597" s="93"/>
      <c r="AJ597" s="93"/>
      <c r="AK597" s="93"/>
      <c r="AL597" s="93"/>
      <c r="AM597" s="93"/>
      <c r="AN597" s="93"/>
      <c r="AO597" s="93"/>
    </row>
    <row r="598" ht="15.7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  <c r="AJ598" s="93"/>
      <c r="AK598" s="93"/>
      <c r="AL598" s="93"/>
      <c r="AM598" s="93"/>
      <c r="AN598" s="93"/>
      <c r="AO598" s="93"/>
    </row>
    <row r="599" ht="15.7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  <c r="AH599" s="93"/>
      <c r="AI599" s="93"/>
      <c r="AJ599" s="93"/>
      <c r="AK599" s="93"/>
      <c r="AL599" s="93"/>
      <c r="AM599" s="93"/>
      <c r="AN599" s="93"/>
      <c r="AO599" s="93"/>
    </row>
    <row r="600" ht="15.7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  <c r="AH600" s="93"/>
      <c r="AI600" s="93"/>
      <c r="AJ600" s="93"/>
      <c r="AK600" s="93"/>
      <c r="AL600" s="93"/>
      <c r="AM600" s="93"/>
      <c r="AN600" s="93"/>
      <c r="AO600" s="93"/>
    </row>
    <row r="601" ht="15.7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  <c r="AH601" s="93"/>
      <c r="AI601" s="93"/>
      <c r="AJ601" s="93"/>
      <c r="AK601" s="93"/>
      <c r="AL601" s="93"/>
      <c r="AM601" s="93"/>
      <c r="AN601" s="93"/>
      <c r="AO601" s="93"/>
    </row>
    <row r="602" ht="15.7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  <c r="AH602" s="93"/>
      <c r="AI602" s="93"/>
      <c r="AJ602" s="93"/>
      <c r="AK602" s="93"/>
      <c r="AL602" s="93"/>
      <c r="AM602" s="93"/>
      <c r="AN602" s="93"/>
      <c r="AO602" s="93"/>
    </row>
    <row r="603" ht="15.7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  <c r="AH603" s="93"/>
      <c r="AI603" s="93"/>
      <c r="AJ603" s="93"/>
      <c r="AK603" s="93"/>
      <c r="AL603" s="93"/>
      <c r="AM603" s="93"/>
      <c r="AN603" s="93"/>
      <c r="AO603" s="93"/>
    </row>
    <row r="604" ht="15.7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  <c r="AH604" s="93"/>
      <c r="AI604" s="93"/>
      <c r="AJ604" s="93"/>
      <c r="AK604" s="93"/>
      <c r="AL604" s="93"/>
      <c r="AM604" s="93"/>
      <c r="AN604" s="93"/>
      <c r="AO604" s="93"/>
    </row>
    <row r="605" ht="15.7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  <c r="AH605" s="93"/>
      <c r="AI605" s="93"/>
      <c r="AJ605" s="93"/>
      <c r="AK605" s="93"/>
      <c r="AL605" s="93"/>
      <c r="AM605" s="93"/>
      <c r="AN605" s="93"/>
      <c r="AO605" s="93"/>
    </row>
    <row r="606" ht="15.7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  <c r="AH606" s="93"/>
      <c r="AI606" s="93"/>
      <c r="AJ606" s="93"/>
      <c r="AK606" s="93"/>
      <c r="AL606" s="93"/>
      <c r="AM606" s="93"/>
      <c r="AN606" s="93"/>
      <c r="AO606" s="93"/>
    </row>
    <row r="607" ht="15.7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  <c r="AJ607" s="93"/>
      <c r="AK607" s="93"/>
      <c r="AL607" s="93"/>
      <c r="AM607" s="93"/>
      <c r="AN607" s="93"/>
      <c r="AO607" s="93"/>
    </row>
    <row r="608" ht="15.7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  <c r="AH608" s="93"/>
      <c r="AI608" s="93"/>
      <c r="AJ608" s="93"/>
      <c r="AK608" s="93"/>
      <c r="AL608" s="93"/>
      <c r="AM608" s="93"/>
      <c r="AN608" s="93"/>
      <c r="AO608" s="93"/>
    </row>
    <row r="609" ht="15.7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  <c r="AH609" s="93"/>
      <c r="AI609" s="93"/>
      <c r="AJ609" s="93"/>
      <c r="AK609" s="93"/>
      <c r="AL609" s="93"/>
      <c r="AM609" s="93"/>
      <c r="AN609" s="93"/>
      <c r="AO609" s="93"/>
    </row>
    <row r="610" ht="15.7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  <c r="AH610" s="93"/>
      <c r="AI610" s="93"/>
      <c r="AJ610" s="93"/>
      <c r="AK610" s="93"/>
      <c r="AL610" s="93"/>
      <c r="AM610" s="93"/>
      <c r="AN610" s="93"/>
      <c r="AO610" s="93"/>
    </row>
    <row r="611" ht="15.7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</row>
    <row r="612" ht="15.7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</row>
    <row r="613" ht="15.7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  <c r="AJ613" s="93"/>
      <c r="AK613" s="93"/>
      <c r="AL613" s="93"/>
      <c r="AM613" s="93"/>
      <c r="AN613" s="93"/>
      <c r="AO613" s="93"/>
    </row>
    <row r="614" ht="15.7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</row>
    <row r="615" ht="15.7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</row>
    <row r="616" ht="15.7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  <c r="AJ616" s="93"/>
      <c r="AK616" s="93"/>
      <c r="AL616" s="93"/>
      <c r="AM616" s="93"/>
      <c r="AN616" s="93"/>
      <c r="AO616" s="93"/>
    </row>
    <row r="617" ht="15.7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  <c r="AJ617" s="93"/>
      <c r="AK617" s="93"/>
      <c r="AL617" s="93"/>
      <c r="AM617" s="93"/>
      <c r="AN617" s="93"/>
      <c r="AO617" s="93"/>
    </row>
    <row r="618" ht="15.7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  <c r="AJ618" s="93"/>
      <c r="AK618" s="93"/>
      <c r="AL618" s="93"/>
      <c r="AM618" s="93"/>
      <c r="AN618" s="93"/>
      <c r="AO618" s="93"/>
    </row>
    <row r="619" ht="15.7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  <c r="AH619" s="93"/>
      <c r="AI619" s="93"/>
      <c r="AJ619" s="93"/>
      <c r="AK619" s="93"/>
      <c r="AL619" s="93"/>
      <c r="AM619" s="93"/>
      <c r="AN619" s="93"/>
      <c r="AO619" s="93"/>
    </row>
    <row r="620" ht="15.7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  <c r="AJ620" s="93"/>
      <c r="AK620" s="93"/>
      <c r="AL620" s="93"/>
      <c r="AM620" s="93"/>
      <c r="AN620" s="93"/>
      <c r="AO620" s="93"/>
    </row>
    <row r="621" ht="15.7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  <c r="AH621" s="93"/>
      <c r="AI621" s="93"/>
      <c r="AJ621" s="93"/>
      <c r="AK621" s="93"/>
      <c r="AL621" s="93"/>
      <c r="AM621" s="93"/>
      <c r="AN621" s="93"/>
      <c r="AO621" s="93"/>
    </row>
    <row r="622" ht="15.7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  <c r="AH622" s="93"/>
      <c r="AI622" s="93"/>
      <c r="AJ622" s="93"/>
      <c r="AK622" s="93"/>
      <c r="AL622" s="93"/>
      <c r="AM622" s="93"/>
      <c r="AN622" s="93"/>
      <c r="AO622" s="93"/>
    </row>
    <row r="623" ht="15.7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  <c r="AH623" s="93"/>
      <c r="AI623" s="93"/>
      <c r="AJ623" s="93"/>
      <c r="AK623" s="93"/>
      <c r="AL623" s="93"/>
      <c r="AM623" s="93"/>
      <c r="AN623" s="93"/>
      <c r="AO623" s="93"/>
    </row>
    <row r="624" ht="15.7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  <c r="AH624" s="93"/>
      <c r="AI624" s="93"/>
      <c r="AJ624" s="93"/>
      <c r="AK624" s="93"/>
      <c r="AL624" s="93"/>
      <c r="AM624" s="93"/>
      <c r="AN624" s="93"/>
      <c r="AO624" s="93"/>
    </row>
    <row r="625" ht="15.7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  <c r="AH625" s="93"/>
      <c r="AI625" s="93"/>
      <c r="AJ625" s="93"/>
      <c r="AK625" s="93"/>
      <c r="AL625" s="93"/>
      <c r="AM625" s="93"/>
      <c r="AN625" s="93"/>
      <c r="AO625" s="93"/>
    </row>
    <row r="626" ht="15.7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  <c r="AH626" s="93"/>
      <c r="AI626" s="93"/>
      <c r="AJ626" s="93"/>
      <c r="AK626" s="93"/>
      <c r="AL626" s="93"/>
      <c r="AM626" s="93"/>
      <c r="AN626" s="93"/>
      <c r="AO626" s="93"/>
    </row>
    <row r="627" ht="15.7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  <c r="AH627" s="93"/>
      <c r="AI627" s="93"/>
      <c r="AJ627" s="93"/>
      <c r="AK627" s="93"/>
      <c r="AL627" s="93"/>
      <c r="AM627" s="93"/>
      <c r="AN627" s="93"/>
      <c r="AO627" s="93"/>
    </row>
    <row r="628" ht="15.7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  <c r="AH628" s="93"/>
      <c r="AI628" s="93"/>
      <c r="AJ628" s="93"/>
      <c r="AK628" s="93"/>
      <c r="AL628" s="93"/>
      <c r="AM628" s="93"/>
      <c r="AN628" s="93"/>
      <c r="AO628" s="93"/>
    </row>
    <row r="629" ht="15.7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  <c r="AJ629" s="93"/>
      <c r="AK629" s="93"/>
      <c r="AL629" s="93"/>
      <c r="AM629" s="93"/>
      <c r="AN629" s="93"/>
      <c r="AO629" s="93"/>
    </row>
    <row r="630" ht="15.7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  <c r="AJ630" s="93"/>
      <c r="AK630" s="93"/>
      <c r="AL630" s="93"/>
      <c r="AM630" s="93"/>
      <c r="AN630" s="93"/>
      <c r="AO630" s="93"/>
    </row>
    <row r="631" ht="15.7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</row>
    <row r="632" ht="15.7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</row>
    <row r="633" ht="15.7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  <c r="AH633" s="93"/>
      <c r="AI633" s="93"/>
      <c r="AJ633" s="93"/>
      <c r="AK633" s="93"/>
      <c r="AL633" s="93"/>
      <c r="AM633" s="93"/>
      <c r="AN633" s="93"/>
      <c r="AO633" s="93"/>
    </row>
    <row r="634" ht="15.7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  <c r="AJ634" s="93"/>
      <c r="AK634" s="93"/>
      <c r="AL634" s="93"/>
      <c r="AM634" s="93"/>
      <c r="AN634" s="93"/>
      <c r="AO634" s="93"/>
    </row>
    <row r="635" ht="15.7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  <c r="AJ635" s="93"/>
      <c r="AK635" s="93"/>
      <c r="AL635" s="93"/>
      <c r="AM635" s="93"/>
      <c r="AN635" s="93"/>
      <c r="AO635" s="93"/>
    </row>
    <row r="636" ht="15.7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  <c r="AH636" s="93"/>
      <c r="AI636" s="93"/>
      <c r="AJ636" s="93"/>
      <c r="AK636" s="93"/>
      <c r="AL636" s="93"/>
      <c r="AM636" s="93"/>
      <c r="AN636" s="93"/>
      <c r="AO636" s="93"/>
    </row>
    <row r="637" ht="15.7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  <c r="AH637" s="93"/>
      <c r="AI637" s="93"/>
      <c r="AJ637" s="93"/>
      <c r="AK637" s="93"/>
      <c r="AL637" s="93"/>
      <c r="AM637" s="93"/>
      <c r="AN637" s="93"/>
      <c r="AO637" s="93"/>
    </row>
    <row r="638" ht="15.7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  <c r="AJ638" s="93"/>
      <c r="AK638" s="93"/>
      <c r="AL638" s="93"/>
      <c r="AM638" s="93"/>
      <c r="AN638" s="93"/>
      <c r="AO638" s="93"/>
    </row>
    <row r="639" ht="15.7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  <c r="AH639" s="93"/>
      <c r="AI639" s="93"/>
      <c r="AJ639" s="93"/>
      <c r="AK639" s="93"/>
      <c r="AL639" s="93"/>
      <c r="AM639" s="93"/>
      <c r="AN639" s="93"/>
      <c r="AO639" s="93"/>
    </row>
    <row r="640" ht="15.7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  <c r="AH640" s="93"/>
      <c r="AI640" s="93"/>
      <c r="AJ640" s="93"/>
      <c r="AK640" s="93"/>
      <c r="AL640" s="93"/>
      <c r="AM640" s="93"/>
      <c r="AN640" s="93"/>
      <c r="AO640" s="93"/>
    </row>
    <row r="641" ht="15.7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  <c r="AJ641" s="93"/>
      <c r="AK641" s="93"/>
      <c r="AL641" s="93"/>
      <c r="AM641" s="93"/>
      <c r="AN641" s="93"/>
      <c r="AO641" s="93"/>
    </row>
    <row r="642" ht="15.7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  <c r="AH642" s="93"/>
      <c r="AI642" s="93"/>
      <c r="AJ642" s="93"/>
      <c r="AK642" s="93"/>
      <c r="AL642" s="93"/>
      <c r="AM642" s="93"/>
      <c r="AN642" s="93"/>
      <c r="AO642" s="93"/>
    </row>
    <row r="643" ht="15.7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  <c r="AH643" s="93"/>
      <c r="AI643" s="93"/>
      <c r="AJ643" s="93"/>
      <c r="AK643" s="93"/>
      <c r="AL643" s="93"/>
      <c r="AM643" s="93"/>
      <c r="AN643" s="93"/>
      <c r="AO643" s="93"/>
    </row>
    <row r="644" ht="15.7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  <c r="AH644" s="93"/>
      <c r="AI644" s="93"/>
      <c r="AJ644" s="93"/>
      <c r="AK644" s="93"/>
      <c r="AL644" s="93"/>
      <c r="AM644" s="93"/>
      <c r="AN644" s="93"/>
      <c r="AO644" s="93"/>
    </row>
    <row r="645" ht="15.7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  <c r="AH645" s="93"/>
      <c r="AI645" s="93"/>
      <c r="AJ645" s="93"/>
      <c r="AK645" s="93"/>
      <c r="AL645" s="93"/>
      <c r="AM645" s="93"/>
      <c r="AN645" s="93"/>
      <c r="AO645" s="93"/>
    </row>
    <row r="646" ht="15.7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  <c r="AH646" s="93"/>
      <c r="AI646" s="93"/>
      <c r="AJ646" s="93"/>
      <c r="AK646" s="93"/>
      <c r="AL646" s="93"/>
      <c r="AM646" s="93"/>
      <c r="AN646" s="93"/>
      <c r="AO646" s="93"/>
    </row>
    <row r="647" ht="15.7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  <c r="AJ647" s="93"/>
      <c r="AK647" s="93"/>
      <c r="AL647" s="93"/>
      <c r="AM647" s="93"/>
      <c r="AN647" s="93"/>
      <c r="AO647" s="93"/>
    </row>
    <row r="648" ht="15.7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  <c r="AJ648" s="93"/>
      <c r="AK648" s="93"/>
      <c r="AL648" s="93"/>
      <c r="AM648" s="93"/>
      <c r="AN648" s="93"/>
      <c r="AO648" s="93"/>
    </row>
    <row r="649" ht="15.7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  <c r="AJ649" s="93"/>
      <c r="AK649" s="93"/>
      <c r="AL649" s="93"/>
      <c r="AM649" s="93"/>
      <c r="AN649" s="93"/>
      <c r="AO649" s="93"/>
    </row>
    <row r="650" ht="15.7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  <c r="AJ650" s="93"/>
      <c r="AK650" s="93"/>
      <c r="AL650" s="93"/>
      <c r="AM650" s="93"/>
      <c r="AN650" s="93"/>
      <c r="AO650" s="93"/>
    </row>
    <row r="651" ht="15.7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  <c r="AH651" s="93"/>
      <c r="AI651" s="93"/>
      <c r="AJ651" s="93"/>
      <c r="AK651" s="93"/>
      <c r="AL651" s="93"/>
      <c r="AM651" s="93"/>
      <c r="AN651" s="93"/>
      <c r="AO651" s="93"/>
    </row>
    <row r="652" ht="15.7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  <c r="AH652" s="93"/>
      <c r="AI652" s="93"/>
      <c r="AJ652" s="93"/>
      <c r="AK652" s="93"/>
      <c r="AL652" s="93"/>
      <c r="AM652" s="93"/>
      <c r="AN652" s="93"/>
      <c r="AO652" s="93"/>
    </row>
    <row r="653" ht="15.7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  <c r="AH653" s="93"/>
      <c r="AI653" s="93"/>
      <c r="AJ653" s="93"/>
      <c r="AK653" s="93"/>
      <c r="AL653" s="93"/>
      <c r="AM653" s="93"/>
      <c r="AN653" s="93"/>
      <c r="AO653" s="93"/>
    </row>
    <row r="654" ht="15.7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  <c r="AH654" s="93"/>
      <c r="AI654" s="93"/>
      <c r="AJ654" s="93"/>
      <c r="AK654" s="93"/>
      <c r="AL654" s="93"/>
      <c r="AM654" s="93"/>
      <c r="AN654" s="93"/>
      <c r="AO654" s="93"/>
    </row>
    <row r="655" ht="15.7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  <c r="AH655" s="93"/>
      <c r="AI655" s="93"/>
      <c r="AJ655" s="93"/>
      <c r="AK655" s="93"/>
      <c r="AL655" s="93"/>
      <c r="AM655" s="93"/>
      <c r="AN655" s="93"/>
      <c r="AO655" s="93"/>
    </row>
    <row r="656" ht="15.7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  <c r="AJ656" s="93"/>
      <c r="AK656" s="93"/>
      <c r="AL656" s="93"/>
      <c r="AM656" s="93"/>
      <c r="AN656" s="93"/>
      <c r="AO656" s="93"/>
    </row>
    <row r="657" ht="15.7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  <c r="AJ657" s="93"/>
      <c r="AK657" s="93"/>
      <c r="AL657" s="93"/>
      <c r="AM657" s="93"/>
      <c r="AN657" s="93"/>
      <c r="AO657" s="93"/>
    </row>
    <row r="658" ht="15.7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  <c r="AJ658" s="93"/>
      <c r="AK658" s="93"/>
      <c r="AL658" s="93"/>
      <c r="AM658" s="93"/>
      <c r="AN658" s="93"/>
      <c r="AO658" s="93"/>
    </row>
    <row r="659" ht="15.7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  <c r="AJ659" s="93"/>
      <c r="AK659" s="93"/>
      <c r="AL659" s="93"/>
      <c r="AM659" s="93"/>
      <c r="AN659" s="93"/>
      <c r="AO659" s="93"/>
    </row>
    <row r="660" ht="15.7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  <c r="AJ660" s="93"/>
      <c r="AK660" s="93"/>
      <c r="AL660" s="93"/>
      <c r="AM660" s="93"/>
      <c r="AN660" s="93"/>
      <c r="AO660" s="93"/>
    </row>
    <row r="661" ht="15.7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  <c r="AJ661" s="93"/>
      <c r="AK661" s="93"/>
      <c r="AL661" s="93"/>
      <c r="AM661" s="93"/>
      <c r="AN661" s="93"/>
      <c r="AO661" s="93"/>
    </row>
    <row r="662" ht="15.7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  <c r="AJ662" s="93"/>
      <c r="AK662" s="93"/>
      <c r="AL662" s="93"/>
      <c r="AM662" s="93"/>
      <c r="AN662" s="93"/>
      <c r="AO662" s="93"/>
    </row>
    <row r="663" ht="15.7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  <c r="AJ663" s="93"/>
      <c r="AK663" s="93"/>
      <c r="AL663" s="93"/>
      <c r="AM663" s="93"/>
      <c r="AN663" s="93"/>
      <c r="AO663" s="93"/>
    </row>
    <row r="664" ht="15.7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  <c r="AJ664" s="93"/>
      <c r="AK664" s="93"/>
      <c r="AL664" s="93"/>
      <c r="AM664" s="93"/>
      <c r="AN664" s="93"/>
      <c r="AO664" s="93"/>
    </row>
    <row r="665" ht="15.7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  <c r="AL665" s="93"/>
      <c r="AM665" s="93"/>
      <c r="AN665" s="93"/>
      <c r="AO665" s="93"/>
    </row>
    <row r="666" ht="15.7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  <c r="AJ666" s="93"/>
      <c r="AK666" s="93"/>
      <c r="AL666" s="93"/>
      <c r="AM666" s="93"/>
      <c r="AN666" s="93"/>
      <c r="AO666" s="93"/>
    </row>
    <row r="667" ht="15.7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  <c r="AJ667" s="93"/>
      <c r="AK667" s="93"/>
      <c r="AL667" s="93"/>
      <c r="AM667" s="93"/>
      <c r="AN667" s="93"/>
      <c r="AO667" s="93"/>
    </row>
    <row r="668" ht="15.7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93"/>
      <c r="AN668" s="93"/>
      <c r="AO668" s="93"/>
    </row>
    <row r="669" ht="15.7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  <c r="AJ669" s="93"/>
      <c r="AK669" s="93"/>
      <c r="AL669" s="93"/>
      <c r="AM669" s="93"/>
      <c r="AN669" s="93"/>
      <c r="AO669" s="93"/>
    </row>
    <row r="670" ht="15.7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  <c r="AJ670" s="93"/>
      <c r="AK670" s="93"/>
      <c r="AL670" s="93"/>
      <c r="AM670" s="93"/>
      <c r="AN670" s="93"/>
      <c r="AO670" s="93"/>
    </row>
    <row r="671" ht="15.7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  <c r="AJ671" s="93"/>
      <c r="AK671" s="93"/>
      <c r="AL671" s="93"/>
      <c r="AM671" s="93"/>
      <c r="AN671" s="93"/>
      <c r="AO671" s="93"/>
    </row>
    <row r="672" ht="15.7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  <c r="AJ672" s="93"/>
      <c r="AK672" s="93"/>
      <c r="AL672" s="93"/>
      <c r="AM672" s="93"/>
      <c r="AN672" s="93"/>
      <c r="AO672" s="93"/>
    </row>
    <row r="673" ht="15.7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  <c r="AJ673" s="93"/>
      <c r="AK673" s="93"/>
      <c r="AL673" s="93"/>
      <c r="AM673" s="93"/>
      <c r="AN673" s="93"/>
      <c r="AO673" s="93"/>
    </row>
    <row r="674" ht="15.7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  <c r="AJ674" s="93"/>
      <c r="AK674" s="93"/>
      <c r="AL674" s="93"/>
      <c r="AM674" s="93"/>
      <c r="AN674" s="93"/>
      <c r="AO674" s="93"/>
    </row>
    <row r="675" ht="15.7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  <c r="AJ675" s="93"/>
      <c r="AK675" s="93"/>
      <c r="AL675" s="93"/>
      <c r="AM675" s="93"/>
      <c r="AN675" s="93"/>
      <c r="AO675" s="93"/>
    </row>
    <row r="676" ht="15.7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  <c r="AL676" s="93"/>
      <c r="AM676" s="93"/>
      <c r="AN676" s="93"/>
      <c r="AO676" s="93"/>
    </row>
    <row r="677" ht="15.7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</row>
    <row r="678" ht="15.7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  <c r="AL678" s="93"/>
      <c r="AM678" s="93"/>
      <c r="AN678" s="93"/>
      <c r="AO678" s="93"/>
    </row>
    <row r="679" ht="15.7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  <c r="AL679" s="93"/>
      <c r="AM679" s="93"/>
      <c r="AN679" s="93"/>
      <c r="AO679" s="93"/>
    </row>
    <row r="680" ht="15.7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  <c r="AL680" s="93"/>
      <c r="AM680" s="93"/>
      <c r="AN680" s="93"/>
      <c r="AO680" s="93"/>
    </row>
    <row r="681" ht="15.7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  <c r="AL681" s="93"/>
      <c r="AM681" s="93"/>
      <c r="AN681" s="93"/>
      <c r="AO681" s="93"/>
    </row>
    <row r="682" ht="15.7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  <c r="AJ682" s="93"/>
      <c r="AK682" s="93"/>
      <c r="AL682" s="93"/>
      <c r="AM682" s="93"/>
      <c r="AN682" s="93"/>
      <c r="AO682" s="93"/>
    </row>
    <row r="683" ht="15.7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  <c r="AL683" s="93"/>
      <c r="AM683" s="93"/>
      <c r="AN683" s="93"/>
      <c r="AO683" s="93"/>
    </row>
    <row r="684" ht="15.7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  <c r="AJ684" s="93"/>
      <c r="AK684" s="93"/>
      <c r="AL684" s="93"/>
      <c r="AM684" s="93"/>
      <c r="AN684" s="93"/>
      <c r="AO684" s="93"/>
    </row>
    <row r="685" ht="15.7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  <c r="AJ685" s="93"/>
      <c r="AK685" s="93"/>
      <c r="AL685" s="93"/>
      <c r="AM685" s="93"/>
      <c r="AN685" s="93"/>
      <c r="AO685" s="93"/>
    </row>
    <row r="686" ht="15.7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  <c r="AL686" s="93"/>
      <c r="AM686" s="93"/>
      <c r="AN686" s="93"/>
      <c r="AO686" s="93"/>
    </row>
    <row r="687" ht="15.7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  <c r="AJ687" s="93"/>
      <c r="AK687" s="93"/>
      <c r="AL687" s="93"/>
      <c r="AM687" s="93"/>
      <c r="AN687" s="93"/>
      <c r="AO687" s="93"/>
    </row>
    <row r="688" ht="15.7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  <c r="AJ688" s="93"/>
      <c r="AK688" s="93"/>
      <c r="AL688" s="93"/>
      <c r="AM688" s="93"/>
      <c r="AN688" s="93"/>
      <c r="AO688" s="93"/>
    </row>
    <row r="689" ht="15.7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  <c r="AL689" s="93"/>
      <c r="AM689" s="93"/>
      <c r="AN689" s="93"/>
      <c r="AO689" s="93"/>
    </row>
    <row r="690" ht="15.7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  <c r="AJ690" s="93"/>
      <c r="AK690" s="93"/>
      <c r="AL690" s="93"/>
      <c r="AM690" s="93"/>
      <c r="AN690" s="93"/>
      <c r="AO690" s="93"/>
    </row>
    <row r="691" ht="15.7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  <c r="AJ691" s="93"/>
      <c r="AK691" s="93"/>
      <c r="AL691" s="93"/>
      <c r="AM691" s="93"/>
      <c r="AN691" s="93"/>
      <c r="AO691" s="93"/>
    </row>
    <row r="692" ht="15.7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  <c r="AL692" s="93"/>
      <c r="AM692" s="93"/>
      <c r="AN692" s="93"/>
      <c r="AO692" s="93"/>
    </row>
    <row r="693" ht="15.7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  <c r="AJ693" s="93"/>
      <c r="AK693" s="93"/>
      <c r="AL693" s="93"/>
      <c r="AM693" s="93"/>
      <c r="AN693" s="93"/>
      <c r="AO693" s="93"/>
    </row>
    <row r="694" ht="15.7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  <c r="AJ694" s="93"/>
      <c r="AK694" s="93"/>
      <c r="AL694" s="93"/>
      <c r="AM694" s="93"/>
      <c r="AN694" s="93"/>
      <c r="AO694" s="93"/>
    </row>
    <row r="695" ht="15.7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  <c r="AL695" s="93"/>
      <c r="AM695" s="93"/>
      <c r="AN695" s="93"/>
      <c r="AO695" s="93"/>
    </row>
    <row r="696" ht="15.7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  <c r="AJ696" s="93"/>
      <c r="AK696" s="93"/>
      <c r="AL696" s="93"/>
      <c r="AM696" s="93"/>
      <c r="AN696" s="93"/>
      <c r="AO696" s="93"/>
    </row>
    <row r="697" ht="15.7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  <c r="AJ697" s="93"/>
      <c r="AK697" s="93"/>
      <c r="AL697" s="93"/>
      <c r="AM697" s="93"/>
      <c r="AN697" s="93"/>
      <c r="AO697" s="93"/>
    </row>
    <row r="698" ht="15.7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  <c r="AJ698" s="93"/>
      <c r="AK698" s="93"/>
      <c r="AL698" s="93"/>
      <c r="AM698" s="93"/>
      <c r="AN698" s="93"/>
      <c r="AO698" s="93"/>
    </row>
    <row r="699" ht="15.7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  <c r="AJ699" s="93"/>
      <c r="AK699" s="93"/>
      <c r="AL699" s="93"/>
      <c r="AM699" s="93"/>
      <c r="AN699" s="93"/>
      <c r="AO699" s="93"/>
    </row>
    <row r="700" ht="15.7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  <c r="AJ700" s="93"/>
      <c r="AK700" s="93"/>
      <c r="AL700" s="93"/>
      <c r="AM700" s="93"/>
      <c r="AN700" s="93"/>
      <c r="AO700" s="93"/>
    </row>
    <row r="701" ht="15.7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</row>
    <row r="702" ht="15.7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  <c r="AJ702" s="93"/>
      <c r="AK702" s="93"/>
      <c r="AL702" s="93"/>
      <c r="AM702" s="93"/>
      <c r="AN702" s="93"/>
      <c r="AO702" s="93"/>
    </row>
    <row r="703" ht="15.7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  <c r="AJ703" s="93"/>
      <c r="AK703" s="93"/>
      <c r="AL703" s="93"/>
      <c r="AM703" s="93"/>
      <c r="AN703" s="93"/>
      <c r="AO703" s="93"/>
    </row>
    <row r="704" ht="15.7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  <c r="AJ704" s="93"/>
      <c r="AK704" s="93"/>
      <c r="AL704" s="93"/>
      <c r="AM704" s="93"/>
      <c r="AN704" s="93"/>
      <c r="AO704" s="93"/>
    </row>
    <row r="705" ht="15.7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  <c r="AJ705" s="93"/>
      <c r="AK705" s="93"/>
      <c r="AL705" s="93"/>
      <c r="AM705" s="93"/>
      <c r="AN705" s="93"/>
      <c r="AO705" s="93"/>
    </row>
    <row r="706" ht="15.7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  <c r="AJ706" s="93"/>
      <c r="AK706" s="93"/>
      <c r="AL706" s="93"/>
      <c r="AM706" s="93"/>
      <c r="AN706" s="93"/>
      <c r="AO706" s="93"/>
    </row>
    <row r="707" ht="15.7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  <c r="AL707" s="93"/>
      <c r="AM707" s="93"/>
      <c r="AN707" s="93"/>
      <c r="AO707" s="93"/>
    </row>
    <row r="708" ht="15.7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  <c r="AJ708" s="93"/>
      <c r="AK708" s="93"/>
      <c r="AL708" s="93"/>
      <c r="AM708" s="93"/>
      <c r="AN708" s="93"/>
      <c r="AO708" s="93"/>
    </row>
    <row r="709" ht="15.7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  <c r="AJ709" s="93"/>
      <c r="AK709" s="93"/>
      <c r="AL709" s="93"/>
      <c r="AM709" s="93"/>
      <c r="AN709" s="93"/>
      <c r="AO709" s="93"/>
    </row>
    <row r="710" ht="15.7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/>
      <c r="AM710" s="93"/>
      <c r="AN710" s="93"/>
      <c r="AO710" s="93"/>
    </row>
    <row r="711" ht="15.7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  <c r="AL711" s="93"/>
      <c r="AM711" s="93"/>
      <c r="AN711" s="93"/>
      <c r="AO711" s="93"/>
    </row>
    <row r="712" ht="15.7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  <c r="AJ712" s="93"/>
      <c r="AK712" s="93"/>
      <c r="AL712" s="93"/>
      <c r="AM712" s="93"/>
      <c r="AN712" s="93"/>
      <c r="AO712" s="93"/>
    </row>
    <row r="713" ht="15.7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  <c r="AL713" s="93"/>
      <c r="AM713" s="93"/>
      <c r="AN713" s="93"/>
      <c r="AO713" s="93"/>
    </row>
    <row r="714" ht="15.7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  <c r="AL714" s="93"/>
      <c r="AM714" s="93"/>
      <c r="AN714" s="93"/>
      <c r="AO714" s="93"/>
    </row>
    <row r="715" ht="15.7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  <c r="AJ715" s="93"/>
      <c r="AK715" s="93"/>
      <c r="AL715" s="93"/>
      <c r="AM715" s="93"/>
      <c r="AN715" s="93"/>
      <c r="AO715" s="93"/>
    </row>
    <row r="716" ht="15.7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  <c r="AJ716" s="93"/>
      <c r="AK716" s="93"/>
      <c r="AL716" s="93"/>
      <c r="AM716" s="93"/>
      <c r="AN716" s="93"/>
      <c r="AO716" s="93"/>
    </row>
    <row r="717" ht="15.7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  <c r="AJ717" s="93"/>
      <c r="AK717" s="93"/>
      <c r="AL717" s="93"/>
      <c r="AM717" s="93"/>
      <c r="AN717" s="93"/>
      <c r="AO717" s="93"/>
    </row>
    <row r="718" ht="15.7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  <c r="AJ718" s="93"/>
      <c r="AK718" s="93"/>
      <c r="AL718" s="93"/>
      <c r="AM718" s="93"/>
      <c r="AN718" s="93"/>
      <c r="AO718" s="93"/>
    </row>
    <row r="719" ht="15.7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  <c r="AJ719" s="93"/>
      <c r="AK719" s="93"/>
      <c r="AL719" s="93"/>
      <c r="AM719" s="93"/>
      <c r="AN719" s="93"/>
      <c r="AO719" s="93"/>
    </row>
    <row r="720" ht="15.7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  <c r="AJ720" s="93"/>
      <c r="AK720" s="93"/>
      <c r="AL720" s="93"/>
      <c r="AM720" s="93"/>
      <c r="AN720" s="93"/>
      <c r="AO720" s="93"/>
    </row>
    <row r="721" ht="15.7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  <c r="AJ721" s="93"/>
      <c r="AK721" s="93"/>
      <c r="AL721" s="93"/>
      <c r="AM721" s="93"/>
      <c r="AN721" s="93"/>
      <c r="AO721" s="93"/>
    </row>
    <row r="722" ht="15.7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  <c r="AL722" s="93"/>
      <c r="AM722" s="93"/>
      <c r="AN722" s="93"/>
      <c r="AO722" s="93"/>
    </row>
    <row r="723" ht="15.7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  <c r="AJ723" s="93"/>
      <c r="AK723" s="93"/>
      <c r="AL723" s="93"/>
      <c r="AM723" s="93"/>
      <c r="AN723" s="93"/>
      <c r="AO723" s="93"/>
    </row>
    <row r="724" ht="15.7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  <c r="AJ724" s="93"/>
      <c r="AK724" s="93"/>
      <c r="AL724" s="93"/>
      <c r="AM724" s="93"/>
      <c r="AN724" s="93"/>
      <c r="AO724" s="93"/>
    </row>
    <row r="725" ht="15.7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  <c r="AL725" s="93"/>
      <c r="AM725" s="93"/>
      <c r="AN725" s="93"/>
      <c r="AO725" s="93"/>
    </row>
    <row r="726" ht="15.7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  <c r="AL726" s="93"/>
      <c r="AM726" s="93"/>
      <c r="AN726" s="93"/>
      <c r="AO726" s="93"/>
    </row>
    <row r="727" ht="15.7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  <c r="AJ727" s="93"/>
      <c r="AK727" s="93"/>
      <c r="AL727" s="93"/>
      <c r="AM727" s="93"/>
      <c r="AN727" s="93"/>
      <c r="AO727" s="93"/>
    </row>
    <row r="728" ht="15.7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  <c r="AJ728" s="93"/>
      <c r="AK728" s="93"/>
      <c r="AL728" s="93"/>
      <c r="AM728" s="93"/>
      <c r="AN728" s="93"/>
      <c r="AO728" s="93"/>
    </row>
    <row r="729" ht="15.7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  <c r="AJ729" s="93"/>
      <c r="AK729" s="93"/>
      <c r="AL729" s="93"/>
      <c r="AM729" s="93"/>
      <c r="AN729" s="93"/>
      <c r="AO729" s="93"/>
    </row>
    <row r="730" ht="15.7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  <c r="AJ730" s="93"/>
      <c r="AK730" s="93"/>
      <c r="AL730" s="93"/>
      <c r="AM730" s="93"/>
      <c r="AN730" s="93"/>
      <c r="AO730" s="93"/>
    </row>
    <row r="731" ht="15.7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  <c r="AL731" s="93"/>
      <c r="AM731" s="93"/>
      <c r="AN731" s="93"/>
      <c r="AO731" s="93"/>
    </row>
    <row r="732" ht="15.7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  <c r="AJ732" s="93"/>
      <c r="AK732" s="93"/>
      <c r="AL732" s="93"/>
      <c r="AM732" s="93"/>
      <c r="AN732" s="93"/>
      <c r="AO732" s="93"/>
    </row>
    <row r="733" ht="15.7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  <c r="AL733" s="93"/>
      <c r="AM733" s="93"/>
      <c r="AN733" s="93"/>
      <c r="AO733" s="93"/>
    </row>
    <row r="734" ht="15.7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  <c r="AJ734" s="93"/>
      <c r="AK734" s="93"/>
      <c r="AL734" s="93"/>
      <c r="AM734" s="93"/>
      <c r="AN734" s="93"/>
      <c r="AO734" s="93"/>
    </row>
    <row r="735" ht="15.7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  <c r="AJ735" s="93"/>
      <c r="AK735" s="93"/>
      <c r="AL735" s="93"/>
      <c r="AM735" s="93"/>
      <c r="AN735" s="93"/>
      <c r="AO735" s="93"/>
    </row>
    <row r="736" ht="15.7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  <c r="AJ736" s="93"/>
      <c r="AK736" s="93"/>
      <c r="AL736" s="93"/>
      <c r="AM736" s="93"/>
      <c r="AN736" s="93"/>
      <c r="AO736" s="93"/>
    </row>
    <row r="737" ht="15.7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  <c r="AL737" s="93"/>
      <c r="AM737" s="93"/>
      <c r="AN737" s="93"/>
      <c r="AO737" s="93"/>
    </row>
    <row r="738" ht="15.7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  <c r="AJ738" s="93"/>
      <c r="AK738" s="93"/>
      <c r="AL738" s="93"/>
      <c r="AM738" s="93"/>
      <c r="AN738" s="93"/>
      <c r="AO738" s="93"/>
    </row>
    <row r="739" ht="15.7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  <c r="AJ739" s="93"/>
      <c r="AK739" s="93"/>
      <c r="AL739" s="93"/>
      <c r="AM739" s="93"/>
      <c r="AN739" s="93"/>
      <c r="AO739" s="93"/>
    </row>
    <row r="740" ht="15.7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  <c r="AL740" s="93"/>
      <c r="AM740" s="93"/>
      <c r="AN740" s="93"/>
      <c r="AO740" s="93"/>
    </row>
    <row r="741" ht="15.7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  <c r="AJ741" s="93"/>
      <c r="AK741" s="93"/>
      <c r="AL741" s="93"/>
      <c r="AM741" s="93"/>
      <c r="AN741" s="93"/>
      <c r="AO741" s="93"/>
    </row>
    <row r="742" ht="15.7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  <c r="AL742" s="93"/>
      <c r="AM742" s="93"/>
      <c r="AN742" s="93"/>
      <c r="AO742" s="93"/>
    </row>
    <row r="743" ht="15.7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  <c r="AL743" s="93"/>
      <c r="AM743" s="93"/>
      <c r="AN743" s="93"/>
      <c r="AO743" s="93"/>
    </row>
    <row r="744" ht="15.7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  <c r="AJ744" s="93"/>
      <c r="AK744" s="93"/>
      <c r="AL744" s="93"/>
      <c r="AM744" s="93"/>
      <c r="AN744" s="93"/>
      <c r="AO744" s="93"/>
    </row>
    <row r="745" ht="15.7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  <c r="AJ745" s="93"/>
      <c r="AK745" s="93"/>
      <c r="AL745" s="93"/>
      <c r="AM745" s="93"/>
      <c r="AN745" s="93"/>
      <c r="AO745" s="93"/>
    </row>
    <row r="746" ht="15.7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  <c r="AJ746" s="93"/>
      <c r="AK746" s="93"/>
      <c r="AL746" s="93"/>
      <c r="AM746" s="93"/>
      <c r="AN746" s="93"/>
      <c r="AO746" s="93"/>
    </row>
    <row r="747" ht="15.7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  <c r="AJ747" s="93"/>
      <c r="AK747" s="93"/>
      <c r="AL747" s="93"/>
      <c r="AM747" s="93"/>
      <c r="AN747" s="93"/>
      <c r="AO747" s="93"/>
    </row>
    <row r="748" ht="15.7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  <c r="AJ748" s="93"/>
      <c r="AK748" s="93"/>
      <c r="AL748" s="93"/>
      <c r="AM748" s="93"/>
      <c r="AN748" s="93"/>
      <c r="AO748" s="93"/>
    </row>
    <row r="749" ht="15.7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  <c r="AJ749" s="93"/>
      <c r="AK749" s="93"/>
      <c r="AL749" s="93"/>
      <c r="AM749" s="93"/>
      <c r="AN749" s="93"/>
      <c r="AO749" s="93"/>
    </row>
    <row r="750" ht="15.7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  <c r="AJ750" s="93"/>
      <c r="AK750" s="93"/>
      <c r="AL750" s="93"/>
      <c r="AM750" s="93"/>
      <c r="AN750" s="93"/>
      <c r="AO750" s="93"/>
    </row>
    <row r="751" ht="15.7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  <c r="AJ751" s="93"/>
      <c r="AK751" s="93"/>
      <c r="AL751" s="93"/>
      <c r="AM751" s="93"/>
      <c r="AN751" s="93"/>
      <c r="AO751" s="93"/>
    </row>
    <row r="752" ht="15.7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</row>
    <row r="753" ht="15.7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  <c r="AJ753" s="93"/>
      <c r="AK753" s="93"/>
      <c r="AL753" s="93"/>
      <c r="AM753" s="93"/>
      <c r="AN753" s="93"/>
      <c r="AO753" s="93"/>
    </row>
    <row r="754" ht="15.7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  <c r="AJ754" s="93"/>
      <c r="AK754" s="93"/>
      <c r="AL754" s="93"/>
      <c r="AM754" s="93"/>
      <c r="AN754" s="93"/>
      <c r="AO754" s="93"/>
    </row>
    <row r="755" ht="15.7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</row>
    <row r="756" ht="15.7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  <c r="AJ756" s="93"/>
      <c r="AK756" s="93"/>
      <c r="AL756" s="93"/>
      <c r="AM756" s="93"/>
      <c r="AN756" s="93"/>
      <c r="AO756" s="93"/>
    </row>
    <row r="757" ht="15.7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</row>
    <row r="758" ht="15.7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</row>
    <row r="759" ht="15.7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</row>
    <row r="760" ht="15.7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  <c r="AJ760" s="93"/>
      <c r="AK760" s="93"/>
      <c r="AL760" s="93"/>
      <c r="AM760" s="93"/>
      <c r="AN760" s="93"/>
      <c r="AO760" s="93"/>
    </row>
    <row r="761" ht="15.7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</row>
    <row r="762" ht="15.7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  <c r="AJ762" s="93"/>
      <c r="AK762" s="93"/>
      <c r="AL762" s="93"/>
      <c r="AM762" s="93"/>
      <c r="AN762" s="93"/>
      <c r="AO762" s="93"/>
    </row>
    <row r="763" ht="15.7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  <c r="AJ763" s="93"/>
      <c r="AK763" s="93"/>
      <c r="AL763" s="93"/>
      <c r="AM763" s="93"/>
      <c r="AN763" s="93"/>
      <c r="AO763" s="93"/>
    </row>
    <row r="764" ht="15.7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  <c r="AJ764" s="93"/>
      <c r="AK764" s="93"/>
      <c r="AL764" s="93"/>
      <c r="AM764" s="93"/>
      <c r="AN764" s="93"/>
      <c r="AO764" s="93"/>
    </row>
    <row r="765" ht="15.7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  <c r="AJ765" s="93"/>
      <c r="AK765" s="93"/>
      <c r="AL765" s="93"/>
      <c r="AM765" s="93"/>
      <c r="AN765" s="93"/>
      <c r="AO765" s="93"/>
    </row>
    <row r="766" ht="15.7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  <c r="AJ766" s="93"/>
      <c r="AK766" s="93"/>
      <c r="AL766" s="93"/>
      <c r="AM766" s="93"/>
      <c r="AN766" s="93"/>
      <c r="AO766" s="93"/>
    </row>
    <row r="767" ht="15.7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  <c r="AJ767" s="93"/>
      <c r="AK767" s="93"/>
      <c r="AL767" s="93"/>
      <c r="AM767" s="93"/>
      <c r="AN767" s="93"/>
      <c r="AO767" s="93"/>
    </row>
    <row r="768" ht="15.7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  <c r="AJ768" s="93"/>
      <c r="AK768" s="93"/>
      <c r="AL768" s="93"/>
      <c r="AM768" s="93"/>
      <c r="AN768" s="93"/>
      <c r="AO768" s="93"/>
    </row>
    <row r="769" ht="15.7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  <c r="AJ769" s="93"/>
      <c r="AK769" s="93"/>
      <c r="AL769" s="93"/>
      <c r="AM769" s="93"/>
      <c r="AN769" s="93"/>
      <c r="AO769" s="93"/>
    </row>
    <row r="770" ht="15.7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</row>
    <row r="771" ht="15.7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  <c r="AJ771" s="93"/>
      <c r="AK771" s="93"/>
      <c r="AL771" s="93"/>
      <c r="AM771" s="93"/>
      <c r="AN771" s="93"/>
      <c r="AO771" s="93"/>
    </row>
    <row r="772" ht="15.7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  <c r="AJ772" s="93"/>
      <c r="AK772" s="93"/>
      <c r="AL772" s="93"/>
      <c r="AM772" s="93"/>
      <c r="AN772" s="93"/>
      <c r="AO772" s="93"/>
    </row>
    <row r="773" ht="15.7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</row>
    <row r="774" ht="15.7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  <c r="AJ774" s="93"/>
      <c r="AK774" s="93"/>
      <c r="AL774" s="93"/>
      <c r="AM774" s="93"/>
      <c r="AN774" s="93"/>
      <c r="AO774" s="93"/>
    </row>
    <row r="775" ht="15.7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  <c r="AJ775" s="93"/>
      <c r="AK775" s="93"/>
      <c r="AL775" s="93"/>
      <c r="AM775" s="93"/>
      <c r="AN775" s="93"/>
      <c r="AO775" s="93"/>
    </row>
    <row r="776" ht="15.7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</row>
    <row r="777" ht="15.7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  <c r="AJ777" s="93"/>
      <c r="AK777" s="93"/>
      <c r="AL777" s="93"/>
      <c r="AM777" s="93"/>
      <c r="AN777" s="93"/>
      <c r="AO777" s="93"/>
    </row>
    <row r="778" ht="15.7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  <c r="AJ778" s="93"/>
      <c r="AK778" s="93"/>
      <c r="AL778" s="93"/>
      <c r="AM778" s="93"/>
      <c r="AN778" s="93"/>
      <c r="AO778" s="93"/>
    </row>
    <row r="779" ht="15.7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</row>
    <row r="780" ht="15.7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  <c r="AJ780" s="93"/>
      <c r="AK780" s="93"/>
      <c r="AL780" s="93"/>
      <c r="AM780" s="93"/>
      <c r="AN780" s="93"/>
      <c r="AO780" s="93"/>
    </row>
    <row r="781" ht="15.7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  <c r="AJ781" s="93"/>
      <c r="AK781" s="93"/>
      <c r="AL781" s="93"/>
      <c r="AM781" s="93"/>
      <c r="AN781" s="93"/>
      <c r="AO781" s="93"/>
    </row>
    <row r="782" ht="15.7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</row>
    <row r="783" ht="15.7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  <c r="AJ783" s="93"/>
      <c r="AK783" s="93"/>
      <c r="AL783" s="93"/>
      <c r="AM783" s="93"/>
      <c r="AN783" s="93"/>
      <c r="AO783" s="93"/>
    </row>
    <row r="784" ht="15.7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  <c r="AJ784" s="93"/>
      <c r="AK784" s="93"/>
      <c r="AL784" s="93"/>
      <c r="AM784" s="93"/>
      <c r="AN784" s="93"/>
      <c r="AO784" s="93"/>
    </row>
    <row r="785" ht="15.7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  <c r="AJ785" s="93"/>
      <c r="AK785" s="93"/>
      <c r="AL785" s="93"/>
      <c r="AM785" s="93"/>
      <c r="AN785" s="93"/>
      <c r="AO785" s="93"/>
    </row>
    <row r="786" ht="15.7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  <c r="AJ786" s="93"/>
      <c r="AK786" s="93"/>
      <c r="AL786" s="93"/>
      <c r="AM786" s="93"/>
      <c r="AN786" s="93"/>
      <c r="AO786" s="93"/>
    </row>
    <row r="787" ht="15.7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  <c r="AJ787" s="93"/>
      <c r="AK787" s="93"/>
      <c r="AL787" s="93"/>
      <c r="AM787" s="93"/>
      <c r="AN787" s="93"/>
      <c r="AO787" s="93"/>
    </row>
    <row r="788" ht="15.7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  <c r="AJ788" s="93"/>
      <c r="AK788" s="93"/>
      <c r="AL788" s="93"/>
      <c r="AM788" s="93"/>
      <c r="AN788" s="93"/>
      <c r="AO788" s="93"/>
    </row>
    <row r="789" ht="15.7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  <c r="AJ789" s="93"/>
      <c r="AK789" s="93"/>
      <c r="AL789" s="93"/>
      <c r="AM789" s="93"/>
      <c r="AN789" s="93"/>
      <c r="AO789" s="93"/>
    </row>
    <row r="790" ht="15.7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</row>
    <row r="791" ht="15.7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</row>
    <row r="792" ht="15.7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  <c r="AJ792" s="93"/>
      <c r="AK792" s="93"/>
      <c r="AL792" s="93"/>
      <c r="AM792" s="93"/>
      <c r="AN792" s="93"/>
      <c r="AO792" s="93"/>
    </row>
    <row r="793" ht="15.7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  <c r="AJ793" s="93"/>
      <c r="AK793" s="93"/>
      <c r="AL793" s="93"/>
      <c r="AM793" s="93"/>
      <c r="AN793" s="93"/>
      <c r="AO793" s="93"/>
    </row>
    <row r="794" ht="15.7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</row>
    <row r="795" ht="15.7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  <c r="AJ795" s="93"/>
      <c r="AK795" s="93"/>
      <c r="AL795" s="93"/>
      <c r="AM795" s="93"/>
      <c r="AN795" s="93"/>
      <c r="AO795" s="93"/>
    </row>
    <row r="796" ht="15.7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  <c r="AJ796" s="93"/>
      <c r="AK796" s="93"/>
      <c r="AL796" s="93"/>
      <c r="AM796" s="93"/>
      <c r="AN796" s="93"/>
      <c r="AO796" s="93"/>
    </row>
    <row r="797" ht="15.7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</row>
    <row r="798" ht="15.7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  <c r="AJ798" s="93"/>
      <c r="AK798" s="93"/>
      <c r="AL798" s="93"/>
      <c r="AM798" s="93"/>
      <c r="AN798" s="93"/>
      <c r="AO798" s="93"/>
    </row>
    <row r="799" ht="15.7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  <c r="AJ799" s="93"/>
      <c r="AK799" s="93"/>
      <c r="AL799" s="93"/>
      <c r="AM799" s="93"/>
      <c r="AN799" s="93"/>
      <c r="AO799" s="93"/>
    </row>
    <row r="800" ht="15.7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</row>
    <row r="801" ht="15.7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  <c r="AJ801" s="93"/>
      <c r="AK801" s="93"/>
      <c r="AL801" s="93"/>
      <c r="AM801" s="93"/>
      <c r="AN801" s="93"/>
      <c r="AO801" s="93"/>
    </row>
    <row r="802" ht="15.7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  <c r="AJ802" s="93"/>
      <c r="AK802" s="93"/>
      <c r="AL802" s="93"/>
      <c r="AM802" s="93"/>
      <c r="AN802" s="93"/>
      <c r="AO802" s="93"/>
    </row>
    <row r="803" ht="15.7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</row>
    <row r="804" ht="15.7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  <c r="AJ804" s="93"/>
      <c r="AK804" s="93"/>
      <c r="AL804" s="93"/>
      <c r="AM804" s="93"/>
      <c r="AN804" s="93"/>
      <c r="AO804" s="93"/>
    </row>
    <row r="805" ht="15.7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  <c r="AJ805" s="93"/>
      <c r="AK805" s="93"/>
      <c r="AL805" s="93"/>
      <c r="AM805" s="93"/>
      <c r="AN805" s="93"/>
      <c r="AO805" s="93"/>
    </row>
    <row r="806" ht="15.7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</row>
    <row r="807" ht="15.7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  <c r="AJ807" s="93"/>
      <c r="AK807" s="93"/>
      <c r="AL807" s="93"/>
      <c r="AM807" s="93"/>
      <c r="AN807" s="93"/>
      <c r="AO807" s="93"/>
    </row>
    <row r="808" ht="15.7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  <c r="AJ808" s="93"/>
      <c r="AK808" s="93"/>
      <c r="AL808" s="93"/>
      <c r="AM808" s="93"/>
      <c r="AN808" s="93"/>
      <c r="AO808" s="93"/>
    </row>
    <row r="809" ht="15.7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  <c r="AJ809" s="93"/>
      <c r="AK809" s="93"/>
      <c r="AL809" s="93"/>
      <c r="AM809" s="93"/>
      <c r="AN809" s="93"/>
      <c r="AO809" s="93"/>
    </row>
    <row r="810" ht="15.7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  <c r="AJ810" s="93"/>
      <c r="AK810" s="93"/>
      <c r="AL810" s="93"/>
      <c r="AM810" s="93"/>
      <c r="AN810" s="93"/>
      <c r="AO810" s="93"/>
    </row>
    <row r="811" ht="15.7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  <c r="AJ811" s="93"/>
      <c r="AK811" s="93"/>
      <c r="AL811" s="93"/>
      <c r="AM811" s="93"/>
      <c r="AN811" s="93"/>
      <c r="AO811" s="93"/>
    </row>
    <row r="812" ht="15.7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  <c r="AJ812" s="93"/>
      <c r="AK812" s="93"/>
      <c r="AL812" s="93"/>
      <c r="AM812" s="93"/>
      <c r="AN812" s="93"/>
      <c r="AO812" s="93"/>
    </row>
    <row r="813" ht="15.7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  <c r="AJ813" s="93"/>
      <c r="AK813" s="93"/>
      <c r="AL813" s="93"/>
      <c r="AM813" s="93"/>
      <c r="AN813" s="93"/>
      <c r="AO813" s="93"/>
    </row>
    <row r="814" ht="15.7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  <c r="AJ814" s="93"/>
      <c r="AK814" s="93"/>
      <c r="AL814" s="93"/>
      <c r="AM814" s="93"/>
      <c r="AN814" s="93"/>
      <c r="AO814" s="93"/>
    </row>
    <row r="815" ht="15.7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  <c r="AJ815" s="93"/>
      <c r="AK815" s="93"/>
      <c r="AL815" s="93"/>
      <c r="AM815" s="93"/>
      <c r="AN815" s="93"/>
      <c r="AO815" s="93"/>
    </row>
    <row r="816" ht="15.7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  <c r="AJ816" s="93"/>
      <c r="AK816" s="93"/>
      <c r="AL816" s="93"/>
      <c r="AM816" s="93"/>
      <c r="AN816" s="93"/>
      <c r="AO816" s="93"/>
    </row>
    <row r="817" ht="15.7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  <c r="AJ817" s="93"/>
      <c r="AK817" s="93"/>
      <c r="AL817" s="93"/>
      <c r="AM817" s="93"/>
      <c r="AN817" s="93"/>
      <c r="AO817" s="93"/>
    </row>
    <row r="818" ht="15.7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</row>
    <row r="819" ht="15.7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  <c r="AJ819" s="93"/>
      <c r="AK819" s="93"/>
      <c r="AL819" s="93"/>
      <c r="AM819" s="93"/>
      <c r="AN819" s="93"/>
      <c r="AO819" s="93"/>
    </row>
    <row r="820" ht="15.7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  <c r="AJ820" s="93"/>
      <c r="AK820" s="93"/>
      <c r="AL820" s="93"/>
      <c r="AM820" s="93"/>
      <c r="AN820" s="93"/>
      <c r="AO820" s="93"/>
    </row>
    <row r="821" ht="15.7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</row>
    <row r="822" ht="15.7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  <c r="AJ822" s="93"/>
      <c r="AK822" s="93"/>
      <c r="AL822" s="93"/>
      <c r="AM822" s="93"/>
      <c r="AN822" s="93"/>
      <c r="AO822" s="93"/>
    </row>
    <row r="823" ht="15.7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  <c r="AJ823" s="93"/>
      <c r="AK823" s="93"/>
      <c r="AL823" s="93"/>
      <c r="AM823" s="93"/>
      <c r="AN823" s="93"/>
      <c r="AO823" s="93"/>
    </row>
    <row r="824" ht="15.7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</row>
    <row r="825" ht="15.7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  <c r="AJ825" s="93"/>
      <c r="AK825" s="93"/>
      <c r="AL825" s="93"/>
      <c r="AM825" s="93"/>
      <c r="AN825" s="93"/>
      <c r="AO825" s="93"/>
    </row>
    <row r="826" ht="15.7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  <c r="AJ826" s="93"/>
      <c r="AK826" s="93"/>
      <c r="AL826" s="93"/>
      <c r="AM826" s="93"/>
      <c r="AN826" s="93"/>
      <c r="AO826" s="93"/>
    </row>
    <row r="827" ht="15.7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  <c r="AJ827" s="93"/>
      <c r="AK827" s="93"/>
      <c r="AL827" s="93"/>
      <c r="AM827" s="93"/>
      <c r="AN827" s="93"/>
      <c r="AO827" s="93"/>
    </row>
    <row r="828" ht="15.7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  <c r="AJ828" s="93"/>
      <c r="AK828" s="93"/>
      <c r="AL828" s="93"/>
      <c r="AM828" s="93"/>
      <c r="AN828" s="93"/>
      <c r="AO828" s="93"/>
    </row>
    <row r="829" ht="15.7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  <c r="AJ829" s="93"/>
      <c r="AK829" s="93"/>
      <c r="AL829" s="93"/>
      <c r="AM829" s="93"/>
      <c r="AN829" s="93"/>
      <c r="AO829" s="93"/>
    </row>
    <row r="830" ht="15.7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  <c r="AJ830" s="93"/>
      <c r="AK830" s="93"/>
      <c r="AL830" s="93"/>
      <c r="AM830" s="93"/>
      <c r="AN830" s="93"/>
      <c r="AO830" s="93"/>
    </row>
    <row r="831" ht="15.7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  <c r="AJ831" s="93"/>
      <c r="AK831" s="93"/>
      <c r="AL831" s="93"/>
      <c r="AM831" s="93"/>
      <c r="AN831" s="93"/>
      <c r="AO831" s="93"/>
    </row>
    <row r="832" ht="15.7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  <c r="AJ832" s="93"/>
      <c r="AK832" s="93"/>
      <c r="AL832" s="93"/>
      <c r="AM832" s="93"/>
      <c r="AN832" s="93"/>
      <c r="AO832" s="93"/>
    </row>
    <row r="833" ht="15.7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  <c r="AJ833" s="93"/>
      <c r="AK833" s="93"/>
      <c r="AL833" s="93"/>
      <c r="AM833" s="93"/>
      <c r="AN833" s="93"/>
      <c r="AO833" s="93"/>
    </row>
    <row r="834" ht="15.7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  <c r="AJ834" s="93"/>
      <c r="AK834" s="93"/>
      <c r="AL834" s="93"/>
      <c r="AM834" s="93"/>
      <c r="AN834" s="93"/>
      <c r="AO834" s="93"/>
    </row>
    <row r="835" ht="15.7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  <c r="AJ835" s="93"/>
      <c r="AK835" s="93"/>
      <c r="AL835" s="93"/>
      <c r="AM835" s="93"/>
      <c r="AN835" s="93"/>
      <c r="AO835" s="93"/>
    </row>
    <row r="836" ht="15.7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  <c r="AJ836" s="93"/>
      <c r="AK836" s="93"/>
      <c r="AL836" s="93"/>
      <c r="AM836" s="93"/>
      <c r="AN836" s="93"/>
      <c r="AO836" s="93"/>
    </row>
    <row r="837" ht="15.7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  <c r="AJ837" s="93"/>
      <c r="AK837" s="93"/>
      <c r="AL837" s="93"/>
      <c r="AM837" s="93"/>
      <c r="AN837" s="93"/>
      <c r="AO837" s="93"/>
    </row>
    <row r="838" ht="15.7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  <c r="AJ838" s="93"/>
      <c r="AK838" s="93"/>
      <c r="AL838" s="93"/>
      <c r="AM838" s="93"/>
      <c r="AN838" s="93"/>
      <c r="AO838" s="93"/>
    </row>
    <row r="839" ht="15.7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  <c r="AJ839" s="93"/>
      <c r="AK839" s="93"/>
      <c r="AL839" s="93"/>
      <c r="AM839" s="93"/>
      <c r="AN839" s="93"/>
      <c r="AO839" s="93"/>
    </row>
    <row r="840" ht="15.7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  <c r="AJ840" s="93"/>
      <c r="AK840" s="93"/>
      <c r="AL840" s="93"/>
      <c r="AM840" s="93"/>
      <c r="AN840" s="93"/>
      <c r="AO840" s="93"/>
    </row>
    <row r="841" ht="15.7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  <c r="AJ841" s="93"/>
      <c r="AK841" s="93"/>
      <c r="AL841" s="93"/>
      <c r="AM841" s="93"/>
      <c r="AN841" s="93"/>
      <c r="AO841" s="93"/>
    </row>
    <row r="842" ht="15.7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  <c r="AJ842" s="93"/>
      <c r="AK842" s="93"/>
      <c r="AL842" s="93"/>
      <c r="AM842" s="93"/>
      <c r="AN842" s="93"/>
      <c r="AO842" s="93"/>
    </row>
    <row r="843" ht="15.7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  <c r="AJ843" s="93"/>
      <c r="AK843" s="93"/>
      <c r="AL843" s="93"/>
      <c r="AM843" s="93"/>
      <c r="AN843" s="93"/>
      <c r="AO843" s="93"/>
    </row>
    <row r="844" ht="15.7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  <c r="AJ844" s="93"/>
      <c r="AK844" s="93"/>
      <c r="AL844" s="93"/>
      <c r="AM844" s="93"/>
      <c r="AN844" s="93"/>
      <c r="AO844" s="93"/>
    </row>
    <row r="845" ht="15.7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  <c r="AJ845" s="93"/>
      <c r="AK845" s="93"/>
      <c r="AL845" s="93"/>
      <c r="AM845" s="93"/>
      <c r="AN845" s="93"/>
      <c r="AO845" s="93"/>
    </row>
    <row r="846" ht="15.7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  <c r="AJ846" s="93"/>
      <c r="AK846" s="93"/>
      <c r="AL846" s="93"/>
      <c r="AM846" s="93"/>
      <c r="AN846" s="93"/>
      <c r="AO846" s="93"/>
    </row>
    <row r="847" ht="15.7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  <c r="AJ847" s="93"/>
      <c r="AK847" s="93"/>
      <c r="AL847" s="93"/>
      <c r="AM847" s="93"/>
      <c r="AN847" s="93"/>
      <c r="AO847" s="93"/>
    </row>
    <row r="848" ht="15.7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</row>
    <row r="849" ht="15.7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  <c r="AJ849" s="93"/>
      <c r="AK849" s="93"/>
      <c r="AL849" s="93"/>
      <c r="AM849" s="93"/>
      <c r="AN849" s="93"/>
      <c r="AO849" s="93"/>
    </row>
    <row r="850" ht="15.7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  <c r="AJ850" s="93"/>
      <c r="AK850" s="93"/>
      <c r="AL850" s="93"/>
      <c r="AM850" s="93"/>
      <c r="AN850" s="93"/>
      <c r="AO850" s="93"/>
    </row>
    <row r="851" ht="15.7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</row>
    <row r="852" ht="15.7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  <c r="AJ852" s="93"/>
      <c r="AK852" s="93"/>
      <c r="AL852" s="93"/>
      <c r="AM852" s="93"/>
      <c r="AN852" s="93"/>
      <c r="AO852" s="93"/>
    </row>
    <row r="853" ht="15.7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  <c r="AJ853" s="93"/>
      <c r="AK853" s="93"/>
      <c r="AL853" s="93"/>
      <c r="AM853" s="93"/>
      <c r="AN853" s="93"/>
      <c r="AO853" s="93"/>
    </row>
    <row r="854" ht="15.7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  <c r="AJ854" s="93"/>
      <c r="AK854" s="93"/>
      <c r="AL854" s="93"/>
      <c r="AM854" s="93"/>
      <c r="AN854" s="93"/>
      <c r="AO854" s="93"/>
    </row>
    <row r="855" ht="15.7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  <c r="AJ855" s="93"/>
      <c r="AK855" s="93"/>
      <c r="AL855" s="93"/>
      <c r="AM855" s="93"/>
      <c r="AN855" s="93"/>
      <c r="AO855" s="93"/>
    </row>
    <row r="856" ht="15.7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  <c r="AJ856" s="93"/>
      <c r="AK856" s="93"/>
      <c r="AL856" s="93"/>
      <c r="AM856" s="93"/>
      <c r="AN856" s="93"/>
      <c r="AO856" s="93"/>
    </row>
    <row r="857" ht="15.7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  <c r="AJ857" s="93"/>
      <c r="AK857" s="93"/>
      <c r="AL857" s="93"/>
      <c r="AM857" s="93"/>
      <c r="AN857" s="93"/>
      <c r="AO857" s="93"/>
    </row>
    <row r="858" ht="15.7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</row>
    <row r="859" ht="15.7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  <c r="AJ859" s="93"/>
      <c r="AK859" s="93"/>
      <c r="AL859" s="93"/>
      <c r="AM859" s="93"/>
      <c r="AN859" s="93"/>
      <c r="AO859" s="93"/>
    </row>
    <row r="860" ht="15.7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</row>
    <row r="861" ht="15.7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  <c r="AJ861" s="93"/>
      <c r="AK861" s="93"/>
      <c r="AL861" s="93"/>
      <c r="AM861" s="93"/>
      <c r="AN861" s="93"/>
      <c r="AO861" s="93"/>
    </row>
    <row r="862" ht="15.7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  <c r="AJ862" s="93"/>
      <c r="AK862" s="93"/>
      <c r="AL862" s="93"/>
      <c r="AM862" s="93"/>
      <c r="AN862" s="93"/>
      <c r="AO862" s="93"/>
    </row>
    <row r="863" ht="15.7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  <c r="AJ863" s="93"/>
      <c r="AK863" s="93"/>
      <c r="AL863" s="93"/>
      <c r="AM863" s="93"/>
      <c r="AN863" s="93"/>
      <c r="AO863" s="93"/>
    </row>
    <row r="864" ht="15.7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  <c r="AJ864" s="93"/>
      <c r="AK864" s="93"/>
      <c r="AL864" s="93"/>
      <c r="AM864" s="93"/>
      <c r="AN864" s="93"/>
      <c r="AO864" s="93"/>
    </row>
    <row r="865" ht="15.7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</row>
    <row r="866" ht="15.7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</row>
    <row r="867" ht="15.7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  <c r="AJ867" s="93"/>
      <c r="AK867" s="93"/>
      <c r="AL867" s="93"/>
      <c r="AM867" s="93"/>
      <c r="AN867" s="93"/>
      <c r="AO867" s="93"/>
    </row>
    <row r="868" ht="15.7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  <c r="AJ868" s="93"/>
      <c r="AK868" s="93"/>
      <c r="AL868" s="93"/>
      <c r="AM868" s="93"/>
      <c r="AN868" s="93"/>
      <c r="AO868" s="93"/>
    </row>
    <row r="869" ht="15.7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</row>
    <row r="870" ht="15.7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  <c r="AJ870" s="93"/>
      <c r="AK870" s="93"/>
      <c r="AL870" s="93"/>
      <c r="AM870" s="93"/>
      <c r="AN870" s="93"/>
      <c r="AO870" s="93"/>
    </row>
    <row r="871" ht="15.7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  <c r="AJ871" s="93"/>
      <c r="AK871" s="93"/>
      <c r="AL871" s="93"/>
      <c r="AM871" s="93"/>
      <c r="AN871" s="93"/>
      <c r="AO871" s="93"/>
    </row>
    <row r="872" ht="15.7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</row>
    <row r="873" ht="15.7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  <c r="AJ873" s="93"/>
      <c r="AK873" s="93"/>
      <c r="AL873" s="93"/>
      <c r="AM873" s="93"/>
      <c r="AN873" s="93"/>
      <c r="AO873" s="93"/>
    </row>
    <row r="874" ht="15.7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</row>
    <row r="875" ht="15.7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</row>
    <row r="876" ht="15.7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  <c r="AJ876" s="93"/>
      <c r="AK876" s="93"/>
      <c r="AL876" s="93"/>
      <c r="AM876" s="93"/>
      <c r="AN876" s="93"/>
      <c r="AO876" s="93"/>
    </row>
    <row r="877" ht="15.7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  <c r="AJ877" s="93"/>
      <c r="AK877" s="93"/>
      <c r="AL877" s="93"/>
      <c r="AM877" s="93"/>
      <c r="AN877" s="93"/>
      <c r="AO877" s="93"/>
    </row>
    <row r="878" ht="15.7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</row>
    <row r="879" ht="15.7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</row>
    <row r="880" ht="15.7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  <c r="AJ880" s="93"/>
      <c r="AK880" s="93"/>
      <c r="AL880" s="93"/>
      <c r="AM880" s="93"/>
      <c r="AN880" s="93"/>
      <c r="AO880" s="93"/>
    </row>
    <row r="881" ht="15.7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  <c r="AJ881" s="93"/>
      <c r="AK881" s="93"/>
      <c r="AL881" s="93"/>
      <c r="AM881" s="93"/>
      <c r="AN881" s="93"/>
      <c r="AO881" s="93"/>
    </row>
    <row r="882" ht="15.7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  <c r="AJ882" s="93"/>
      <c r="AK882" s="93"/>
      <c r="AL882" s="93"/>
      <c r="AM882" s="93"/>
      <c r="AN882" s="93"/>
      <c r="AO882" s="93"/>
    </row>
    <row r="883" ht="15.7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  <c r="AJ883" s="93"/>
      <c r="AK883" s="93"/>
      <c r="AL883" s="93"/>
      <c r="AM883" s="93"/>
      <c r="AN883" s="93"/>
      <c r="AO883" s="93"/>
    </row>
    <row r="884" ht="15.7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  <c r="AJ884" s="93"/>
      <c r="AK884" s="93"/>
      <c r="AL884" s="93"/>
      <c r="AM884" s="93"/>
      <c r="AN884" s="93"/>
      <c r="AO884" s="93"/>
    </row>
    <row r="885" ht="15.7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  <c r="AJ885" s="93"/>
      <c r="AK885" s="93"/>
      <c r="AL885" s="93"/>
      <c r="AM885" s="93"/>
      <c r="AN885" s="93"/>
      <c r="AO885" s="93"/>
    </row>
    <row r="886" ht="15.7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  <c r="AJ886" s="93"/>
      <c r="AK886" s="93"/>
      <c r="AL886" s="93"/>
      <c r="AM886" s="93"/>
      <c r="AN886" s="93"/>
      <c r="AO886" s="93"/>
    </row>
    <row r="887" ht="15.7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</row>
    <row r="888" ht="15.7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  <c r="AJ888" s="93"/>
      <c r="AK888" s="93"/>
      <c r="AL888" s="93"/>
      <c r="AM888" s="93"/>
      <c r="AN888" s="93"/>
      <c r="AO888" s="93"/>
    </row>
    <row r="889" ht="15.7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  <c r="AJ889" s="93"/>
      <c r="AK889" s="93"/>
      <c r="AL889" s="93"/>
      <c r="AM889" s="93"/>
      <c r="AN889" s="93"/>
      <c r="AO889" s="93"/>
    </row>
    <row r="890" ht="15.7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  <c r="AJ890" s="93"/>
      <c r="AK890" s="93"/>
      <c r="AL890" s="93"/>
      <c r="AM890" s="93"/>
      <c r="AN890" s="93"/>
      <c r="AO890" s="93"/>
    </row>
    <row r="891" ht="15.7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  <c r="AJ891" s="93"/>
      <c r="AK891" s="93"/>
      <c r="AL891" s="93"/>
      <c r="AM891" s="93"/>
      <c r="AN891" s="93"/>
      <c r="AO891" s="93"/>
    </row>
    <row r="892" ht="15.7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  <c r="AJ892" s="93"/>
      <c r="AK892" s="93"/>
      <c r="AL892" s="93"/>
      <c r="AM892" s="93"/>
      <c r="AN892" s="93"/>
      <c r="AO892" s="93"/>
    </row>
    <row r="893" ht="15.7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  <c r="AJ893" s="93"/>
      <c r="AK893" s="93"/>
      <c r="AL893" s="93"/>
      <c r="AM893" s="93"/>
      <c r="AN893" s="93"/>
      <c r="AO893" s="93"/>
    </row>
    <row r="894" ht="15.7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  <c r="AJ894" s="93"/>
      <c r="AK894" s="93"/>
      <c r="AL894" s="93"/>
      <c r="AM894" s="93"/>
      <c r="AN894" s="93"/>
      <c r="AO894" s="93"/>
    </row>
    <row r="895" ht="15.7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  <c r="AJ895" s="93"/>
      <c r="AK895" s="93"/>
      <c r="AL895" s="93"/>
      <c r="AM895" s="93"/>
      <c r="AN895" s="93"/>
      <c r="AO895" s="93"/>
    </row>
    <row r="896" ht="15.7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</row>
    <row r="897" ht="15.7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  <c r="AJ897" s="93"/>
      <c r="AK897" s="93"/>
      <c r="AL897" s="93"/>
      <c r="AM897" s="93"/>
      <c r="AN897" s="93"/>
      <c r="AO897" s="93"/>
    </row>
    <row r="898" ht="15.7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  <c r="AJ898" s="93"/>
      <c r="AK898" s="93"/>
      <c r="AL898" s="93"/>
      <c r="AM898" s="93"/>
      <c r="AN898" s="93"/>
      <c r="AO898" s="93"/>
    </row>
    <row r="899" ht="15.7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  <c r="AJ899" s="93"/>
      <c r="AK899" s="93"/>
      <c r="AL899" s="93"/>
      <c r="AM899" s="93"/>
      <c r="AN899" s="93"/>
      <c r="AO899" s="93"/>
    </row>
    <row r="900" ht="15.7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  <c r="AJ900" s="93"/>
      <c r="AK900" s="93"/>
      <c r="AL900" s="93"/>
      <c r="AM900" s="93"/>
      <c r="AN900" s="93"/>
      <c r="AO900" s="93"/>
    </row>
    <row r="901" ht="15.7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  <c r="AJ901" s="93"/>
      <c r="AK901" s="93"/>
      <c r="AL901" s="93"/>
      <c r="AM901" s="93"/>
      <c r="AN901" s="93"/>
      <c r="AO901" s="93"/>
    </row>
    <row r="902" ht="15.7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  <c r="AJ902" s="93"/>
      <c r="AK902" s="93"/>
      <c r="AL902" s="93"/>
      <c r="AM902" s="93"/>
      <c r="AN902" s="93"/>
      <c r="AO902" s="93"/>
    </row>
    <row r="903" ht="15.7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  <c r="AJ903" s="93"/>
      <c r="AK903" s="93"/>
      <c r="AL903" s="93"/>
      <c r="AM903" s="93"/>
      <c r="AN903" s="93"/>
      <c r="AO903" s="93"/>
    </row>
    <row r="904" ht="15.7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  <c r="AJ904" s="93"/>
      <c r="AK904" s="93"/>
      <c r="AL904" s="93"/>
      <c r="AM904" s="93"/>
      <c r="AN904" s="93"/>
      <c r="AO904" s="93"/>
    </row>
    <row r="905" ht="15.7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</row>
    <row r="906" ht="15.7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  <c r="AJ906" s="93"/>
      <c r="AK906" s="93"/>
      <c r="AL906" s="93"/>
      <c r="AM906" s="93"/>
      <c r="AN906" s="93"/>
      <c r="AO906" s="93"/>
    </row>
    <row r="907" ht="15.7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  <c r="AJ907" s="93"/>
      <c r="AK907" s="93"/>
      <c r="AL907" s="93"/>
      <c r="AM907" s="93"/>
      <c r="AN907" s="93"/>
      <c r="AO907" s="93"/>
    </row>
    <row r="908" ht="15.7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  <c r="AJ908" s="93"/>
      <c r="AK908" s="93"/>
      <c r="AL908" s="93"/>
      <c r="AM908" s="93"/>
      <c r="AN908" s="93"/>
      <c r="AO908" s="93"/>
    </row>
    <row r="909" ht="15.7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  <c r="AJ909" s="93"/>
      <c r="AK909" s="93"/>
      <c r="AL909" s="93"/>
      <c r="AM909" s="93"/>
      <c r="AN909" s="93"/>
      <c r="AO909" s="93"/>
    </row>
    <row r="910" ht="15.7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  <c r="AJ910" s="93"/>
      <c r="AK910" s="93"/>
      <c r="AL910" s="93"/>
      <c r="AM910" s="93"/>
      <c r="AN910" s="93"/>
      <c r="AO910" s="93"/>
    </row>
    <row r="911" ht="15.7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</row>
    <row r="912" ht="15.7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  <c r="AJ912" s="93"/>
      <c r="AK912" s="93"/>
      <c r="AL912" s="93"/>
      <c r="AM912" s="93"/>
      <c r="AN912" s="93"/>
      <c r="AO912" s="93"/>
    </row>
    <row r="913" ht="15.7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  <c r="AJ913" s="93"/>
      <c r="AK913" s="93"/>
      <c r="AL913" s="93"/>
      <c r="AM913" s="93"/>
      <c r="AN913" s="93"/>
      <c r="AO913" s="93"/>
    </row>
    <row r="914" ht="15.7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</row>
    <row r="915" ht="15.7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  <c r="AJ915" s="93"/>
      <c r="AK915" s="93"/>
      <c r="AL915" s="93"/>
      <c r="AM915" s="93"/>
      <c r="AN915" s="93"/>
      <c r="AO915" s="93"/>
    </row>
    <row r="916" ht="15.7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  <c r="AJ916" s="93"/>
      <c r="AK916" s="93"/>
      <c r="AL916" s="93"/>
      <c r="AM916" s="93"/>
      <c r="AN916" s="93"/>
      <c r="AO916" s="93"/>
    </row>
    <row r="917" ht="15.7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</row>
    <row r="918" ht="15.7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  <c r="AJ918" s="93"/>
      <c r="AK918" s="93"/>
      <c r="AL918" s="93"/>
      <c r="AM918" s="93"/>
      <c r="AN918" s="93"/>
      <c r="AO918" s="93"/>
    </row>
    <row r="919" ht="15.7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  <c r="AJ919" s="93"/>
      <c r="AK919" s="93"/>
      <c r="AL919" s="93"/>
      <c r="AM919" s="93"/>
      <c r="AN919" s="93"/>
      <c r="AO919" s="93"/>
    </row>
    <row r="920" ht="15.7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</row>
    <row r="921" ht="15.7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  <c r="AJ921" s="93"/>
      <c r="AK921" s="93"/>
      <c r="AL921" s="93"/>
      <c r="AM921" s="93"/>
      <c r="AN921" s="93"/>
      <c r="AO921" s="93"/>
    </row>
    <row r="922" ht="15.7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  <c r="AJ922" s="93"/>
      <c r="AK922" s="93"/>
      <c r="AL922" s="93"/>
      <c r="AM922" s="93"/>
      <c r="AN922" s="93"/>
      <c r="AO922" s="93"/>
    </row>
    <row r="923" ht="15.75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</row>
    <row r="924" ht="15.75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  <c r="AJ924" s="93"/>
      <c r="AK924" s="93"/>
      <c r="AL924" s="93"/>
      <c r="AM924" s="93"/>
      <c r="AN924" s="93"/>
      <c r="AO924" s="93"/>
    </row>
    <row r="925" ht="15.75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  <c r="AJ925" s="93"/>
      <c r="AK925" s="93"/>
      <c r="AL925" s="93"/>
      <c r="AM925" s="93"/>
      <c r="AN925" s="93"/>
      <c r="AO925" s="93"/>
    </row>
    <row r="926" ht="15.75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</row>
    <row r="927" ht="15.75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  <c r="AJ927" s="93"/>
      <c r="AK927" s="93"/>
      <c r="AL927" s="93"/>
      <c r="AM927" s="93"/>
      <c r="AN927" s="93"/>
      <c r="AO927" s="93"/>
    </row>
    <row r="928" ht="15.75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  <c r="AJ928" s="93"/>
      <c r="AK928" s="93"/>
      <c r="AL928" s="93"/>
      <c r="AM928" s="93"/>
      <c r="AN928" s="93"/>
      <c r="AO928" s="93"/>
    </row>
    <row r="929" ht="15.75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  <c r="AJ929" s="93"/>
      <c r="AK929" s="93"/>
      <c r="AL929" s="93"/>
      <c r="AM929" s="93"/>
      <c r="AN929" s="93"/>
      <c r="AO929" s="93"/>
    </row>
    <row r="930" ht="15.75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  <c r="AJ930" s="93"/>
      <c r="AK930" s="93"/>
      <c r="AL930" s="93"/>
      <c r="AM930" s="93"/>
      <c r="AN930" s="93"/>
      <c r="AO930" s="93"/>
    </row>
    <row r="931" ht="15.75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  <c r="AJ931" s="93"/>
      <c r="AK931" s="93"/>
      <c r="AL931" s="93"/>
      <c r="AM931" s="93"/>
      <c r="AN931" s="93"/>
      <c r="AO931" s="93"/>
    </row>
    <row r="932" ht="15.75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</row>
    <row r="933" ht="15.75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  <c r="AJ933" s="93"/>
      <c r="AK933" s="93"/>
      <c r="AL933" s="93"/>
      <c r="AM933" s="93"/>
      <c r="AN933" s="93"/>
      <c r="AO933" s="93"/>
    </row>
    <row r="934" ht="15.75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  <c r="AJ934" s="93"/>
      <c r="AK934" s="93"/>
      <c r="AL934" s="93"/>
      <c r="AM934" s="93"/>
      <c r="AN934" s="93"/>
      <c r="AO934" s="93"/>
    </row>
    <row r="935" ht="15.75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  <c r="AJ935" s="93"/>
      <c r="AK935" s="93"/>
      <c r="AL935" s="93"/>
      <c r="AM935" s="93"/>
      <c r="AN935" s="93"/>
      <c r="AO935" s="93"/>
    </row>
    <row r="936" ht="15.75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  <c r="AJ936" s="93"/>
      <c r="AK936" s="93"/>
      <c r="AL936" s="93"/>
      <c r="AM936" s="93"/>
      <c r="AN936" s="93"/>
      <c r="AO936" s="93"/>
    </row>
    <row r="937" ht="15.75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  <c r="AJ937" s="93"/>
      <c r="AK937" s="93"/>
      <c r="AL937" s="93"/>
      <c r="AM937" s="93"/>
      <c r="AN937" s="93"/>
      <c r="AO937" s="93"/>
    </row>
    <row r="938" ht="15.75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</row>
    <row r="939" ht="15.75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  <c r="AJ939" s="93"/>
      <c r="AK939" s="93"/>
      <c r="AL939" s="93"/>
      <c r="AM939" s="93"/>
      <c r="AN939" s="93"/>
      <c r="AO939" s="93"/>
    </row>
    <row r="940" ht="15.75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  <c r="AJ940" s="93"/>
      <c r="AK940" s="93"/>
      <c r="AL940" s="93"/>
      <c r="AM940" s="93"/>
      <c r="AN940" s="93"/>
      <c r="AO940" s="93"/>
    </row>
    <row r="941" ht="15.75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  <c r="AJ941" s="93"/>
      <c r="AK941" s="93"/>
      <c r="AL941" s="93"/>
      <c r="AM941" s="93"/>
      <c r="AN941" s="93"/>
      <c r="AO941" s="93"/>
    </row>
    <row r="942" ht="15.75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  <c r="AJ942" s="93"/>
      <c r="AK942" s="93"/>
      <c r="AL942" s="93"/>
      <c r="AM942" s="93"/>
      <c r="AN942" s="93"/>
      <c r="AO942" s="93"/>
    </row>
    <row r="943" ht="15.75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  <c r="AJ943" s="93"/>
      <c r="AK943" s="93"/>
      <c r="AL943" s="93"/>
      <c r="AM943" s="93"/>
      <c r="AN943" s="93"/>
      <c r="AO943" s="93"/>
    </row>
    <row r="944" ht="15.75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  <c r="AJ944" s="93"/>
      <c r="AK944" s="93"/>
      <c r="AL944" s="93"/>
      <c r="AM944" s="93"/>
      <c r="AN944" s="93"/>
      <c r="AO944" s="93"/>
    </row>
    <row r="945" ht="15.75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  <c r="AJ945" s="93"/>
      <c r="AK945" s="93"/>
      <c r="AL945" s="93"/>
      <c r="AM945" s="93"/>
      <c r="AN945" s="93"/>
      <c r="AO945" s="93"/>
    </row>
    <row r="946" ht="15.75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  <c r="AJ946" s="93"/>
      <c r="AK946" s="93"/>
      <c r="AL946" s="93"/>
      <c r="AM946" s="93"/>
      <c r="AN946" s="93"/>
      <c r="AO946" s="93"/>
    </row>
    <row r="947" ht="15.75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</row>
    <row r="948" ht="15.75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  <c r="AJ948" s="93"/>
      <c r="AK948" s="93"/>
      <c r="AL948" s="93"/>
      <c r="AM948" s="93"/>
      <c r="AN948" s="93"/>
      <c r="AO948" s="93"/>
    </row>
    <row r="949" ht="15.75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  <c r="AJ949" s="93"/>
      <c r="AK949" s="93"/>
      <c r="AL949" s="93"/>
      <c r="AM949" s="93"/>
      <c r="AN949" s="93"/>
      <c r="AO949" s="93"/>
    </row>
    <row r="950" ht="15.75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  <c r="AJ950" s="93"/>
      <c r="AK950" s="93"/>
      <c r="AL950" s="93"/>
      <c r="AM950" s="93"/>
      <c r="AN950" s="93"/>
      <c r="AO950" s="93"/>
    </row>
    <row r="951" ht="15.75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3"/>
      <c r="AH951" s="93"/>
      <c r="AI951" s="93"/>
      <c r="AJ951" s="93"/>
      <c r="AK951" s="93"/>
      <c r="AL951" s="93"/>
      <c r="AM951" s="93"/>
      <c r="AN951" s="93"/>
      <c r="AO951" s="93"/>
    </row>
    <row r="952" ht="15.75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3"/>
      <c r="AH952" s="93"/>
      <c r="AI952" s="93"/>
      <c r="AJ952" s="93"/>
      <c r="AK952" s="93"/>
      <c r="AL952" s="93"/>
      <c r="AM952" s="93"/>
      <c r="AN952" s="93"/>
      <c r="AO952" s="93"/>
    </row>
    <row r="953" ht="15.75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  <c r="AH953" s="93"/>
      <c r="AI953" s="93"/>
      <c r="AJ953" s="93"/>
      <c r="AK953" s="93"/>
      <c r="AL953" s="93"/>
      <c r="AM953" s="93"/>
      <c r="AN953" s="93"/>
      <c r="AO953" s="93"/>
    </row>
    <row r="954" ht="15.75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3"/>
      <c r="AH954" s="93"/>
      <c r="AI954" s="93"/>
      <c r="AJ954" s="93"/>
      <c r="AK954" s="93"/>
      <c r="AL954" s="93"/>
      <c r="AM954" s="93"/>
      <c r="AN954" s="93"/>
      <c r="AO954" s="93"/>
    </row>
    <row r="955" ht="15.75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3"/>
      <c r="AH955" s="93"/>
      <c r="AI955" s="93"/>
      <c r="AJ955" s="93"/>
      <c r="AK955" s="93"/>
      <c r="AL955" s="93"/>
      <c r="AM955" s="93"/>
      <c r="AN955" s="93"/>
      <c r="AO955" s="93"/>
    </row>
    <row r="956" ht="15.75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  <c r="AH956" s="93"/>
      <c r="AI956" s="93"/>
      <c r="AJ956" s="93"/>
      <c r="AK956" s="93"/>
      <c r="AL956" s="93"/>
      <c r="AM956" s="93"/>
      <c r="AN956" s="93"/>
      <c r="AO956" s="93"/>
    </row>
    <row r="957" ht="15.75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3"/>
      <c r="AH957" s="93"/>
      <c r="AI957" s="93"/>
      <c r="AJ957" s="93"/>
      <c r="AK957" s="93"/>
      <c r="AL957" s="93"/>
      <c r="AM957" s="93"/>
      <c r="AN957" s="93"/>
      <c r="AO957" s="93"/>
    </row>
    <row r="958" ht="15.75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3"/>
      <c r="AH958" s="93"/>
      <c r="AI958" s="93"/>
      <c r="AJ958" s="93"/>
      <c r="AK958" s="93"/>
      <c r="AL958" s="93"/>
      <c r="AM958" s="93"/>
      <c r="AN958" s="93"/>
      <c r="AO958" s="93"/>
    </row>
    <row r="959" ht="15.75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  <c r="AH959" s="93"/>
      <c r="AI959" s="93"/>
      <c r="AJ959" s="93"/>
      <c r="AK959" s="93"/>
      <c r="AL959" s="93"/>
      <c r="AM959" s="93"/>
      <c r="AN959" s="93"/>
      <c r="AO959" s="93"/>
    </row>
    <row r="960" ht="15.75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3"/>
      <c r="AH960" s="93"/>
      <c r="AI960" s="93"/>
      <c r="AJ960" s="93"/>
      <c r="AK960" s="93"/>
      <c r="AL960" s="93"/>
      <c r="AM960" s="93"/>
      <c r="AN960" s="93"/>
      <c r="AO960" s="93"/>
    </row>
    <row r="961" ht="15.75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3"/>
      <c r="AH961" s="93"/>
      <c r="AI961" s="93"/>
      <c r="AJ961" s="93"/>
      <c r="AK961" s="93"/>
      <c r="AL961" s="93"/>
      <c r="AM961" s="93"/>
      <c r="AN961" s="93"/>
      <c r="AO961" s="93"/>
    </row>
    <row r="962" ht="15.75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  <c r="AH962" s="93"/>
      <c r="AI962" s="93"/>
      <c r="AJ962" s="93"/>
      <c r="AK962" s="93"/>
      <c r="AL962" s="93"/>
      <c r="AM962" s="93"/>
      <c r="AN962" s="93"/>
      <c r="AO962" s="93"/>
    </row>
    <row r="963" ht="15.75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3"/>
      <c r="AH963" s="93"/>
      <c r="AI963" s="93"/>
      <c r="AJ963" s="93"/>
      <c r="AK963" s="93"/>
      <c r="AL963" s="93"/>
      <c r="AM963" s="93"/>
      <c r="AN963" s="93"/>
      <c r="AO963" s="93"/>
    </row>
    <row r="964" ht="15.75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3"/>
      <c r="AH964" s="93"/>
      <c r="AI964" s="93"/>
      <c r="AJ964" s="93"/>
      <c r="AK964" s="93"/>
      <c r="AL964" s="93"/>
      <c r="AM964" s="93"/>
      <c r="AN964" s="93"/>
      <c r="AO964" s="93"/>
    </row>
    <row r="965" ht="15.75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  <c r="AH965" s="93"/>
      <c r="AI965" s="93"/>
      <c r="AJ965" s="93"/>
      <c r="AK965" s="93"/>
      <c r="AL965" s="93"/>
      <c r="AM965" s="93"/>
      <c r="AN965" s="93"/>
      <c r="AO965" s="93"/>
    </row>
    <row r="966" ht="15.75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3"/>
      <c r="AG966" s="93"/>
      <c r="AH966" s="93"/>
      <c r="AI966" s="93"/>
      <c r="AJ966" s="93"/>
      <c r="AK966" s="93"/>
      <c r="AL966" s="93"/>
      <c r="AM966" s="93"/>
      <c r="AN966" s="93"/>
      <c r="AO966" s="93"/>
    </row>
    <row r="967" ht="15.75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3"/>
      <c r="AG967" s="93"/>
      <c r="AH967" s="93"/>
      <c r="AI967" s="93"/>
      <c r="AJ967" s="93"/>
      <c r="AK967" s="93"/>
      <c r="AL967" s="93"/>
      <c r="AM967" s="93"/>
      <c r="AN967" s="93"/>
      <c r="AO967" s="93"/>
    </row>
    <row r="968" ht="15.75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  <c r="AH968" s="93"/>
      <c r="AI968" s="93"/>
      <c r="AJ968" s="93"/>
      <c r="AK968" s="93"/>
      <c r="AL968" s="93"/>
      <c r="AM968" s="93"/>
      <c r="AN968" s="93"/>
      <c r="AO968" s="93"/>
    </row>
    <row r="969" ht="15.75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3"/>
      <c r="AG969" s="93"/>
      <c r="AH969" s="93"/>
      <c r="AI969" s="93"/>
      <c r="AJ969" s="93"/>
      <c r="AK969" s="93"/>
      <c r="AL969" s="93"/>
      <c r="AM969" s="93"/>
      <c r="AN969" s="93"/>
      <c r="AO969" s="93"/>
    </row>
    <row r="970" ht="15.75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3"/>
      <c r="AG970" s="93"/>
      <c r="AH970" s="93"/>
      <c r="AI970" s="93"/>
      <c r="AJ970" s="93"/>
      <c r="AK970" s="93"/>
      <c r="AL970" s="93"/>
      <c r="AM970" s="93"/>
      <c r="AN970" s="93"/>
      <c r="AO970" s="93"/>
    </row>
    <row r="971" ht="15.75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3"/>
      <c r="AG971" s="93"/>
      <c r="AH971" s="93"/>
      <c r="AI971" s="93"/>
      <c r="AJ971" s="93"/>
      <c r="AK971" s="93"/>
      <c r="AL971" s="93"/>
      <c r="AM971" s="93"/>
      <c r="AN971" s="93"/>
      <c r="AO971" s="93"/>
    </row>
    <row r="972" ht="15.75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3"/>
      <c r="AG972" s="93"/>
      <c r="AH972" s="93"/>
      <c r="AI972" s="93"/>
      <c r="AJ972" s="93"/>
      <c r="AK972" s="93"/>
      <c r="AL972" s="93"/>
      <c r="AM972" s="93"/>
      <c r="AN972" s="93"/>
      <c r="AO972" s="93"/>
    </row>
    <row r="973" ht="15.75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3"/>
      <c r="AG973" s="93"/>
      <c r="AH973" s="93"/>
      <c r="AI973" s="93"/>
      <c r="AJ973" s="93"/>
      <c r="AK973" s="93"/>
      <c r="AL973" s="93"/>
      <c r="AM973" s="93"/>
      <c r="AN973" s="93"/>
      <c r="AO973" s="93"/>
    </row>
    <row r="974" ht="15.75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3"/>
      <c r="AG974" s="93"/>
      <c r="AH974" s="93"/>
      <c r="AI974" s="93"/>
      <c r="AJ974" s="93"/>
      <c r="AK974" s="93"/>
      <c r="AL974" s="93"/>
      <c r="AM974" s="93"/>
      <c r="AN974" s="93"/>
      <c r="AO974" s="93"/>
    </row>
    <row r="975" ht="15.75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3"/>
      <c r="AG975" s="93"/>
      <c r="AH975" s="93"/>
      <c r="AI975" s="93"/>
      <c r="AJ975" s="93"/>
      <c r="AK975" s="93"/>
      <c r="AL975" s="93"/>
      <c r="AM975" s="93"/>
      <c r="AN975" s="93"/>
      <c r="AO975" s="93"/>
    </row>
    <row r="976" ht="15.75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3"/>
      <c r="AG976" s="93"/>
      <c r="AH976" s="93"/>
      <c r="AI976" s="93"/>
      <c r="AJ976" s="93"/>
      <c r="AK976" s="93"/>
      <c r="AL976" s="93"/>
      <c r="AM976" s="93"/>
      <c r="AN976" s="93"/>
      <c r="AO976" s="93"/>
    </row>
    <row r="977" ht="15.75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3"/>
      <c r="AG977" s="93"/>
      <c r="AH977" s="93"/>
      <c r="AI977" s="93"/>
      <c r="AJ977" s="93"/>
      <c r="AK977" s="93"/>
      <c r="AL977" s="93"/>
      <c r="AM977" s="93"/>
      <c r="AN977" s="93"/>
      <c r="AO977" s="93"/>
    </row>
    <row r="978" ht="15.75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3"/>
      <c r="AG978" s="93"/>
      <c r="AH978" s="93"/>
      <c r="AI978" s="93"/>
      <c r="AJ978" s="93"/>
      <c r="AK978" s="93"/>
      <c r="AL978" s="93"/>
      <c r="AM978" s="93"/>
      <c r="AN978" s="93"/>
      <c r="AO978" s="93"/>
    </row>
    <row r="979" ht="15.75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3"/>
      <c r="AG979" s="93"/>
      <c r="AH979" s="93"/>
      <c r="AI979" s="93"/>
      <c r="AJ979" s="93"/>
      <c r="AK979" s="93"/>
      <c r="AL979" s="93"/>
      <c r="AM979" s="93"/>
      <c r="AN979" s="93"/>
      <c r="AO979" s="93"/>
    </row>
    <row r="980" ht="15.75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3"/>
      <c r="AG980" s="93"/>
      <c r="AH980" s="93"/>
      <c r="AI980" s="93"/>
      <c r="AJ980" s="93"/>
      <c r="AK980" s="93"/>
      <c r="AL980" s="93"/>
      <c r="AM980" s="93"/>
      <c r="AN980" s="93"/>
      <c r="AO980" s="93"/>
    </row>
    <row r="981" ht="15.75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3"/>
      <c r="AG981" s="93"/>
      <c r="AH981" s="93"/>
      <c r="AI981" s="93"/>
      <c r="AJ981" s="93"/>
      <c r="AK981" s="93"/>
      <c r="AL981" s="93"/>
      <c r="AM981" s="93"/>
      <c r="AN981" s="93"/>
      <c r="AO981" s="93"/>
    </row>
    <row r="982" ht="15.75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3"/>
      <c r="AG982" s="93"/>
      <c r="AH982" s="93"/>
      <c r="AI982" s="93"/>
      <c r="AJ982" s="93"/>
      <c r="AK982" s="93"/>
      <c r="AL982" s="93"/>
      <c r="AM982" s="93"/>
      <c r="AN982" s="93"/>
      <c r="AO982" s="93"/>
    </row>
    <row r="983" ht="15.75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3"/>
      <c r="AG983" s="93"/>
      <c r="AH983" s="93"/>
      <c r="AI983" s="93"/>
      <c r="AJ983" s="93"/>
      <c r="AK983" s="93"/>
      <c r="AL983" s="93"/>
      <c r="AM983" s="93"/>
      <c r="AN983" s="93"/>
      <c r="AO983" s="93"/>
    </row>
    <row r="984" ht="15.75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3"/>
      <c r="AG984" s="93"/>
      <c r="AH984" s="93"/>
      <c r="AI984" s="93"/>
      <c r="AJ984" s="93"/>
      <c r="AK984" s="93"/>
      <c r="AL984" s="93"/>
      <c r="AM984" s="93"/>
      <c r="AN984" s="93"/>
      <c r="AO984" s="93"/>
    </row>
    <row r="985" ht="15.75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3"/>
      <c r="AG985" s="93"/>
      <c r="AH985" s="93"/>
      <c r="AI985" s="93"/>
      <c r="AJ985" s="93"/>
      <c r="AK985" s="93"/>
      <c r="AL985" s="93"/>
      <c r="AM985" s="93"/>
      <c r="AN985" s="93"/>
      <c r="AO985" s="93"/>
    </row>
    <row r="986" ht="15.75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3"/>
      <c r="AG986" s="93"/>
      <c r="AH986" s="93"/>
      <c r="AI986" s="93"/>
      <c r="AJ986" s="93"/>
      <c r="AK986" s="93"/>
      <c r="AL986" s="93"/>
      <c r="AM986" s="93"/>
      <c r="AN986" s="93"/>
      <c r="AO986" s="93"/>
    </row>
    <row r="987" ht="15.75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3"/>
      <c r="AG987" s="93"/>
      <c r="AH987" s="93"/>
      <c r="AI987" s="93"/>
      <c r="AJ987" s="93"/>
      <c r="AK987" s="93"/>
      <c r="AL987" s="93"/>
      <c r="AM987" s="93"/>
      <c r="AN987" s="93"/>
      <c r="AO987" s="93"/>
    </row>
    <row r="988" ht="15.75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3"/>
      <c r="AG988" s="93"/>
      <c r="AH988" s="93"/>
      <c r="AI988" s="93"/>
      <c r="AJ988" s="93"/>
      <c r="AK988" s="93"/>
      <c r="AL988" s="93"/>
      <c r="AM988" s="93"/>
      <c r="AN988" s="93"/>
      <c r="AO988" s="93"/>
    </row>
    <row r="989" ht="15.75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3"/>
      <c r="AG989" s="93"/>
      <c r="AH989" s="93"/>
      <c r="AI989" s="93"/>
      <c r="AJ989" s="93"/>
      <c r="AK989" s="93"/>
      <c r="AL989" s="93"/>
      <c r="AM989" s="93"/>
      <c r="AN989" s="93"/>
      <c r="AO989" s="93"/>
    </row>
    <row r="990" ht="15.75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3"/>
      <c r="AG990" s="93"/>
      <c r="AH990" s="93"/>
      <c r="AI990" s="93"/>
      <c r="AJ990" s="93"/>
      <c r="AK990" s="93"/>
      <c r="AL990" s="93"/>
      <c r="AM990" s="93"/>
      <c r="AN990" s="93"/>
      <c r="AO990" s="93"/>
    </row>
    <row r="991" ht="15.75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3"/>
      <c r="AG991" s="93"/>
      <c r="AH991" s="93"/>
      <c r="AI991" s="93"/>
      <c r="AJ991" s="93"/>
      <c r="AK991" s="93"/>
      <c r="AL991" s="93"/>
      <c r="AM991" s="93"/>
      <c r="AN991" s="93"/>
      <c r="AO991" s="93"/>
    </row>
    <row r="992" ht="15.75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3"/>
      <c r="AG992" s="93"/>
      <c r="AH992" s="93"/>
      <c r="AI992" s="93"/>
      <c r="AJ992" s="93"/>
      <c r="AK992" s="93"/>
      <c r="AL992" s="93"/>
      <c r="AM992" s="93"/>
      <c r="AN992" s="93"/>
      <c r="AO992" s="93"/>
    </row>
    <row r="993" ht="15.75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3"/>
      <c r="AG993" s="93"/>
      <c r="AH993" s="93"/>
      <c r="AI993" s="93"/>
      <c r="AJ993" s="93"/>
      <c r="AK993" s="93"/>
      <c r="AL993" s="93"/>
      <c r="AM993" s="93"/>
      <c r="AN993" s="93"/>
      <c r="AO993" s="93"/>
    </row>
    <row r="994" ht="15.75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3"/>
      <c r="AG994" s="93"/>
      <c r="AH994" s="93"/>
      <c r="AI994" s="93"/>
      <c r="AJ994" s="93"/>
      <c r="AK994" s="93"/>
      <c r="AL994" s="93"/>
      <c r="AM994" s="93"/>
      <c r="AN994" s="93"/>
      <c r="AO994" s="93"/>
    </row>
    <row r="995" ht="15.75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3"/>
      <c r="AG995" s="93"/>
      <c r="AH995" s="93"/>
      <c r="AI995" s="93"/>
      <c r="AJ995" s="93"/>
      <c r="AK995" s="93"/>
      <c r="AL995" s="93"/>
      <c r="AM995" s="93"/>
      <c r="AN995" s="93"/>
      <c r="AO995" s="93"/>
    </row>
    <row r="996" ht="15.75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3"/>
      <c r="AG996" s="93"/>
      <c r="AH996" s="93"/>
      <c r="AI996" s="93"/>
      <c r="AJ996" s="93"/>
      <c r="AK996" s="93"/>
      <c r="AL996" s="93"/>
      <c r="AM996" s="93"/>
      <c r="AN996" s="93"/>
      <c r="AO996" s="93"/>
    </row>
    <row r="997" ht="15.75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3"/>
      <c r="AG997" s="93"/>
      <c r="AH997" s="93"/>
      <c r="AI997" s="93"/>
      <c r="AJ997" s="93"/>
      <c r="AK997" s="93"/>
      <c r="AL997" s="93"/>
      <c r="AM997" s="93"/>
      <c r="AN997" s="93"/>
      <c r="AO997" s="93"/>
    </row>
    <row r="998" ht="15.75" customHeight="1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3"/>
      <c r="AG998" s="93"/>
      <c r="AH998" s="93"/>
      <c r="AI998" s="93"/>
      <c r="AJ998" s="93"/>
      <c r="AK998" s="93"/>
      <c r="AL998" s="93"/>
      <c r="AM998" s="93"/>
      <c r="AN998" s="93"/>
      <c r="AO998" s="93"/>
    </row>
    <row r="999" ht="15.75" customHeight="1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3"/>
      <c r="AG999" s="93"/>
      <c r="AH999" s="93"/>
      <c r="AI999" s="93"/>
      <c r="AJ999" s="93"/>
      <c r="AK999" s="93"/>
      <c r="AL999" s="93"/>
      <c r="AM999" s="93"/>
      <c r="AN999" s="93"/>
      <c r="AO999" s="93"/>
    </row>
    <row r="1000" ht="15.75" customHeight="1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  <c r="AE1000" s="93"/>
      <c r="AF1000" s="93"/>
      <c r="AG1000" s="93"/>
      <c r="AH1000" s="93"/>
      <c r="AI1000" s="93"/>
      <c r="AJ1000" s="93"/>
      <c r="AK1000" s="93"/>
      <c r="AL1000" s="93"/>
      <c r="AM1000" s="93"/>
      <c r="AN1000" s="93"/>
      <c r="AO1000" s="93"/>
    </row>
    <row r="1001" ht="15.75" customHeight="1">
      <c r="A1001" s="93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  <c r="AD1001" s="93"/>
      <c r="AE1001" s="93"/>
      <c r="AF1001" s="93"/>
      <c r="AG1001" s="93"/>
      <c r="AH1001" s="93"/>
      <c r="AI1001" s="93"/>
      <c r="AJ1001" s="93"/>
      <c r="AK1001" s="93"/>
      <c r="AL1001" s="93"/>
      <c r="AM1001" s="93"/>
      <c r="AN1001" s="93"/>
      <c r="AO1001" s="93"/>
    </row>
    <row r="1002" ht="15.75" customHeight="1">
      <c r="A1002" s="93"/>
      <c r="B1002" s="93"/>
      <c r="C1002" s="93"/>
      <c r="D1002" s="93"/>
      <c r="E1002" s="93"/>
      <c r="F1002" s="93"/>
      <c r="G1002" s="93"/>
      <c r="H1002" s="93"/>
      <c r="I1002" s="93"/>
      <c r="J1002" s="93"/>
      <c r="K1002" s="93"/>
      <c r="L1002" s="93"/>
      <c r="M1002" s="93"/>
      <c r="N1002" s="93"/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  <c r="AD1002" s="93"/>
      <c r="AE1002" s="93"/>
      <c r="AF1002" s="93"/>
      <c r="AG1002" s="93"/>
      <c r="AH1002" s="93"/>
      <c r="AI1002" s="93"/>
      <c r="AJ1002" s="93"/>
      <c r="AK1002" s="93"/>
      <c r="AL1002" s="93"/>
      <c r="AM1002" s="93"/>
      <c r="AN1002" s="93"/>
      <c r="AO1002" s="93"/>
    </row>
    <row r="1003" ht="15.75" customHeight="1">
      <c r="A1003" s="93"/>
      <c r="B1003" s="93"/>
      <c r="C1003" s="93"/>
      <c r="D1003" s="93"/>
      <c r="E1003" s="93"/>
      <c r="F1003" s="93"/>
      <c r="G1003" s="93"/>
      <c r="H1003" s="93"/>
      <c r="I1003" s="93"/>
      <c r="J1003" s="93"/>
      <c r="K1003" s="93"/>
      <c r="L1003" s="93"/>
      <c r="M1003" s="93"/>
      <c r="N1003" s="93"/>
      <c r="O1003" s="93"/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  <c r="AA1003" s="93"/>
      <c r="AB1003" s="93"/>
      <c r="AC1003" s="93"/>
      <c r="AD1003" s="93"/>
      <c r="AE1003" s="93"/>
      <c r="AF1003" s="93"/>
      <c r="AG1003" s="93"/>
      <c r="AH1003" s="93"/>
      <c r="AI1003" s="93"/>
      <c r="AJ1003" s="93"/>
      <c r="AK1003" s="93"/>
      <c r="AL1003" s="93"/>
      <c r="AM1003" s="93"/>
      <c r="AN1003" s="93"/>
      <c r="AO1003" s="93"/>
    </row>
    <row r="1004" ht="15.75" customHeight="1">
      <c r="A1004" s="93"/>
      <c r="B1004" s="93"/>
      <c r="C1004" s="93"/>
      <c r="D1004" s="93"/>
      <c r="E1004" s="93"/>
      <c r="F1004" s="93"/>
      <c r="G1004" s="93"/>
      <c r="H1004" s="93"/>
      <c r="I1004" s="93"/>
      <c r="J1004" s="93"/>
      <c r="K1004" s="93"/>
      <c r="L1004" s="93"/>
      <c r="M1004" s="93"/>
      <c r="N1004" s="93"/>
      <c r="O1004" s="93"/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  <c r="AA1004" s="93"/>
      <c r="AB1004" s="93"/>
      <c r="AC1004" s="93"/>
      <c r="AD1004" s="93"/>
      <c r="AE1004" s="93"/>
      <c r="AF1004" s="93"/>
      <c r="AG1004" s="93"/>
      <c r="AH1004" s="93"/>
      <c r="AI1004" s="93"/>
      <c r="AJ1004" s="93"/>
      <c r="AK1004" s="93"/>
      <c r="AL1004" s="93"/>
      <c r="AM1004" s="93"/>
      <c r="AN1004" s="93"/>
      <c r="AO1004" s="93"/>
    </row>
    <row r="1005" ht="15.75" customHeight="1">
      <c r="A1005" s="93"/>
      <c r="B1005" s="93"/>
      <c r="C1005" s="93"/>
      <c r="D1005" s="93"/>
      <c r="E1005" s="93"/>
      <c r="F1005" s="93"/>
      <c r="G1005" s="93"/>
      <c r="H1005" s="93"/>
      <c r="I1005" s="93"/>
      <c r="J1005" s="93"/>
      <c r="K1005" s="93"/>
      <c r="L1005" s="93"/>
      <c r="M1005" s="93"/>
      <c r="N1005" s="93"/>
      <c r="O1005" s="93"/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  <c r="AA1005" s="93"/>
      <c r="AB1005" s="93"/>
      <c r="AC1005" s="93"/>
      <c r="AD1005" s="93"/>
      <c r="AE1005" s="93"/>
      <c r="AF1005" s="93"/>
      <c r="AG1005" s="93"/>
      <c r="AH1005" s="93"/>
      <c r="AI1005" s="93"/>
      <c r="AJ1005" s="93"/>
      <c r="AK1005" s="93"/>
      <c r="AL1005" s="93"/>
      <c r="AM1005" s="93"/>
      <c r="AN1005" s="93"/>
      <c r="AO1005" s="93"/>
    </row>
    <row r="1006" ht="15.75" customHeight="1">
      <c r="A1006" s="93"/>
      <c r="B1006" s="93"/>
      <c r="C1006" s="93"/>
      <c r="D1006" s="93"/>
      <c r="E1006" s="93"/>
      <c r="F1006" s="93"/>
      <c r="G1006" s="93"/>
      <c r="H1006" s="93"/>
      <c r="I1006" s="93"/>
      <c r="J1006" s="93"/>
      <c r="K1006" s="93"/>
      <c r="L1006" s="93"/>
      <c r="M1006" s="93"/>
      <c r="N1006" s="93"/>
      <c r="O1006" s="93"/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  <c r="AA1006" s="93"/>
      <c r="AB1006" s="93"/>
      <c r="AC1006" s="93"/>
      <c r="AD1006" s="93"/>
      <c r="AE1006" s="93"/>
      <c r="AF1006" s="93"/>
      <c r="AG1006" s="93"/>
      <c r="AH1006" s="93"/>
      <c r="AI1006" s="93"/>
      <c r="AJ1006" s="93"/>
      <c r="AK1006" s="93"/>
      <c r="AL1006" s="93"/>
      <c r="AM1006" s="93"/>
      <c r="AN1006" s="93"/>
      <c r="AO1006" s="93"/>
    </row>
  </sheetData>
  <mergeCells count="25">
    <mergeCell ref="AA29:AF29"/>
    <mergeCell ref="AI29:AN29"/>
    <mergeCell ref="L2:O2"/>
    <mergeCell ref="C15:H15"/>
    <mergeCell ref="K15:P15"/>
    <mergeCell ref="S15:X15"/>
    <mergeCell ref="AA15:AF15"/>
    <mergeCell ref="AI15:AN15"/>
    <mergeCell ref="C29:H29"/>
    <mergeCell ref="K29:P29"/>
    <mergeCell ref="S29:X29"/>
    <mergeCell ref="C44:H44"/>
    <mergeCell ref="K44:P44"/>
    <mergeCell ref="S44:X44"/>
    <mergeCell ref="AA44:AF44"/>
    <mergeCell ref="AI44:AN44"/>
    <mergeCell ref="S73:X73"/>
    <mergeCell ref="AA73:AF73"/>
    <mergeCell ref="C58:H58"/>
    <mergeCell ref="K58:P58"/>
    <mergeCell ref="S58:X58"/>
    <mergeCell ref="AA58:AF58"/>
    <mergeCell ref="AI58:AN58"/>
    <mergeCell ref="C73:H73"/>
    <mergeCell ref="K73:P73"/>
  </mergeCells>
  <conditionalFormatting sqref="G17:G25">
    <cfRule type="cellIs" dxfId="0" priority="1" operator="equal">
      <formula>"X"</formula>
    </cfRule>
  </conditionalFormatting>
  <conditionalFormatting sqref="G17:G25">
    <cfRule type="cellIs" dxfId="1" priority="2" operator="equal">
      <formula>"V"</formula>
    </cfRule>
  </conditionalFormatting>
  <conditionalFormatting sqref="G31:G39">
    <cfRule type="cellIs" dxfId="0" priority="3" operator="equal">
      <formula>"X"</formula>
    </cfRule>
  </conditionalFormatting>
  <conditionalFormatting sqref="G31:G39">
    <cfRule type="cellIs" dxfId="1" priority="4" operator="equal">
      <formula>"V"</formula>
    </cfRule>
  </conditionalFormatting>
  <conditionalFormatting sqref="G46:G54">
    <cfRule type="cellIs" dxfId="0" priority="5" operator="equal">
      <formula>"X"</formula>
    </cfRule>
  </conditionalFormatting>
  <conditionalFormatting sqref="G46:G54">
    <cfRule type="cellIs" dxfId="1" priority="6" operator="equal">
      <formula>"V"</formula>
    </cfRule>
  </conditionalFormatting>
  <conditionalFormatting sqref="G60:G68">
    <cfRule type="cellIs" dxfId="0" priority="7" operator="equal">
      <formula>"X"</formula>
    </cfRule>
  </conditionalFormatting>
  <conditionalFormatting sqref="G60:G68">
    <cfRule type="cellIs" dxfId="1" priority="8" operator="equal">
      <formula>"V"</formula>
    </cfRule>
  </conditionalFormatting>
  <conditionalFormatting sqref="G75:G83">
    <cfRule type="cellIs" dxfId="0" priority="9" operator="equal">
      <formula>"X"</formula>
    </cfRule>
  </conditionalFormatting>
  <conditionalFormatting sqref="G75:G83">
    <cfRule type="cellIs" dxfId="1" priority="10" operator="equal">
      <formula>"V"</formula>
    </cfRule>
  </conditionalFormatting>
  <conditionalFormatting sqref="I26">
    <cfRule type="cellIs" dxfId="0" priority="11" operator="lessThan">
      <formula>0</formula>
    </cfRule>
  </conditionalFormatting>
  <conditionalFormatting sqref="I26">
    <cfRule type="cellIs" dxfId="1" priority="12" operator="greaterThan">
      <formula>0</formula>
    </cfRule>
  </conditionalFormatting>
  <conditionalFormatting sqref="I40">
    <cfRule type="cellIs" dxfId="0" priority="13" operator="lessThan">
      <formula>0</formula>
    </cfRule>
  </conditionalFormatting>
  <conditionalFormatting sqref="I40">
    <cfRule type="cellIs" dxfId="1" priority="14" operator="greaterThan">
      <formula>0</formula>
    </cfRule>
  </conditionalFormatting>
  <conditionalFormatting sqref="I55:I57">
    <cfRule type="cellIs" dxfId="0" priority="15" operator="lessThan">
      <formula>0</formula>
    </cfRule>
  </conditionalFormatting>
  <conditionalFormatting sqref="I55:I57">
    <cfRule type="cellIs" dxfId="1" priority="16" operator="greaterThan">
      <formula>0</formula>
    </cfRule>
  </conditionalFormatting>
  <conditionalFormatting sqref="I69">
    <cfRule type="cellIs" dxfId="0" priority="17" operator="lessThan">
      <formula>0</formula>
    </cfRule>
  </conditionalFormatting>
  <conditionalFormatting sqref="I69">
    <cfRule type="cellIs" dxfId="1" priority="18" operator="greaterThan">
      <formula>0</formula>
    </cfRule>
  </conditionalFormatting>
  <conditionalFormatting sqref="I84">
    <cfRule type="cellIs" dxfId="0" priority="19" operator="lessThan">
      <formula>0</formula>
    </cfRule>
  </conditionalFormatting>
  <conditionalFormatting sqref="I84">
    <cfRule type="cellIs" dxfId="1" priority="20" operator="greaterThan">
      <formula>0</formula>
    </cfRule>
  </conditionalFormatting>
  <conditionalFormatting sqref="O4:O12">
    <cfRule type="cellIs" dxfId="0" priority="21" operator="lessThan">
      <formula>0</formula>
    </cfRule>
  </conditionalFormatting>
  <conditionalFormatting sqref="O4:O12">
    <cfRule type="cellIs" dxfId="1" priority="22" operator="greaterThan">
      <formula>0</formula>
    </cfRule>
  </conditionalFormatting>
  <conditionalFormatting sqref="O17:O25">
    <cfRule type="cellIs" dxfId="0" priority="23" operator="equal">
      <formula>"X"</formula>
    </cfRule>
  </conditionalFormatting>
  <conditionalFormatting sqref="O17:O25">
    <cfRule type="cellIs" dxfId="1" priority="24" operator="equal">
      <formula>"V"</formula>
    </cfRule>
  </conditionalFormatting>
  <conditionalFormatting sqref="O31:O39">
    <cfRule type="cellIs" dxfId="0" priority="25" operator="equal">
      <formula>"X"</formula>
    </cfRule>
  </conditionalFormatting>
  <conditionalFormatting sqref="O31:O39">
    <cfRule type="cellIs" dxfId="1" priority="26" operator="equal">
      <formula>"V"</formula>
    </cfRule>
  </conditionalFormatting>
  <conditionalFormatting sqref="O46:O54">
    <cfRule type="cellIs" dxfId="0" priority="27" operator="equal">
      <formula>"X"</formula>
    </cfRule>
  </conditionalFormatting>
  <conditionalFormatting sqref="O46:O54">
    <cfRule type="cellIs" dxfId="1" priority="28" operator="equal">
      <formula>"V"</formula>
    </cfRule>
  </conditionalFormatting>
  <conditionalFormatting sqref="O60:O68">
    <cfRule type="cellIs" dxfId="0" priority="29" operator="equal">
      <formula>"X"</formula>
    </cfRule>
  </conditionalFormatting>
  <conditionalFormatting sqref="O60:O68">
    <cfRule type="cellIs" dxfId="1" priority="30" operator="equal">
      <formula>"V"</formula>
    </cfRule>
  </conditionalFormatting>
  <conditionalFormatting sqref="O75:O83">
    <cfRule type="cellIs" dxfId="0" priority="31" operator="equal">
      <formula>"X"</formula>
    </cfRule>
  </conditionalFormatting>
  <conditionalFormatting sqref="O75:O83">
    <cfRule type="cellIs" dxfId="1" priority="32" operator="equal">
      <formula>"V"</formula>
    </cfRule>
  </conditionalFormatting>
  <conditionalFormatting sqref="Q26">
    <cfRule type="cellIs" dxfId="0" priority="33" operator="lessThan">
      <formula>0</formula>
    </cfRule>
  </conditionalFormatting>
  <conditionalFormatting sqref="Q26">
    <cfRule type="cellIs" dxfId="1" priority="34" operator="greaterThan">
      <formula>0</formula>
    </cfRule>
  </conditionalFormatting>
  <conditionalFormatting sqref="Q40">
    <cfRule type="cellIs" dxfId="0" priority="35" operator="lessThan">
      <formula>0</formula>
    </cfRule>
  </conditionalFormatting>
  <conditionalFormatting sqref="Q40">
    <cfRule type="cellIs" dxfId="1" priority="36" operator="greaterThan">
      <formula>0</formula>
    </cfRule>
  </conditionalFormatting>
  <conditionalFormatting sqref="Q55:Q57">
    <cfRule type="cellIs" dxfId="0" priority="37" operator="lessThan">
      <formula>0</formula>
    </cfRule>
  </conditionalFormatting>
  <conditionalFormatting sqref="Q55:Q57">
    <cfRule type="cellIs" dxfId="1" priority="38" operator="greaterThan">
      <formula>0</formula>
    </cfRule>
  </conditionalFormatting>
  <conditionalFormatting sqref="Q69">
    <cfRule type="cellIs" dxfId="0" priority="39" operator="lessThan">
      <formula>0</formula>
    </cfRule>
  </conditionalFormatting>
  <conditionalFormatting sqref="Q69">
    <cfRule type="cellIs" dxfId="1" priority="40" operator="greaterThan">
      <formula>0</formula>
    </cfRule>
  </conditionalFormatting>
  <conditionalFormatting sqref="Q84">
    <cfRule type="cellIs" dxfId="0" priority="41" operator="lessThan">
      <formula>0</formula>
    </cfRule>
  </conditionalFormatting>
  <conditionalFormatting sqref="Q84">
    <cfRule type="cellIs" dxfId="1" priority="42" operator="greaterThan">
      <formula>0</formula>
    </cfRule>
  </conditionalFormatting>
  <conditionalFormatting sqref="W17:W25">
    <cfRule type="cellIs" dxfId="0" priority="43" operator="equal">
      <formula>"X"</formula>
    </cfRule>
  </conditionalFormatting>
  <conditionalFormatting sqref="W17:W25">
    <cfRule type="cellIs" dxfId="1" priority="44" operator="equal">
      <formula>"V"</formula>
    </cfRule>
  </conditionalFormatting>
  <conditionalFormatting sqref="W31:W39">
    <cfRule type="cellIs" dxfId="0" priority="45" operator="equal">
      <formula>"X"</formula>
    </cfRule>
  </conditionalFormatting>
  <conditionalFormatting sqref="W31:W39">
    <cfRule type="cellIs" dxfId="1" priority="46" operator="equal">
      <formula>"V"</formula>
    </cfRule>
  </conditionalFormatting>
  <conditionalFormatting sqref="W46:W54">
    <cfRule type="cellIs" dxfId="0" priority="47" operator="equal">
      <formula>"X"</formula>
    </cfRule>
  </conditionalFormatting>
  <conditionalFormatting sqref="W46:W54">
    <cfRule type="cellIs" dxfId="1" priority="48" operator="equal">
      <formula>"V"</formula>
    </cfRule>
  </conditionalFormatting>
  <conditionalFormatting sqref="W60:W68">
    <cfRule type="cellIs" dxfId="0" priority="49" operator="equal">
      <formula>"X"</formula>
    </cfRule>
  </conditionalFormatting>
  <conditionalFormatting sqref="W60:W68">
    <cfRule type="cellIs" dxfId="1" priority="50" operator="equal">
      <formula>"V"</formula>
    </cfRule>
  </conditionalFormatting>
  <conditionalFormatting sqref="W75:W83">
    <cfRule type="cellIs" dxfId="0" priority="51" operator="equal">
      <formula>"X"</formula>
    </cfRule>
  </conditionalFormatting>
  <conditionalFormatting sqref="W75:W83">
    <cfRule type="cellIs" dxfId="1" priority="52" operator="equal">
      <formula>"V"</formula>
    </cfRule>
  </conditionalFormatting>
  <conditionalFormatting sqref="Y26">
    <cfRule type="cellIs" dxfId="0" priority="53" operator="lessThan">
      <formula>0</formula>
    </cfRule>
  </conditionalFormatting>
  <conditionalFormatting sqref="Y26">
    <cfRule type="cellIs" dxfId="1" priority="54" operator="greaterThan">
      <formula>0</formula>
    </cfRule>
  </conditionalFormatting>
  <conditionalFormatting sqref="Y40">
    <cfRule type="cellIs" dxfId="0" priority="55" operator="lessThan">
      <formula>0</formula>
    </cfRule>
  </conditionalFormatting>
  <conditionalFormatting sqref="Y40">
    <cfRule type="cellIs" dxfId="1" priority="56" operator="greaterThan">
      <formula>0</formula>
    </cfRule>
  </conditionalFormatting>
  <conditionalFormatting sqref="Y55:Y57">
    <cfRule type="cellIs" dxfId="0" priority="57" operator="lessThan">
      <formula>0</formula>
    </cfRule>
  </conditionalFormatting>
  <conditionalFormatting sqref="Y55:Y57">
    <cfRule type="cellIs" dxfId="1" priority="58" operator="greaterThan">
      <formula>0</formula>
    </cfRule>
  </conditionalFormatting>
  <conditionalFormatting sqref="Y69">
    <cfRule type="cellIs" dxfId="0" priority="59" operator="lessThan">
      <formula>0</formula>
    </cfRule>
  </conditionalFormatting>
  <conditionalFormatting sqref="Y69">
    <cfRule type="cellIs" dxfId="1" priority="60" operator="greaterThan">
      <formula>0</formula>
    </cfRule>
  </conditionalFormatting>
  <conditionalFormatting sqref="Y84">
    <cfRule type="cellIs" dxfId="0" priority="61" operator="lessThan">
      <formula>0</formula>
    </cfRule>
  </conditionalFormatting>
  <conditionalFormatting sqref="Y84">
    <cfRule type="cellIs" dxfId="1" priority="62" operator="greaterThan">
      <formula>0</formula>
    </cfRule>
  </conditionalFormatting>
  <conditionalFormatting sqref="AE17:AE25">
    <cfRule type="cellIs" dxfId="0" priority="63" operator="equal">
      <formula>"X"</formula>
    </cfRule>
  </conditionalFormatting>
  <conditionalFormatting sqref="AE17:AE25">
    <cfRule type="cellIs" dxfId="1" priority="64" operator="equal">
      <formula>"V"</formula>
    </cfRule>
  </conditionalFormatting>
  <conditionalFormatting sqref="AE31:AE39">
    <cfRule type="cellIs" dxfId="0" priority="65" operator="equal">
      <formula>"X"</formula>
    </cfRule>
  </conditionalFormatting>
  <conditionalFormatting sqref="AE31:AE39">
    <cfRule type="cellIs" dxfId="1" priority="66" operator="equal">
      <formula>"V"</formula>
    </cfRule>
  </conditionalFormatting>
  <conditionalFormatting sqref="AE46:AE54">
    <cfRule type="cellIs" dxfId="0" priority="67" operator="equal">
      <formula>"X"</formula>
    </cfRule>
  </conditionalFormatting>
  <conditionalFormatting sqref="AE46:AE54">
    <cfRule type="cellIs" dxfId="1" priority="68" operator="equal">
      <formula>"V"</formula>
    </cfRule>
  </conditionalFormatting>
  <conditionalFormatting sqref="AE60:AE68">
    <cfRule type="cellIs" dxfId="0" priority="69" operator="equal">
      <formula>"X"</formula>
    </cfRule>
  </conditionalFormatting>
  <conditionalFormatting sqref="AE60:AE68">
    <cfRule type="cellIs" dxfId="1" priority="70" operator="equal">
      <formula>"V"</formula>
    </cfRule>
  </conditionalFormatting>
  <conditionalFormatting sqref="AE75:AE83">
    <cfRule type="cellIs" dxfId="0" priority="71" operator="equal">
      <formula>"X"</formula>
    </cfRule>
  </conditionalFormatting>
  <conditionalFormatting sqref="AE75:AE83">
    <cfRule type="cellIs" dxfId="1" priority="72" operator="equal">
      <formula>"V"</formula>
    </cfRule>
  </conditionalFormatting>
  <conditionalFormatting sqref="AG26">
    <cfRule type="cellIs" dxfId="0" priority="73" operator="lessThan">
      <formula>0</formula>
    </cfRule>
  </conditionalFormatting>
  <conditionalFormatting sqref="AG26">
    <cfRule type="cellIs" dxfId="1" priority="74" operator="greaterThan">
      <formula>0</formula>
    </cfRule>
  </conditionalFormatting>
  <conditionalFormatting sqref="AG40">
    <cfRule type="cellIs" dxfId="0" priority="75" operator="lessThan">
      <formula>0</formula>
    </cfRule>
  </conditionalFormatting>
  <conditionalFormatting sqref="AG40">
    <cfRule type="cellIs" dxfId="1" priority="76" operator="greaterThan">
      <formula>0</formula>
    </cfRule>
  </conditionalFormatting>
  <conditionalFormatting sqref="AG55:AG57">
    <cfRule type="cellIs" dxfId="0" priority="77" operator="lessThan">
      <formula>0</formula>
    </cfRule>
  </conditionalFormatting>
  <conditionalFormatting sqref="AG55:AG57">
    <cfRule type="cellIs" dxfId="1" priority="78" operator="greaterThan">
      <formula>0</formula>
    </cfRule>
  </conditionalFormatting>
  <conditionalFormatting sqref="AG69">
    <cfRule type="cellIs" dxfId="0" priority="79" operator="lessThan">
      <formula>0</formula>
    </cfRule>
  </conditionalFormatting>
  <conditionalFormatting sqref="AG69">
    <cfRule type="cellIs" dxfId="1" priority="80" operator="greaterThan">
      <formula>0</formula>
    </cfRule>
  </conditionalFormatting>
  <conditionalFormatting sqref="AG84">
    <cfRule type="cellIs" dxfId="0" priority="81" operator="lessThan">
      <formula>0</formula>
    </cfRule>
  </conditionalFormatting>
  <conditionalFormatting sqref="AG84">
    <cfRule type="cellIs" dxfId="1" priority="82" operator="greaterThan">
      <formula>0</formula>
    </cfRule>
  </conditionalFormatting>
  <conditionalFormatting sqref="AM17:AM25">
    <cfRule type="cellIs" dxfId="0" priority="83" operator="equal">
      <formula>"X"</formula>
    </cfRule>
  </conditionalFormatting>
  <conditionalFormatting sqref="AM17:AM25">
    <cfRule type="cellIs" dxfId="1" priority="84" operator="equal">
      <formula>"V"</formula>
    </cfRule>
  </conditionalFormatting>
  <conditionalFormatting sqref="AM31:AM39">
    <cfRule type="cellIs" dxfId="0" priority="85" operator="equal">
      <formula>"X"</formula>
    </cfRule>
  </conditionalFormatting>
  <conditionalFormatting sqref="AM31:AM39">
    <cfRule type="cellIs" dxfId="1" priority="86" operator="equal">
      <formula>"V"</formula>
    </cfRule>
  </conditionalFormatting>
  <conditionalFormatting sqref="AM46:AM54">
    <cfRule type="cellIs" dxfId="0" priority="87" operator="equal">
      <formula>"X"</formula>
    </cfRule>
  </conditionalFormatting>
  <conditionalFormatting sqref="AM46:AM54">
    <cfRule type="cellIs" dxfId="1" priority="88" operator="equal">
      <formula>"V"</formula>
    </cfRule>
  </conditionalFormatting>
  <conditionalFormatting sqref="AM60:AM68">
    <cfRule type="cellIs" dxfId="0" priority="89" operator="equal">
      <formula>"X"</formula>
    </cfRule>
  </conditionalFormatting>
  <conditionalFormatting sqref="AM60:AM68">
    <cfRule type="cellIs" dxfId="1" priority="90" operator="equal">
      <formula>"V"</formula>
    </cfRule>
  </conditionalFormatting>
  <conditionalFormatting sqref="AM75:AM83">
    <cfRule type="cellIs" dxfId="0" priority="91" operator="equal">
      <formula>"X"</formula>
    </cfRule>
  </conditionalFormatting>
  <conditionalFormatting sqref="AM75:AM83">
    <cfRule type="cellIs" dxfId="1" priority="92" operator="equal">
      <formula>"V"</formula>
    </cfRule>
  </conditionalFormatting>
  <conditionalFormatting sqref="AO26">
    <cfRule type="cellIs" dxfId="0" priority="93" operator="lessThan">
      <formula>0</formula>
    </cfRule>
  </conditionalFormatting>
  <conditionalFormatting sqref="AO26">
    <cfRule type="cellIs" dxfId="1" priority="94" operator="greaterThan">
      <formula>0</formula>
    </cfRule>
  </conditionalFormatting>
  <conditionalFormatting sqref="AO40">
    <cfRule type="cellIs" dxfId="0" priority="95" operator="lessThan">
      <formula>0</formula>
    </cfRule>
  </conditionalFormatting>
  <conditionalFormatting sqref="AO40">
    <cfRule type="cellIs" dxfId="1" priority="96" operator="greaterThan">
      <formula>0</formula>
    </cfRule>
  </conditionalFormatting>
  <conditionalFormatting sqref="AO55:AO57">
    <cfRule type="cellIs" dxfId="0" priority="97" operator="lessThan">
      <formula>0</formula>
    </cfRule>
  </conditionalFormatting>
  <conditionalFormatting sqref="AO55:AO57">
    <cfRule type="cellIs" dxfId="1" priority="98" operator="greaterThan">
      <formula>0</formula>
    </cfRule>
  </conditionalFormatting>
  <conditionalFormatting sqref="AO69">
    <cfRule type="cellIs" dxfId="0" priority="99" operator="lessThan">
      <formula>0</formula>
    </cfRule>
  </conditionalFormatting>
  <conditionalFormatting sqref="AO69">
    <cfRule type="cellIs" dxfId="1" priority="100" operator="greaterThan">
      <formula>0</formula>
    </cfRule>
  </conditionalFormatting>
  <conditionalFormatting sqref="AO84">
    <cfRule type="cellIs" dxfId="0" priority="101" operator="lessThan">
      <formula>0</formula>
    </cfRule>
  </conditionalFormatting>
  <conditionalFormatting sqref="AO84">
    <cfRule type="cellIs" dxfId="1" priority="102" operator="greaterThan">
      <formula>0</formula>
    </cfRule>
  </conditionalFormatting>
  <dataValidations>
    <dataValidation type="list" allowBlank="1" showErrorMessage="1" sqref="G17:G25 O17:O25 W17:W25 AE17:AE25 AM17:AM25 G31:G39 O31:O39 W31:W39 AE31:AE39 AM31:AM39 G46:G54 O46:O54 W46:W54 AE46:AE54 AM46:AM54 G60:G68 O60:O68 W60:W68 AE60:AE68 AM60:AM68 G75:G83 O75:O83 W75:W83 AE75:AE83 AM75:AM83">
      <formula1>Foglio3!$A$1:$A$2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88" t="s">
        <v>85</v>
      </c>
    </row>
    <row r="2">
      <c r="A2" s="88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2025-12-09T08:13:23Z</dcterms:created>
  <dc:creator>Alessandro Manenti</dc:creator>
</cp:coreProperties>
</file>